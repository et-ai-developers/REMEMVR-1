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08"/>
  <workbookPr/>
  <mc:AlternateContent xmlns:mc="http://schemas.openxmlformats.org/markup-compatibility/2006">
    <mc:Choice Requires="x15">
      <x15ac:absPath xmlns:x15ac="http://schemas.microsoft.com/office/spreadsheetml/2010/11/ac" url="C:\Users\uqrrona1\OneDrive\PhD\Software\REMEMVR\data\"/>
    </mc:Choice>
  </mc:AlternateContent>
  <xr:revisionPtr revIDLastSave="0" documentId="13_ncr:1_{17985051-74C9-4E48-9CBA-632225B668E5}" xr6:coauthVersionLast="47" xr6:coauthVersionMax="47" xr10:uidLastSave="{00000000-0000-0000-0000-000000000000}"/>
  <bookViews>
    <workbookView xWindow="-90" yWindow="-90" windowWidth="38580" windowHeight="21060" xr2:uid="{00000000-000D-0000-FFFF-FFFF00000000}"/>
  </bookViews>
  <sheets>
    <sheet name="variables" sheetId="1" r:id="rId1"/>
    <sheet name="old_variable_list" sheetId="8" r:id="rId2"/>
    <sheet name="test_items_with_Confidence" sheetId="6" r:id="rId3"/>
    <sheet name="test_items" sheetId="7" r:id="rId4"/>
    <sheet name="test questions" sheetId="4" r:id="rId5"/>
    <sheet name="Section" sheetId="2" r:id="rId6"/>
    <sheet name="vr" sheetId="3" r:id="rId7"/>
    <sheet name="items" sheetId="5" r:id="rId8"/>
    <sheet name="REMEMVR Ans and C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4" i="7"/>
  <c r="E17" i="1"/>
  <c r="E17" i="8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2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2" i="5"/>
  <c r="F79" i="4"/>
  <c r="G79" i="4"/>
  <c r="I79" i="4" s="1"/>
  <c r="H79" i="4"/>
  <c r="F67" i="4"/>
  <c r="G67" i="4"/>
  <c r="H67" i="4"/>
  <c r="I67" i="4"/>
  <c r="F68" i="4"/>
  <c r="I68" i="4" s="1"/>
  <c r="G68" i="4"/>
  <c r="H68" i="4"/>
  <c r="F69" i="4"/>
  <c r="G69" i="4"/>
  <c r="H69" i="4"/>
  <c r="I69" i="4"/>
  <c r="F70" i="4"/>
  <c r="G70" i="4"/>
  <c r="H70" i="4"/>
  <c r="I70" i="4"/>
  <c r="F71" i="4"/>
  <c r="G71" i="4"/>
  <c r="H71" i="4"/>
  <c r="I71" i="4"/>
  <c r="F72" i="4"/>
  <c r="I72" i="4" s="1"/>
  <c r="G72" i="4"/>
  <c r="H72" i="4"/>
  <c r="F73" i="4"/>
  <c r="G73" i="4"/>
  <c r="H73" i="4"/>
  <c r="I73" i="4"/>
  <c r="F74" i="4"/>
  <c r="G74" i="4"/>
  <c r="H74" i="4"/>
  <c r="I74" i="4"/>
  <c r="F75" i="4"/>
  <c r="G75" i="4"/>
  <c r="H75" i="4"/>
  <c r="I75" i="4"/>
  <c r="F76" i="4"/>
  <c r="I76" i="4" s="1"/>
  <c r="G76" i="4"/>
  <c r="H76" i="4"/>
  <c r="F77" i="4"/>
  <c r="G77" i="4"/>
  <c r="H77" i="4"/>
  <c r="I77" i="4"/>
  <c r="F78" i="4"/>
  <c r="G78" i="4"/>
  <c r="H78" i="4"/>
  <c r="I78" i="4"/>
  <c r="F33" i="4"/>
  <c r="G33" i="4"/>
  <c r="H33" i="4"/>
  <c r="I33" i="4"/>
  <c r="F34" i="4"/>
  <c r="G34" i="4"/>
  <c r="H34" i="4"/>
  <c r="I34" i="4" s="1"/>
  <c r="F35" i="4"/>
  <c r="G35" i="4"/>
  <c r="H35" i="4"/>
  <c r="H59" i="4" s="1"/>
  <c r="I59" i="4" s="1"/>
  <c r="F36" i="4"/>
  <c r="G36" i="4"/>
  <c r="H36" i="4"/>
  <c r="H60" i="4" s="1"/>
  <c r="I60" i="4" s="1"/>
  <c r="I36" i="4"/>
  <c r="F37" i="4"/>
  <c r="G37" i="4"/>
  <c r="H37" i="4"/>
  <c r="I37" i="4"/>
  <c r="F38" i="4"/>
  <c r="G38" i="4"/>
  <c r="H38" i="4"/>
  <c r="I38" i="4" s="1"/>
  <c r="F39" i="4"/>
  <c r="G39" i="4"/>
  <c r="H39" i="4"/>
  <c r="H63" i="4" s="1"/>
  <c r="I63" i="4" s="1"/>
  <c r="I39" i="4"/>
  <c r="F40" i="4"/>
  <c r="G40" i="4"/>
  <c r="H40" i="4"/>
  <c r="H64" i="4" s="1"/>
  <c r="I64" i="4" s="1"/>
  <c r="I40" i="4"/>
  <c r="F41" i="4"/>
  <c r="G41" i="4"/>
  <c r="H41" i="4"/>
  <c r="I41" i="4"/>
  <c r="F42" i="4"/>
  <c r="G42" i="4"/>
  <c r="H42" i="4"/>
  <c r="I42" i="4" s="1"/>
  <c r="F43" i="4"/>
  <c r="G43" i="4"/>
  <c r="H43" i="4"/>
  <c r="I43" i="4"/>
  <c r="F44" i="4"/>
  <c r="G44" i="4"/>
  <c r="H44" i="4"/>
  <c r="I44" i="4"/>
  <c r="F45" i="4"/>
  <c r="G45" i="4"/>
  <c r="H45" i="4"/>
  <c r="I45" i="4"/>
  <c r="F46" i="4"/>
  <c r="G46" i="4"/>
  <c r="H46" i="4"/>
  <c r="I46" i="4" s="1"/>
  <c r="F47" i="4"/>
  <c r="G47" i="4"/>
  <c r="H47" i="4"/>
  <c r="I47" i="4"/>
  <c r="F48" i="4"/>
  <c r="G48" i="4"/>
  <c r="H48" i="4"/>
  <c r="I48" i="4"/>
  <c r="F49" i="4"/>
  <c r="G49" i="4"/>
  <c r="H49" i="4"/>
  <c r="I49" i="4"/>
  <c r="F50" i="4"/>
  <c r="G50" i="4"/>
  <c r="H50" i="4"/>
  <c r="I50" i="4" s="1"/>
  <c r="F51" i="4"/>
  <c r="G51" i="4"/>
  <c r="H51" i="4"/>
  <c r="I51" i="4"/>
  <c r="F52" i="4"/>
  <c r="G52" i="4"/>
  <c r="H52" i="4"/>
  <c r="I52" i="4"/>
  <c r="F53" i="4"/>
  <c r="G53" i="4"/>
  <c r="H53" i="4"/>
  <c r="I53" i="4"/>
  <c r="F54" i="4"/>
  <c r="G54" i="4"/>
  <c r="H54" i="4"/>
  <c r="I54" i="4" s="1"/>
  <c r="F55" i="4"/>
  <c r="G55" i="4"/>
  <c r="H55" i="4"/>
  <c r="I55" i="4"/>
  <c r="F56" i="4"/>
  <c r="G56" i="4"/>
  <c r="H56" i="4"/>
  <c r="I56" i="4"/>
  <c r="F57" i="4"/>
  <c r="G57" i="4"/>
  <c r="H57" i="4"/>
  <c r="I57" i="4"/>
  <c r="F58" i="4"/>
  <c r="G58" i="4"/>
  <c r="H58" i="4"/>
  <c r="I58" i="4" s="1"/>
  <c r="F59" i="4"/>
  <c r="G59" i="4"/>
  <c r="F60" i="4"/>
  <c r="G60" i="4"/>
  <c r="F61" i="4"/>
  <c r="G61" i="4"/>
  <c r="H61" i="4"/>
  <c r="I61" i="4"/>
  <c r="F62" i="4"/>
  <c r="G62" i="4"/>
  <c r="H62" i="4"/>
  <c r="I62" i="4" s="1"/>
  <c r="F63" i="4"/>
  <c r="G63" i="4"/>
  <c r="F64" i="4"/>
  <c r="G64" i="4"/>
  <c r="F65" i="4"/>
  <c r="G65" i="4"/>
  <c r="H65" i="4"/>
  <c r="I65" i="4"/>
  <c r="F66" i="4"/>
  <c r="G66" i="4"/>
  <c r="H66" i="4"/>
  <c r="I66" i="4" s="1"/>
  <c r="I32" i="4"/>
  <c r="H32" i="4"/>
  <c r="G32" i="4"/>
  <c r="F3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G15" i="4"/>
  <c r="G16" i="4"/>
  <c r="G17" i="4"/>
  <c r="G18" i="4"/>
  <c r="G19" i="4"/>
  <c r="G20" i="4"/>
  <c r="G21" i="4"/>
  <c r="G22" i="4"/>
  <c r="G23" i="4"/>
  <c r="G24" i="4"/>
  <c r="G25" i="4"/>
  <c r="G31" i="4" s="1"/>
  <c r="G26" i="4"/>
  <c r="G27" i="4"/>
  <c r="G28" i="4"/>
  <c r="G29" i="4"/>
  <c r="G30" i="4"/>
  <c r="G14" i="4"/>
  <c r="I9" i="4"/>
  <c r="I10" i="4"/>
  <c r="I11" i="4"/>
  <c r="I12" i="4"/>
  <c r="I13" i="4"/>
  <c r="I8" i="4"/>
  <c r="C2" i="4"/>
  <c r="C3" i="4"/>
  <c r="C4" i="4"/>
  <c r="C5" i="4"/>
  <c r="C6" i="4"/>
  <c r="C7" i="4"/>
  <c r="C14" i="4"/>
  <c r="C15" i="4"/>
  <c r="C16" i="4"/>
  <c r="C17" i="4"/>
  <c r="C18" i="4"/>
  <c r="C19" i="4"/>
  <c r="C20" i="4"/>
  <c r="C21" i="4"/>
  <c r="C22" i="4"/>
  <c r="C23" i="4"/>
  <c r="C24" i="4"/>
  <c r="C25" i="4"/>
  <c r="C44" i="4"/>
  <c r="C45" i="4"/>
  <c r="C46" i="4"/>
  <c r="C47" i="4"/>
  <c r="C48" i="4"/>
  <c r="C49" i="4"/>
  <c r="C74" i="4"/>
  <c r="C75" i="4"/>
  <c r="C76" i="4"/>
  <c r="C77" i="4"/>
  <c r="C78" i="4"/>
  <c r="C79" i="4"/>
  <c r="C80" i="4"/>
  <c r="C81" i="4"/>
  <c r="C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" i="4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A35" i="3"/>
  <c r="A34" i="3"/>
  <c r="D34" i="3" s="1"/>
  <c r="A33" i="3"/>
  <c r="D33" i="3" s="1"/>
  <c r="A32" i="3"/>
  <c r="D32" i="3" s="1"/>
  <c r="A31" i="3"/>
  <c r="D31" i="3" s="1"/>
  <c r="D30" i="3"/>
  <c r="A30" i="3"/>
  <c r="A29" i="3"/>
  <c r="D29" i="3" s="1"/>
  <c r="A28" i="3"/>
  <c r="D28" i="3" s="1"/>
  <c r="D27" i="3"/>
  <c r="A27" i="3"/>
  <c r="A26" i="3"/>
  <c r="D26" i="3" s="1"/>
  <c r="A25" i="3"/>
  <c r="D25" i="3" s="1"/>
  <c r="A24" i="3"/>
  <c r="D24" i="3" s="1"/>
  <c r="A23" i="3"/>
  <c r="D23" i="3" s="1"/>
  <c r="D22" i="3"/>
  <c r="A22" i="3"/>
  <c r="A21" i="3"/>
  <c r="D21" i="3" s="1"/>
  <c r="A20" i="3"/>
  <c r="D20" i="3" s="1"/>
  <c r="D19" i="3"/>
  <c r="A19" i="3"/>
  <c r="A18" i="3"/>
  <c r="D18" i="3" s="1"/>
  <c r="A17" i="3"/>
  <c r="D17" i="3" s="1"/>
  <c r="A16" i="3"/>
  <c r="D16" i="3" s="1"/>
  <c r="A15" i="3"/>
  <c r="D15" i="3" s="1"/>
  <c r="D14" i="3"/>
  <c r="A14" i="3"/>
  <c r="A13" i="3"/>
  <c r="D13" i="3" s="1"/>
  <c r="A12" i="3"/>
  <c r="D12" i="3" s="1"/>
  <c r="D11" i="3"/>
  <c r="A11" i="3"/>
  <c r="A10" i="3"/>
  <c r="D10" i="3" s="1"/>
  <c r="A9" i="3"/>
  <c r="D9" i="3" s="1"/>
  <c r="A8" i="3"/>
  <c r="D8" i="3" s="1"/>
  <c r="A7" i="3"/>
  <c r="D7" i="3" s="1"/>
  <c r="D6" i="3"/>
  <c r="A6" i="3"/>
  <c r="A5" i="3"/>
  <c r="D5" i="3" s="1"/>
  <c r="A4" i="3"/>
  <c r="D4" i="3" s="1"/>
  <c r="D3" i="3"/>
  <c r="A3" i="3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G75" i="2"/>
  <c r="K75" i="2" s="1"/>
  <c r="K74" i="2"/>
  <c r="G74" i="2"/>
  <c r="G73" i="2"/>
  <c r="K73" i="2" s="1"/>
  <c r="G72" i="2"/>
  <c r="K72" i="2" s="1"/>
  <c r="K71" i="2"/>
  <c r="G71" i="2"/>
  <c r="G70" i="2"/>
  <c r="K70" i="2" s="1"/>
  <c r="G69" i="2"/>
  <c r="K69" i="2" s="1"/>
  <c r="K68" i="2"/>
  <c r="G68" i="2"/>
  <c r="G67" i="2"/>
  <c r="K67" i="2" s="1"/>
  <c r="K66" i="2"/>
  <c r="G66" i="2"/>
  <c r="G65" i="2"/>
  <c r="K65" i="2" s="1"/>
  <c r="G64" i="2"/>
  <c r="K64" i="2" s="1"/>
  <c r="K63" i="2"/>
  <c r="G63" i="2"/>
  <c r="G62" i="2"/>
  <c r="K62" i="2" s="1"/>
  <c r="G61" i="2"/>
  <c r="K61" i="2" s="1"/>
  <c r="K60" i="2"/>
  <c r="G60" i="2"/>
  <c r="G59" i="2"/>
  <c r="K59" i="2" s="1"/>
  <c r="K58" i="2"/>
  <c r="G58" i="2"/>
  <c r="G57" i="2"/>
  <c r="K57" i="2" s="1"/>
  <c r="G56" i="2"/>
  <c r="K56" i="2" s="1"/>
  <c r="K55" i="2"/>
  <c r="G55" i="2"/>
  <c r="G54" i="2"/>
  <c r="K54" i="2" s="1"/>
  <c r="G53" i="2"/>
  <c r="K53" i="2" s="1"/>
  <c r="K52" i="2"/>
  <c r="G52" i="2"/>
  <c r="G51" i="2"/>
  <c r="K51" i="2" s="1"/>
  <c r="K50" i="2"/>
  <c r="G50" i="2"/>
  <c r="G49" i="2"/>
  <c r="K49" i="2" s="1"/>
  <c r="G48" i="2"/>
  <c r="K48" i="2" s="1"/>
  <c r="K47" i="2"/>
  <c r="G47" i="2"/>
  <c r="G46" i="2"/>
  <c r="K46" i="2" s="1"/>
  <c r="G45" i="2"/>
  <c r="K45" i="2" s="1"/>
  <c r="K44" i="2"/>
  <c r="G44" i="2"/>
  <c r="G43" i="2"/>
  <c r="K43" i="2" s="1"/>
  <c r="K42" i="2"/>
  <c r="G42" i="2"/>
  <c r="G41" i="2"/>
  <c r="K41" i="2" s="1"/>
  <c r="G40" i="2"/>
  <c r="K40" i="2" s="1"/>
  <c r="K39" i="2"/>
  <c r="G39" i="2"/>
  <c r="G38" i="2"/>
  <c r="K38" i="2" s="1"/>
  <c r="G37" i="2"/>
  <c r="K37" i="2" s="1"/>
  <c r="K36" i="2"/>
  <c r="G36" i="2"/>
  <c r="G35" i="2"/>
  <c r="K35" i="2" s="1"/>
  <c r="K34" i="2"/>
  <c r="G34" i="2"/>
  <c r="G33" i="2"/>
  <c r="K33" i="2" s="1"/>
  <c r="G32" i="2"/>
  <c r="K32" i="2" s="1"/>
  <c r="K31" i="2"/>
  <c r="G31" i="2"/>
  <c r="G30" i="2"/>
  <c r="K30" i="2" s="1"/>
  <c r="K26" i="2"/>
  <c r="K24" i="2"/>
  <c r="K23" i="2"/>
  <c r="K22" i="2"/>
  <c r="K21" i="2"/>
  <c r="K20" i="2"/>
  <c r="K19" i="2"/>
  <c r="K17" i="2"/>
  <c r="K16" i="2"/>
  <c r="K15" i="2"/>
  <c r="K14" i="2"/>
  <c r="K12" i="2"/>
  <c r="K11" i="2"/>
  <c r="K10" i="2"/>
  <c r="K9" i="2"/>
  <c r="K8" i="2"/>
  <c r="K7" i="2"/>
  <c r="K5" i="2"/>
  <c r="K4" i="2"/>
  <c r="K2" i="2"/>
  <c r="I35" i="4" l="1"/>
</calcChain>
</file>

<file path=xl/sharedStrings.xml><?xml version="1.0" encoding="utf-8"?>
<sst xmlns="http://schemas.openxmlformats.org/spreadsheetml/2006/main" count="9275" uniqueCount="1549">
  <si>
    <t>REGEX</t>
  </si>
  <si>
    <t>LABEL</t>
  </si>
  <si>
    <t>FUNC</t>
  </si>
  <si>
    <t>OUTPUT</t>
  </si>
  <si>
    <t>[["</t>
  </si>
  <si>
    <t>"],"</t>
  </si>
  <si>
    <t>","</t>
  </si>
  <si>
    <t>"],</t>
  </si>
  <si>
    <t>[</t>
  </si>
  <si>
    <t>TSVR</t>
  </si>
  <si>
    <t>sum</t>
  </si>
  <si>
    <t>.*TSVR</t>
  </si>
  <si>
    <t>Mean Score</t>
  </si>
  <si>
    <t>mean</t>
  </si>
  <si>
    <t>.*ANS</t>
  </si>
  <si>
    <t>What</t>
  </si>
  <si>
    <t>.*-N-.*-ANS</t>
  </si>
  <si>
    <t>Where</t>
  </si>
  <si>
    <t>.*-U-.*-ANS</t>
  </si>
  <si>
    <t>.*-D-.*-ANS</t>
  </si>
  <si>
    <t>.*-L-.*-ANS</t>
  </si>
  <si>
    <t>When</t>
  </si>
  <si>
    <t>.*-O-.*-ANS</t>
  </si>
  <si>
    <t>COPY</t>
  </si>
  <si>
    <t>Time Since VR</t>
  </si>
  <si>
    <t>[".*</t>
  </si>
  <si>
    <t>-ANS</t>
  </si>
  <si>
    <t>total</t>
  </si>
  <si>
    <t>_s</t>
  </si>
  <si>
    <t>Total Score</t>
  </si>
  <si>
    <t>-CON</t>
  </si>
  <si>
    <t>_c</t>
  </si>
  <si>
    <t>Total Confidence</t>
  </si>
  <si>
    <t>-N-</t>
  </si>
  <si>
    <t>.*-ANS</t>
  </si>
  <si>
    <t>what</t>
  </si>
  <si>
    <t>What Score</t>
  </si>
  <si>
    <t>-[UDL]-</t>
  </si>
  <si>
    <t>where</t>
  </si>
  <si>
    <t>Where Score</t>
  </si>
  <si>
    <t>-O-</t>
  </si>
  <si>
    <t>when</t>
  </si>
  <si>
    <t>When Score</t>
  </si>
  <si>
    <t>.*-CON</t>
  </si>
  <si>
    <t>What Confidence</t>
  </si>
  <si>
    <t>Where Confidence</t>
  </si>
  <si>
    <t>When Confidence</t>
  </si>
  <si>
    <t>(RFR|RRE)</t>
  </si>
  <si>
    <t>room</t>
  </si>
  <si>
    <t>Room Score</t>
  </si>
  <si>
    <t>(IFR|ICR|IRE)</t>
  </si>
  <si>
    <t>item</t>
  </si>
  <si>
    <t>Item Score</t>
  </si>
  <si>
    <t>Room Confidence</t>
  </si>
  <si>
    <t>Item Confidence</t>
  </si>
  <si>
    <t>(IFR|RFR)</t>
  </si>
  <si>
    <t>freeRecall</t>
  </si>
  <si>
    <t>Free Recall Score</t>
  </si>
  <si>
    <t>(ICR|TCR)</t>
  </si>
  <si>
    <t>cuedRecall</t>
  </si>
  <si>
    <t>Cued Recall Score</t>
  </si>
  <si>
    <t>(IRE|RRE)</t>
  </si>
  <si>
    <t>recognition</t>
  </si>
  <si>
    <t>Recognition Score</t>
  </si>
  <si>
    <t>Free Recall Confidence</t>
  </si>
  <si>
    <t>Cued Recall Confidence</t>
  </si>
  <si>
    <t>Recognition Confidence</t>
  </si>
  <si>
    <t>SLP</t>
  </si>
  <si>
    <t>.*TIRE-</t>
  </si>
  <si>
    <t>tiredness</t>
  </si>
  <si>
    <t>Tiredness</t>
  </si>
  <si>
    <t>RFR</t>
  </si>
  <si>
    <t>_t</t>
  </si>
  <si>
    <t>.*-N-</t>
  </si>
  <si>
    <t>_n</t>
  </si>
  <si>
    <t>.*-L-</t>
  </si>
  <si>
    <t>_l</t>
  </si>
  <si>
    <t>.*-O-</t>
  </si>
  <si>
    <t>_o</t>
  </si>
  <si>
    <t>IFR</t>
  </si>
  <si>
    <t>.*-U-</t>
  </si>
  <si>
    <t>_u</t>
  </si>
  <si>
    <t>.*-D-</t>
  </si>
  <si>
    <t>_d</t>
  </si>
  <si>
    <t>TCR</t>
  </si>
  <si>
    <t>ICR</t>
  </si>
  <si>
    <t>RRE</t>
  </si>
  <si>
    <t>IRE</t>
  </si>
  <si>
    <t>CG-</t>
  </si>
  <si>
    <t>item_cong</t>
  </si>
  <si>
    <t>.*CG-</t>
  </si>
  <si>
    <t>_fr</t>
  </si>
  <si>
    <t>_cr</t>
  </si>
  <si>
    <t>_re</t>
  </si>
  <si>
    <t>IN-</t>
  </si>
  <si>
    <t>item_incong</t>
  </si>
  <si>
    <t>.*IN-</t>
  </si>
  <si>
    <t>CM-</t>
  </si>
  <si>
    <t>item_comm</t>
  </si>
  <si>
    <t>.*CM-</t>
  </si>
  <si>
    <t>PORT</t>
  </si>
  <si>
    <t>port</t>
  </si>
  <si>
    <t>-N-.*</t>
  </si>
  <si>
    <t>-L-.*</t>
  </si>
  <si>
    <t>LAND</t>
  </si>
  <si>
    <t>land</t>
  </si>
  <si>
    <t>Name</t>
  </si>
  <si>
    <t>Label</t>
  </si>
  <si>
    <t>Function</t>
  </si>
  <si>
    <t>Type</t>
  </si>
  <si>
    <t>Regex</t>
  </si>
  <si>
    <t>age</t>
  </si>
  <si>
    <t>Age (years)</t>
  </si>
  <si>
    <t>dem</t>
  </si>
  <si>
    <t>DEM-X-Age</t>
  </si>
  <si>
    <t>sex</t>
  </si>
  <si>
    <t>Gender</t>
  </si>
  <si>
    <t>DEM-X-Sex</t>
  </si>
  <si>
    <t>education</t>
  </si>
  <si>
    <t>Education (years)</t>
  </si>
  <si>
    <t>DEM-X-Education</t>
  </si>
  <si>
    <t>vr_exp</t>
  </si>
  <si>
    <t>VR Experience</t>
  </si>
  <si>
    <t>DEM-X-VR_Exp</t>
  </si>
  <si>
    <t>typical_sleep</t>
  </si>
  <si>
    <t>Typical Sleep (hours)</t>
  </si>
  <si>
    <t>DEM-X-SLEEP</t>
  </si>
  <si>
    <t>depression</t>
  </si>
  <si>
    <t>Depression</t>
  </si>
  <si>
    <t>DEM-X-DASS_Dep</t>
  </si>
  <si>
    <t>anxiety</t>
  </si>
  <si>
    <t>Anxiety</t>
  </si>
  <si>
    <t>DEM-X-DASS_Anx</t>
  </si>
  <si>
    <t>stress</t>
  </si>
  <si>
    <t>Stress</t>
  </si>
  <si>
    <t>DEM-X-DASS_Str</t>
  </si>
  <si>
    <t>BVMT_t1</t>
  </si>
  <si>
    <t>BVMT Trial 1 Score</t>
  </si>
  <si>
    <t>cog</t>
  </si>
  <si>
    <t>COG-X-BVM-T1Sc</t>
  </si>
  <si>
    <t>BVMT_t2</t>
  </si>
  <si>
    <t>BVMT Trial 2 Score</t>
  </si>
  <si>
    <t>COG-X-BVM-T2Sc</t>
  </si>
  <si>
    <t>BVMT_t3</t>
  </si>
  <si>
    <t>BVMT Trial 3 Score</t>
  </si>
  <si>
    <t>COG-X-BVM-T3Sc</t>
  </si>
  <si>
    <t>BVMT_total_recall</t>
  </si>
  <si>
    <t>BVMT Total Recall Score</t>
  </si>
  <si>
    <t>COG-X-BVM-TotR</t>
  </si>
  <si>
    <t>BVMT_learning</t>
  </si>
  <si>
    <t>BVMT Learning Score</t>
  </si>
  <si>
    <t>COG-X-BVM-Lear</t>
  </si>
  <si>
    <t>BVMT_delayed_recall</t>
  </si>
  <si>
    <t>BVMT Delayed Recall Score</t>
  </si>
  <si>
    <t>COG-X-BVM-TDSc</t>
  </si>
  <si>
    <t>NART_score</t>
  </si>
  <si>
    <t>NART Score</t>
  </si>
  <si>
    <t>COG-X-NAR-Scor</t>
  </si>
  <si>
    <t>RAVLT_t1</t>
  </si>
  <si>
    <t>RAVLT Trial 1 Score</t>
  </si>
  <si>
    <t>COG-X-RAV-T1Sc</t>
  </si>
  <si>
    <t>RAVLT_t2</t>
  </si>
  <si>
    <t>RAVLT Trial 2 Score</t>
  </si>
  <si>
    <t>COG-X-RAV-T2Sc</t>
  </si>
  <si>
    <t>RAVLT_t3</t>
  </si>
  <si>
    <t>RAVLT Trial 3 Score</t>
  </si>
  <si>
    <t>COG-X-RAV-T3Sc</t>
  </si>
  <si>
    <t>RAVLT_t4</t>
  </si>
  <si>
    <t>RAVLT Trial 4 Score</t>
  </si>
  <si>
    <t>COG-X-RAV-T4Sc</t>
  </si>
  <si>
    <t>RAVLT_t5</t>
  </si>
  <si>
    <t>RAVLT Trial 5 Score</t>
  </si>
  <si>
    <t>COG-X-RAV-T5Sc</t>
  </si>
  <si>
    <t>RAVLT_lb</t>
  </si>
  <si>
    <t>RAVLT List B Score</t>
  </si>
  <si>
    <t>COG-X-RAV-TDSc</t>
  </si>
  <si>
    <t>RAVLT_ir</t>
  </si>
  <si>
    <t>RAVLT Immediate Recall Score</t>
  </si>
  <si>
    <t>COG-X-RAV-FRSc</t>
  </si>
  <si>
    <t>RAVLT_dr</t>
  </si>
  <si>
    <t>RAVLT Delayed Recall Score</t>
  </si>
  <si>
    <t>COG-X-RAV-DRSc</t>
  </si>
  <si>
    <t>RAVLT_hit</t>
  </si>
  <si>
    <t>RAVLT Recognition Hits</t>
  </si>
  <si>
    <t>COG-X-RAV-RXXA</t>
  </si>
  <si>
    <t>RAVLT_miss</t>
  </si>
  <si>
    <t>RAVLT Recognition False Alarms</t>
  </si>
  <si>
    <t>COG-X-RAV-RXSA, COG-X-RAV-RXPA, COG-X-RAV-RSPA, COG-X-RAV-RXXB, COG-X-RAV-RXPB, COG-X-RAV-RXSB, COG-X-RAV-RSPB</t>
  </si>
  <si>
    <t>RPM_score</t>
  </si>
  <si>
    <t>RPM Score</t>
  </si>
  <si>
    <t>COG-X-RPM-Scor</t>
  </si>
  <si>
    <t>Time_SVR</t>
  </si>
  <si>
    <t>Time Since VR (hours)</t>
  </si>
  <si>
    <t>vr</t>
  </si>
  <si>
    <t>.*-TSVR</t>
  </si>
  <si>
    <t>Time_SLT</t>
  </si>
  <si>
    <t>Time Since Last Test (hours)</t>
  </si>
  <si>
    <t>.*-TSLt</t>
  </si>
  <si>
    <t>Time_Test</t>
  </si>
  <si>
    <t>Test Duration (seconds)</t>
  </si>
  <si>
    <t>Time_Awake</t>
  </si>
  <si>
    <t>Time Awake (div 24)</t>
  </si>
  <si>
    <t>.*-AWAK-</t>
  </si>
  <si>
    <t>Time_Asleep</t>
  </si>
  <si>
    <t>Previous Night Sleep (hours)</t>
  </si>
  <si>
    <t>.*-HOUR-</t>
  </si>
  <si>
    <t>Time_SleepDebt</t>
  </si>
  <si>
    <t>Sleep Difference</t>
  </si>
  <si>
    <t>.*-SDif</t>
  </si>
  <si>
    <t>Sleep_Quality</t>
  </si>
  <si>
    <t>Sleep Quality</t>
  </si>
  <si>
    <t>.*-QUAL-</t>
  </si>
  <si>
    <t>Sleep_Tiredness</t>
  </si>
  <si>
    <t>.*-TIRE-</t>
  </si>
  <si>
    <t>VR_total_m</t>
  </si>
  <si>
    <t>Mean REMEMVR Score</t>
  </si>
  <si>
    <t>VR_what_m</t>
  </si>
  <si>
    <t>Mean What Score</t>
  </si>
  <si>
    <t>.*-N-.*ANS</t>
  </si>
  <si>
    <t>VR_where_m</t>
  </si>
  <si>
    <t>Mean Where Score</t>
  </si>
  <si>
    <t>.*-L-.*ANS, .*-U-.*ANS, .*-D-.*ANS</t>
  </si>
  <si>
    <t>VR_when_m</t>
  </si>
  <si>
    <t>Mean When Score</t>
  </si>
  <si>
    <t>.*-O-.*ANS</t>
  </si>
  <si>
    <t>VR_IFR_m</t>
  </si>
  <si>
    <t>VR_ICR_m</t>
  </si>
  <si>
    <t>VR_IRE_m</t>
  </si>
  <si>
    <t>VR_room</t>
  </si>
  <si>
    <t>Room</t>
  </si>
  <si>
    <t>string</t>
  </si>
  <si>
    <t>.*Room</t>
  </si>
  <si>
    <t>VR_1</t>
  </si>
  <si>
    <t>RVR-T1-BAT-RFR-N-OBJ1-ANS</t>
  </si>
  <si>
    <t>RVR-T1-BAT-RFR-N-OBJ2-ANS</t>
  </si>
  <si>
    <t>RVR-T1-BAT-RFR-N-OBJ3-ANS</t>
  </si>
  <si>
    <t>RVR-T1-BAT-RFR-N-OBJ4-ANS</t>
  </si>
  <si>
    <t>RVR-T1-BAT-RFR-N-STRA-ANS</t>
  </si>
  <si>
    <t>RVR-T1-BAT-RFR-N-PORT-ANS</t>
  </si>
  <si>
    <t>RVR-T1-BAT-RFR-N-LAND-ANS</t>
  </si>
  <si>
    <t>RVR-T1-BAT-IFR-N-i1CM-n4siCfo3-ANS</t>
  </si>
  <si>
    <t>RVR-T1-BAT-IFR-N-i2CM-n6so1fiA-ANS</t>
  </si>
  <si>
    <t>RVR-T1-BAT-IFR-N-i3CG-n1siBfiD-ANS</t>
  </si>
  <si>
    <t>RVR-T1-BAT-IFR-N-i4CG-n3so3fo4-ANS</t>
  </si>
  <si>
    <t>RVR-T1-BAT-IFR-N-i5IN-n5siAfiC-ANS</t>
  </si>
  <si>
    <t>RVR-T1-BAT-IFR-N-i6IN-n2so2fiB-ANS</t>
  </si>
  <si>
    <t>RVR-T1-BAT-RFR-O-RORD-ANS</t>
  </si>
  <si>
    <t>RVR-T1-BAT-RFR-O-TMOD-ANS</t>
  </si>
  <si>
    <t>RVR-T1-BAT-RFR-N-WEAT-ANS</t>
  </si>
  <si>
    <t>RVR-T1-BAT-RFR-L-OBJ1-ANS</t>
  </si>
  <si>
    <t>RVR-T1-BAT-RFR-L-OBJ2-ANS</t>
  </si>
  <si>
    <t>RVR-T1-BAT-RFR-L-OBJ3-ANS</t>
  </si>
  <si>
    <t>RVR-T1-BAT-RFR-L-OBJ4-ANS</t>
  </si>
  <si>
    <t>RVR-T1-BAT-RFR-L-DOOR-ANS</t>
  </si>
  <si>
    <t>RVR-T1-BAT-RFR-L-WIND-ANS</t>
  </si>
  <si>
    <t>RVR-T1-BAT-RFR-L-PORT-ANS</t>
  </si>
  <si>
    <t>RVR-T1-BAT-RFR-L-LAND-ANS</t>
  </si>
  <si>
    <t>RVR-T1-BAT-RFR-L-STRA-ANS</t>
  </si>
  <si>
    <t>RVR-T1-BAT-IFR-U-i1CM-n4siCfo3-ANS</t>
  </si>
  <si>
    <t>RVR-T1-BAT-IFR-D-i1CM-n4siCfo3-ANS</t>
  </si>
  <si>
    <t>RVR-T1-BAT-IFR-O-i1CM-n4siCfo3-ANS</t>
  </si>
  <si>
    <t>RVR-T1-BAT-IFR-U-i2CM-n6so1fiA-ANS</t>
  </si>
  <si>
    <t>RVR-T1-BAT-IFR-D-i2CM-n6so1fiA-ANS</t>
  </si>
  <si>
    <t>RVR-T1-BAT-IFR-O-i2CM-n6so1fiA-ANS</t>
  </si>
  <si>
    <t>RVR-T1-BAT-IFR-U-i3CG-n1siBfiD-ANS</t>
  </si>
  <si>
    <t>RVR-T1-BAT-IFR-D-i3CG-n1siBfiD-ANS</t>
  </si>
  <si>
    <t>RVR-T1-BAT-IFR-O-i3CG-n1siBfiD-ANS</t>
  </si>
  <si>
    <t>RVR-T1-BAT-IFR-U-i4CG-n3so3fo4-ANS</t>
  </si>
  <si>
    <t>RVR-T1-BAT-IFR-D-i4CG-n3so3fo4-ANS</t>
  </si>
  <si>
    <t>RVR-T1-BAT-IFR-O-i4CG-n3so3fo4-ANS</t>
  </si>
  <si>
    <t>RVR-T1-BAT-IFR-U-i5IN-n5siAfiC-ANS</t>
  </si>
  <si>
    <t>RVR-T1-BAT-IFR-D-i5IN-n5siAfiC-ANS</t>
  </si>
  <si>
    <t>RVR-T1-BAT-IFR-O-i5IN-n5siAfiC-ANS</t>
  </si>
  <si>
    <t>RVR-T1-BAT-IFR-U-i6IN-n2so2fiB-ANS</t>
  </si>
  <si>
    <t>RVR-T1-BAT-IFR-D-i6IN-n2so2fiB-ANS</t>
  </si>
  <si>
    <t>RVR-T1-BAT-IFR-O-i6IN-n2so2fiB-ANS</t>
  </si>
  <si>
    <t>RVR-T1-BAT-TCR-O-TSK1-ANS</t>
  </si>
  <si>
    <t>RVR-T1-BAT-TCR-O-TSK2-ANS</t>
  </si>
  <si>
    <t>RVR-T1-BAT-TCR-O-TSK3-ANS</t>
  </si>
  <si>
    <t>RVR-T1-BAT-TCR-O-TSK4-ANS</t>
  </si>
  <si>
    <t>RVR-T1-BAT-TCR-O-TSK5-ANS</t>
  </si>
  <si>
    <t>RVR-T1-BAT-TCR-O-TSK6-ANS</t>
  </si>
  <si>
    <t>RVR-T1-BAT-ICR-N-i1CM-n4siCfo3-ANS</t>
  </si>
  <si>
    <t>RVR-T1-BAT-ICR-U-i1CM-n4siCfo3-ANS</t>
  </si>
  <si>
    <t>RVR-T1-BAT-ICR-D-i1CM-n4siCfo3-ANS</t>
  </si>
  <si>
    <t>RVR-T1-BAT-ICR-O-i1CM-n4siCfo3-ANS</t>
  </si>
  <si>
    <t>RVR-T1-BAT-ICR-N-i2CM-n6so1fiA-ANS</t>
  </si>
  <si>
    <t>RVR-T1-BAT-ICR-U-i2CM-n6so1fiA-ANS</t>
  </si>
  <si>
    <t>RVR-T1-BAT-ICR-D-i2CM-n6so1fiA-ANS</t>
  </si>
  <si>
    <t>RVR-T1-BAT-ICR-O-i2CM-n6so1fiA-ANS</t>
  </si>
  <si>
    <t>RVR-T1-BAT-ICR-N-i3CG-n1siBfiD-ANS</t>
  </si>
  <si>
    <t>RVR-T1-BAT-ICR-U-i3CG-n1siBfiD-ANS</t>
  </si>
  <si>
    <t>RVR-T1-BAT-ICR-D-i3CG-n1siBfiD-ANS</t>
  </si>
  <si>
    <t>RVR-T1-BAT-ICR-O-i3CG-n1siBfiD-ANS</t>
  </si>
  <si>
    <t>RVR-T1-BAT-ICR-N-i4CG-n3so3fo4-ANS</t>
  </si>
  <si>
    <t>RVR-T1-BAT-ICR-U-i4CG-n3so3fo4-ANS</t>
  </si>
  <si>
    <t>RVR-T1-BAT-ICR-D-i4CG-n3so3fo4-ANS</t>
  </si>
  <si>
    <t>RVR-T1-BAT-ICR-O-i4CG-n3so3fo4-ANS</t>
  </si>
  <si>
    <t>RVR-T1-BAT-ICR-N-i5IN-n5siAfiC-ANS</t>
  </si>
  <si>
    <t>RVR-T1-BAT-ICR-U-i5IN-n5siAfiC-ANS</t>
  </si>
  <si>
    <t>RVR-T1-BAT-ICR-D-i5IN-n5siAfiC-ANS</t>
  </si>
  <si>
    <t>RVR-T1-BAT-ICR-O-i5IN-n5siAfiC-ANS</t>
  </si>
  <si>
    <t>RVR-T1-BAT-ICR-N-i6IN-n2so2fiB-ANS</t>
  </si>
  <si>
    <t>RVR-T1-BAT-ICR-U-i6IN-n2so2fiB-ANS</t>
  </si>
  <si>
    <t>RVR-T1-BAT-ICR-D-i6IN-n2so2fiB-ANS</t>
  </si>
  <si>
    <t>RVR-T1-BAT-ICR-O-i6IN-n2so2fiB-ANS</t>
  </si>
  <si>
    <t>RVR-T1-BAT-RRE-L-DOOR-ANS</t>
  </si>
  <si>
    <t>RVR-T1-BAT-RRE-L-WIND-ANS</t>
  </si>
  <si>
    <t>RVR-T1-BAT-RRE-N-LAND-ANS</t>
  </si>
  <si>
    <t>RVR-T1-BAT-RRE-L-LAND-ANS</t>
  </si>
  <si>
    <t>RVR-T1-BAT-RRE-N-PORT-ANS</t>
  </si>
  <si>
    <t>RVR-T1-BAT-RRE-L-PORT-ANS</t>
  </si>
  <si>
    <t>RVR-T1-BAT-RRE-N-STRA-ANS</t>
  </si>
  <si>
    <t>RVR-T1-BAT-RRE-L-STRA-ANS</t>
  </si>
  <si>
    <t>RVR-T1-BAT-IRE-N-i1CM-n4siCfo3-ANS</t>
  </si>
  <si>
    <t>RVR-T1-BAT-IRE-U-i1CM-n4siCfo3-ANS</t>
  </si>
  <si>
    <t>RVR-T1-BAT-IRE-D-i1CM-n4siCfo3-ANS</t>
  </si>
  <si>
    <t>RVR-T1-BAT-IRE-O-i1CM-n4siCfo3-ANS</t>
  </si>
  <si>
    <t>RVR-T1-BAT-IRE-N-i2CM-n6so1fiA-ANS</t>
  </si>
  <si>
    <t>RVR-T1-BAT-IRE-U-i2CM-n6so1fiA-ANS</t>
  </si>
  <si>
    <t>RVR-T1-BAT-IRE-D-i2CM-n6so1fiA-ANS</t>
  </si>
  <si>
    <t>RVR-T1-BAT-IRE-O-i2CM-n6so1fiA-ANS</t>
  </si>
  <si>
    <t>RVR-T1-BAT-IRE-N-i3CG-n1siBfiD-ANS</t>
  </si>
  <si>
    <t>RVR-T1-BAT-IRE-U-i3CG-n1siBfiD-ANS</t>
  </si>
  <si>
    <t>RVR-T1-BAT-IRE-D-i3CG-n1siBfiD-ANS</t>
  </si>
  <si>
    <t>RVR-T1-BAT-IRE-O-i3CG-n1siBfiD-ANS</t>
  </si>
  <si>
    <t>RVR-T1-BAT-IRE-N-i4CG-n3so3fo4-ANS</t>
  </si>
  <si>
    <t>RVR-T1-BAT-IRE-U-i4CG-n3so3fo4-ANS</t>
  </si>
  <si>
    <t>RVR-T1-BAT-IRE-D-i4CG-n3so3fo4-ANS</t>
  </si>
  <si>
    <t>RVR-T1-BAT-IRE-O-i4CG-n3so3fo4-ANS</t>
  </si>
  <si>
    <t>RVR-T1-BAT-IRE-N-i5IN-n5siAfiC-ANS</t>
  </si>
  <si>
    <t>RVR-T1-BAT-IRE-U-i5IN-n5siAfiC-ANS</t>
  </si>
  <si>
    <t>RVR-T1-BAT-IRE-D-i5IN-n5siAfiC-ANS</t>
  </si>
  <si>
    <t>RVR-T1-BAT-IRE-O-i5IN-n5siAfiC-ANS</t>
  </si>
  <si>
    <t>RVR-T1-BAT-IRE-N-i6IN-n2so2fiB-ANS</t>
  </si>
  <si>
    <t>RVR-T1-BAT-IRE-U-i6IN-n2so2fiB-ANS</t>
  </si>
  <si>
    <t>RVR-T1-BAT-IRE-D-i6IN-n2so2fiB-ANS</t>
  </si>
  <si>
    <t>RVR-T1-BAT-IRE-O-i6IN-n2so2fiB-ANS</t>
  </si>
  <si>
    <t>N-i</t>
  </si>
  <si>
    <t>ANS</t>
  </si>
  <si>
    <t>U-i</t>
  </si>
  <si>
    <t>D-i</t>
  </si>
  <si>
    <t>O-i</t>
  </si>
  <si>
    <t>IFR-N-i1.*ANS</t>
  </si>
  <si>
    <t>IFR-N-i2.*ANS</t>
  </si>
  <si>
    <t>IFR-N-i3.*ANS</t>
  </si>
  <si>
    <t>IFR-N-i4.*ANS</t>
  </si>
  <si>
    <t>IFR-N-i5.*ANS</t>
  </si>
  <si>
    <t>IFR-N-i6.*ANS</t>
  </si>
  <si>
    <t>IFR-U-i1.*ANS</t>
  </si>
  <si>
    <t>IFR-U-i2.*ANS</t>
  </si>
  <si>
    <t>IFR-U-i3.*ANS</t>
  </si>
  <si>
    <t>IFR-U-i4.*ANS</t>
  </si>
  <si>
    <t>IFR-U-i5.*ANS</t>
  </si>
  <si>
    <t>IFR-U-i6.*ANS</t>
  </si>
  <si>
    <t>IFR-D-i1.*ANS</t>
  </si>
  <si>
    <t>IFR-D-i2.*ANS</t>
  </si>
  <si>
    <t>IFR-D-i3.*ANS</t>
  </si>
  <si>
    <t>IFR-D-i4.*ANS</t>
  </si>
  <si>
    <t>IFR-D-i5.*ANS</t>
  </si>
  <si>
    <t>IFR-D-i6.*ANS</t>
  </si>
  <si>
    <t>IFR-O-i1.*ANS</t>
  </si>
  <si>
    <t>IFR-O-i2.*ANS</t>
  </si>
  <si>
    <t>IFR-O-i3.*ANS</t>
  </si>
  <si>
    <t>IFR-O-i4.*ANS</t>
  </si>
  <si>
    <t>IFR-O-i5.*ANS</t>
  </si>
  <si>
    <t>IFR-O-i6.*ANS</t>
  </si>
  <si>
    <t>ICR-N-i1.*ANS</t>
  </si>
  <si>
    <t>ICR-N-i2.*ANS</t>
  </si>
  <si>
    <t>ICR-N-i3.*ANS</t>
  </si>
  <si>
    <t>ICR-N-i4.*ANS</t>
  </si>
  <si>
    <t>ICR-N-i5.*ANS</t>
  </si>
  <si>
    <t>ICR-N-i6.*ANS</t>
  </si>
  <si>
    <t>ICR-U-i1.*ANS</t>
  </si>
  <si>
    <t>ICR-U-i2.*ANS</t>
  </si>
  <si>
    <t>ICR-U-i3.*ANS</t>
  </si>
  <si>
    <t>ICR-U-i4.*ANS</t>
  </si>
  <si>
    <t>ICR-U-i5.*ANS</t>
  </si>
  <si>
    <t>ICR-U-i6.*ANS</t>
  </si>
  <si>
    <t>ICR-D-i1.*ANS</t>
  </si>
  <si>
    <t>ICR-D-i2.*ANS</t>
  </si>
  <si>
    <t>ICR-D-i3.*ANS</t>
  </si>
  <si>
    <t>ICR-D-i4.*ANS</t>
  </si>
  <si>
    <t>ICR-D-i5.*ANS</t>
  </si>
  <si>
    <t>ICR-D-i6.*ANS</t>
  </si>
  <si>
    <t>ICR-O-i1.*ANS</t>
  </si>
  <si>
    <t>ICR-O-i2.*ANS</t>
  </si>
  <si>
    <t>ICR-O-i3.*ANS</t>
  </si>
  <si>
    <t>ICR-O-i4.*ANS</t>
  </si>
  <si>
    <t>ICR-O-i5.*ANS</t>
  </si>
  <si>
    <t>ICR-O-i6.*ANS</t>
  </si>
  <si>
    <t>IRE-N-i1.*ANS</t>
  </si>
  <si>
    <t>IRE-N-i2.*ANS</t>
  </si>
  <si>
    <t>IRE-N-i3.*ANS</t>
  </si>
  <si>
    <t>IRE-N-i4.*ANS</t>
  </si>
  <si>
    <t>IRE-N-i5.*ANS</t>
  </si>
  <si>
    <t>IRE-N-i6.*ANS</t>
  </si>
  <si>
    <t>IRE-U-i1.*ANS</t>
  </si>
  <si>
    <t>IRE-U-i2.*ANS</t>
  </si>
  <si>
    <t>IRE-U-i3.*ANS</t>
  </si>
  <si>
    <t>IRE-U-i4.*ANS</t>
  </si>
  <si>
    <t>IRE-U-i5.*ANS</t>
  </si>
  <si>
    <t>IRE-U-i6.*ANS</t>
  </si>
  <si>
    <t>IRE-D-i1.*ANS</t>
  </si>
  <si>
    <t>IRE-D-i2.*ANS</t>
  </si>
  <si>
    <t>IRE-D-i3.*ANS</t>
  </si>
  <si>
    <t>IRE-D-i4.*ANS</t>
  </si>
  <si>
    <t>IRE-D-i5.*ANS</t>
  </si>
  <si>
    <t>IRE-D-i6.*ANS</t>
  </si>
  <si>
    <t>IRE-O-i1.*ANS</t>
  </si>
  <si>
    <t>IRE-O-i2.*ANS</t>
  </si>
  <si>
    <t>IRE-O-i3.*ANS</t>
  </si>
  <si>
    <t>IRE-O-i4.*ANS</t>
  </si>
  <si>
    <t>IRE-O-i5.*ANS</t>
  </si>
  <si>
    <t>IRE-O-i6.*ANS</t>
  </si>
  <si>
    <t>RFR-N-OBJ1-ANS</t>
  </si>
  <si>
    <t>RFR-N-OBJ2-ANS</t>
  </si>
  <si>
    <t>RFR-N-OBJ3-ANS</t>
  </si>
  <si>
    <t>RFR-N-OBJ4-ANS</t>
  </si>
  <si>
    <t>RFR-N-STRA-ANS</t>
  </si>
  <si>
    <t>RFR-N-PORT-ANS</t>
  </si>
  <si>
    <t>RFR-N-LAND-ANS</t>
  </si>
  <si>
    <t>RFR-O-RORD-ANS</t>
  </si>
  <si>
    <t>RFR-O-TMOD-ANS</t>
  </si>
  <si>
    <t>RFR-N-WEAT-ANS</t>
  </si>
  <si>
    <t>RFR-L-OBJ1-ANS</t>
  </si>
  <si>
    <t>RFR-L-OBJ2-ANS</t>
  </si>
  <si>
    <t>RFR-L-OBJ3-ANS</t>
  </si>
  <si>
    <t>RFR-L-OBJ4-ANS</t>
  </si>
  <si>
    <t>RFR-L-DOOR-ANS</t>
  </si>
  <si>
    <t>RFR-L-WIND-ANS</t>
  </si>
  <si>
    <t>RFR-L-PORT-ANS</t>
  </si>
  <si>
    <t>RFR-L-LAND-ANS</t>
  </si>
  <si>
    <t>RFR-L-STRA-ANS</t>
  </si>
  <si>
    <t>TCR-O-TSK1-ANS</t>
  </si>
  <si>
    <t>TCR-O-TSK2-ANS</t>
  </si>
  <si>
    <t>TCR-O-TSK3-ANS</t>
  </si>
  <si>
    <t>TCR-O-TSK4-ANS</t>
  </si>
  <si>
    <t>TCR-O-TSK5-ANS</t>
  </si>
  <si>
    <t>TCR-O-TSK6-ANS</t>
  </si>
  <si>
    <t>RRE-L-DOOR-ANS</t>
  </si>
  <si>
    <t>RRE-L-WIND-ANS</t>
  </si>
  <si>
    <t>RRE-N-LAND-ANS</t>
  </si>
  <si>
    <t>RRE-L-LAND-ANS</t>
  </si>
  <si>
    <t>RRE-N-PORT-ANS</t>
  </si>
  <si>
    <t>RRE-L-PORT-ANS</t>
  </si>
  <si>
    <t>RRE-N-STRA-ANS</t>
  </si>
  <si>
    <t>RRE-L-STRA-ANS</t>
  </si>
  <si>
    <t>VR_2</t>
  </si>
  <si>
    <t>VR_3</t>
  </si>
  <si>
    <t>VR_4</t>
  </si>
  <si>
    <t>VR_5</t>
  </si>
  <si>
    <t>VR_6</t>
  </si>
  <si>
    <t>VR_7</t>
  </si>
  <si>
    <t>VR_8</t>
  </si>
  <si>
    <t>VR_9</t>
  </si>
  <si>
    <t>VR_10</t>
  </si>
  <si>
    <t>VR_11</t>
  </si>
  <si>
    <t>VR_12</t>
  </si>
  <si>
    <t>VR_13</t>
  </si>
  <si>
    <t>VR_14</t>
  </si>
  <si>
    <t>VR_15</t>
  </si>
  <si>
    <t>VR_16</t>
  </si>
  <si>
    <t>VR_17</t>
  </si>
  <si>
    <t>VR_18</t>
  </si>
  <si>
    <t>VR_19</t>
  </si>
  <si>
    <t>VR_20</t>
  </si>
  <si>
    <t>VR_21</t>
  </si>
  <si>
    <t>VR_22</t>
  </si>
  <si>
    <t>VR_23</t>
  </si>
  <si>
    <t>VR_24</t>
  </si>
  <si>
    <t>VR_25</t>
  </si>
  <si>
    <t>VR_26</t>
  </si>
  <si>
    <t>VR_27</t>
  </si>
  <si>
    <t>VR_28</t>
  </si>
  <si>
    <t>VR_29</t>
  </si>
  <si>
    <t>VR_30</t>
  </si>
  <si>
    <t>VR_31</t>
  </si>
  <si>
    <t>VR_32</t>
  </si>
  <si>
    <t>VR_33</t>
  </si>
  <si>
    <t>VR_34</t>
  </si>
  <si>
    <t>VR_35</t>
  </si>
  <si>
    <t>VR_36</t>
  </si>
  <si>
    <t>VR_37</t>
  </si>
  <si>
    <t>VR_38</t>
  </si>
  <si>
    <t>VR_39</t>
  </si>
  <si>
    <t>VR_40</t>
  </si>
  <si>
    <t>VR_41</t>
  </si>
  <si>
    <t>VR_42</t>
  </si>
  <si>
    <t>VR_43</t>
  </si>
  <si>
    <t>VR_44</t>
  </si>
  <si>
    <t>VR_45</t>
  </si>
  <si>
    <t>VR_46</t>
  </si>
  <si>
    <t>VR_47</t>
  </si>
  <si>
    <t>VR_48</t>
  </si>
  <si>
    <t>VR_49</t>
  </si>
  <si>
    <t>VR_50</t>
  </si>
  <si>
    <t>VR_51</t>
  </si>
  <si>
    <t>VR_52</t>
  </si>
  <si>
    <t>VR_53</t>
  </si>
  <si>
    <t>VR_54</t>
  </si>
  <si>
    <t>VR_55</t>
  </si>
  <si>
    <t>VR_56</t>
  </si>
  <si>
    <t>VR_57</t>
  </si>
  <si>
    <t>VR_58</t>
  </si>
  <si>
    <t>VR_59</t>
  </si>
  <si>
    <t>VR_60</t>
  </si>
  <si>
    <t>VR_61</t>
  </si>
  <si>
    <t>VR_62</t>
  </si>
  <si>
    <t>VR_63</t>
  </si>
  <si>
    <t>VR_64</t>
  </si>
  <si>
    <t>VR_65</t>
  </si>
  <si>
    <t>VR_66</t>
  </si>
  <si>
    <t>VR_67</t>
  </si>
  <si>
    <t>VR_68</t>
  </si>
  <si>
    <t>VR_69</t>
  </si>
  <si>
    <t>VR_70</t>
  </si>
  <si>
    <t>VR_71</t>
  </si>
  <si>
    <t>VR_72</t>
  </si>
  <si>
    <t>VR_73</t>
  </si>
  <si>
    <t>VR_74</t>
  </si>
  <si>
    <t>VR_75</t>
  </si>
  <si>
    <t>VR_76</t>
  </si>
  <si>
    <t>VR_77</t>
  </si>
  <si>
    <t>VR_78</t>
  </si>
  <si>
    <t>VR_79</t>
  </si>
  <si>
    <t>VR_80</t>
  </si>
  <si>
    <t>VR_81</t>
  </si>
  <si>
    <t>VR_82</t>
  </si>
  <si>
    <t>VR_83</t>
  </si>
  <si>
    <t>VR_84</t>
  </si>
  <si>
    <t>VR_85</t>
  </si>
  <si>
    <t>VR_86</t>
  </si>
  <si>
    <t>VR_87</t>
  </si>
  <si>
    <t>VR_88</t>
  </si>
  <si>
    <t>VR_89</t>
  </si>
  <si>
    <t>VR_90</t>
  </si>
  <si>
    <t>VR_91</t>
  </si>
  <si>
    <t>VR_92</t>
  </si>
  <si>
    <t>VR_93</t>
  </si>
  <si>
    <t>VR_94</t>
  </si>
  <si>
    <t>VR_95</t>
  </si>
  <si>
    <t>VR_96</t>
  </si>
  <si>
    <t>VR_97</t>
  </si>
  <si>
    <t>VR_98</t>
  </si>
  <si>
    <t>VR_99</t>
  </si>
  <si>
    <t>VR_100</t>
  </si>
  <si>
    <t>VR_101</t>
  </si>
  <si>
    <t>VR_102</t>
  </si>
  <si>
    <t>VR_103</t>
  </si>
  <si>
    <t>VR_104</t>
  </si>
  <si>
    <t>VR_105</t>
  </si>
  <si>
    <t>Mean Room Recognition Score</t>
  </si>
  <si>
    <t>.*-RRE.*-ANS</t>
  </si>
  <si>
    <t>VR_RFR_m</t>
  </si>
  <si>
    <t>VR_TCR_m</t>
  </si>
  <si>
    <t>VR_RRE_m</t>
  </si>
  <si>
    <t>.*-RFR.*-ANS</t>
  </si>
  <si>
    <t>.*-IFR.*-ANS</t>
  </si>
  <si>
    <t>.*-TCR.*-ANS</t>
  </si>
  <si>
    <t>.*-ICR.*-ANS</t>
  </si>
  <si>
    <t>.*-IRE.*-ANS</t>
  </si>
  <si>
    <t>Mean Item Recognition Score</t>
  </si>
  <si>
    <t>Mean Room Free Recall Score</t>
  </si>
  <si>
    <t>Mean Item Free Recall Score</t>
  </si>
  <si>
    <t>Mean Task Cued Recall Score</t>
  </si>
  <si>
    <t>Mean Item Cued Recall Score</t>
  </si>
  <si>
    <t>Mean REMEMVR Confidence</t>
  </si>
  <si>
    <t>.*CON</t>
  </si>
  <si>
    <t>VR_R1</t>
  </si>
  <si>
    <t>VR_R2</t>
  </si>
  <si>
    <t>VR_R3</t>
  </si>
  <si>
    <t>VR_R4</t>
  </si>
  <si>
    <t>First VR Room</t>
  </si>
  <si>
    <t>Second VR Room</t>
  </si>
  <si>
    <t>Third VR Room</t>
  </si>
  <si>
    <t>Fourth VR Room</t>
  </si>
  <si>
    <t>.*-VR1</t>
  </si>
  <si>
    <t>.*-VR2</t>
  </si>
  <si>
    <t>.*-VR3</t>
  </si>
  <si>
    <t>.*-VR4</t>
  </si>
  <si>
    <t>VR_bat</t>
  </si>
  <si>
    <t>VR_bed</t>
  </si>
  <si>
    <t>VR_kit</t>
  </si>
  <si>
    <t>VR_liv</t>
  </si>
  <si>
    <t>Bathroom Mean Score</t>
  </si>
  <si>
    <t>Bedroom Mean Score</t>
  </si>
  <si>
    <t>Kitchen Mean Score</t>
  </si>
  <si>
    <t>Livingroom Mean Score</t>
  </si>
  <si>
    <t>.*BAT-.*ANS</t>
  </si>
  <si>
    <t>.*BED-.*ANS</t>
  </si>
  <si>
    <t>.*KIT-.*ANS</t>
  </si>
  <si>
    <t>.*LIV-.*ANS</t>
  </si>
  <si>
    <t>Time_Date</t>
  </si>
  <si>
    <t>Date of Test</t>
  </si>
  <si>
    <t>.*STA-X-Date</t>
  </si>
  <si>
    <t>tester</t>
  </si>
  <si>
    <t>Jayce or Richard</t>
  </si>
  <si>
    <t>DEM-X-Tester</t>
  </si>
  <si>
    <t>RAVLT Total Score</t>
  </si>
  <si>
    <t>RAVLT_score</t>
  </si>
  <si>
    <t>COG-X-RAV-T1Sc, COG-X-RAV-T2Sc, COG-X-RAV-T3Sc, COG-X-RAV-T4Sc, COG-X-RAV-T5Sc, COG-X-RAV-FRSc, COG-X-RAV-DRSc</t>
  </si>
  <si>
    <t>BVMT_score</t>
  </si>
  <si>
    <t>BVMT Total Score</t>
  </si>
  <si>
    <t>Test1_score</t>
  </si>
  <si>
    <t>Score of Test 1</t>
  </si>
  <si>
    <t>.*-T1-.*ANS</t>
  </si>
  <si>
    <t>.*TiPSadj.*</t>
  </si>
  <si>
    <t>Sleep_Caff</t>
  </si>
  <si>
    <t>Sleep_Tox</t>
  </si>
  <si>
    <t>Caffine Intake</t>
  </si>
  <si>
    <t>Intoxicants</t>
  </si>
  <si>
    <t>Strat_Diff</t>
  </si>
  <si>
    <t>Test Difficulty</t>
  </si>
  <si>
    <t>Strat_Diff2</t>
  </si>
  <si>
    <t>Difficulty compared to last test</t>
  </si>
  <si>
    <t>Strat_Think</t>
  </si>
  <si>
    <t>How often did I think of the room</t>
  </si>
  <si>
    <t>.*CAF1-</t>
  </si>
  <si>
    <t>.*TOX1-</t>
  </si>
  <si>
    <t>.*DIF1-</t>
  </si>
  <si>
    <t>.*DIF2-</t>
  </si>
  <si>
    <t>.*TNK1-</t>
  </si>
  <si>
    <t>Test2_score</t>
  </si>
  <si>
    <t>Test3_score</t>
  </si>
  <si>
    <t>Score of Test 2</t>
  </si>
  <si>
    <t>Score of Test 3</t>
  </si>
  <si>
    <t>.*-T2-.*ANS</t>
  </si>
  <si>
    <t>.*-T3-.*ANS</t>
  </si>
  <si>
    <t>RFR-N-OBJ1-ANS, RFR-N-OBJ1-CON</t>
  </si>
  <si>
    <t>RFR-N-OBJ2-ANS, RFR-N-OBJ2-CON</t>
  </si>
  <si>
    <t>RFR-N-OBJ3-ANS, RFR-N-OBJ3-CON</t>
  </si>
  <si>
    <t>RFR-N-OBJ4-ANS, RFR-N-OBJ4-CON</t>
  </si>
  <si>
    <t>RFR-N-STRA-ANS, RFR-N-STRA-CON</t>
  </si>
  <si>
    <t>RFR-N-PORT-ANS, RFR-N-PORT-CON</t>
  </si>
  <si>
    <t>RFR-N-LAND-ANS, RFR-N-LAND-CON</t>
  </si>
  <si>
    <t>IFR-N-i1.*ANS, IFR-N-i1.*CON</t>
  </si>
  <si>
    <t>IFR-N-i2.*ANS, IFR-N-i2.*CON</t>
  </si>
  <si>
    <t>IFR-N-i3.*ANS, IFR-N-i3.*CON</t>
  </si>
  <si>
    <t>IFR-N-i4.*ANS, IFR-N-i4.*CON</t>
  </si>
  <si>
    <t>IFR-N-i5.*ANS, IFR-N-i5.*CON</t>
  </si>
  <si>
    <t>IFR-N-i6.*ANS, IFR-N-i6.*CON</t>
  </si>
  <si>
    <t>RFR-O-RORD-ANS, RFR-O-RORD-CON</t>
  </si>
  <si>
    <t>RFR-O-TMOD-ANS, RFR-O-TMOD-CON</t>
  </si>
  <si>
    <t>RFR-N-WEAT-ANS, RFR-N-WEAT-CON</t>
  </si>
  <si>
    <t>RFR-L-OBJ1-ANS, RFR-L-OBJ1-CON</t>
  </si>
  <si>
    <t>RFR-L-OBJ2-ANS, RFR-L-OBJ2-CON</t>
  </si>
  <si>
    <t>RFR-L-OBJ3-ANS, RFR-L-OBJ3-CON</t>
  </si>
  <si>
    <t>RFR-L-OBJ4-ANS, RFR-L-OBJ4-CON</t>
  </si>
  <si>
    <t>RFR-L-DOOR-ANS, RFR-L-DOOR-CON</t>
  </si>
  <si>
    <t>RFR-L-WIND-ANS, RFR-L-WIND-CON</t>
  </si>
  <si>
    <t>RFR-L-PORT-ANS, RFR-L-PORT-CON</t>
  </si>
  <si>
    <t>RFR-L-LAND-ANS, RFR-L-LAND-CON</t>
  </si>
  <si>
    <t>RFR-L-STRA-ANS, RFR-L-STRA-CON</t>
  </si>
  <si>
    <t>IFR-U-i1.*ANS, IFR-U-i1.*CON</t>
  </si>
  <si>
    <t>IFR-U-i2.*ANS, IFR-U-i2.*CON</t>
  </si>
  <si>
    <t>IFR-U-i3.*ANS, IFR-U-i3.*CON</t>
  </si>
  <si>
    <t>IFR-U-i4.*ANS, IFR-U-i4.*CON</t>
  </si>
  <si>
    <t>IFR-U-i5.*ANS, IFR-U-i5.*CON</t>
  </si>
  <si>
    <t>IFR-U-i6.*ANS, IFR-U-i6.*CON</t>
  </si>
  <si>
    <t>IFR-D-i1.*ANS, IFR-D-i1.*CON</t>
  </si>
  <si>
    <t>IFR-D-i2.*ANS, IFR-D-i2.*CON</t>
  </si>
  <si>
    <t>IFR-D-i3.*ANS, IFR-D-i3.*CON</t>
  </si>
  <si>
    <t>IFR-D-i4.*ANS, IFR-D-i4.*CON</t>
  </si>
  <si>
    <t>IFR-D-i5.*ANS, IFR-D-i5.*CON</t>
  </si>
  <si>
    <t>IFR-D-i6.*ANS, IFR-D-i6.*CON</t>
  </si>
  <si>
    <t>IFR-O-i1.*ANS, IFR-O-i1.*CON</t>
  </si>
  <si>
    <t>IFR-O-i2.*ANS, IFR-O-i2.*CON</t>
  </si>
  <si>
    <t>IFR-O-i3.*ANS, IFR-O-i3.*CON</t>
  </si>
  <si>
    <t>IFR-O-i4.*ANS, IFR-O-i4.*CON</t>
  </si>
  <si>
    <t>IFR-O-i5.*ANS, IFR-O-i5.*CON</t>
  </si>
  <si>
    <t>IFR-O-i6.*ANS, IFR-O-i6.*CON</t>
  </si>
  <si>
    <t>TCR-O-TSK1-ANS, TCR-O-TSK1-CON</t>
  </si>
  <si>
    <t>TCR-O-TSK2-ANS, TCR-O-TSK2-CON</t>
  </si>
  <si>
    <t>TCR-O-TSK3-ANS, TCR-O-TSK3-CON</t>
  </si>
  <si>
    <t>TCR-O-TSK4-ANS, TCR-O-TSK4-CON</t>
  </si>
  <si>
    <t>TCR-O-TSK5-ANS, TCR-O-TSK5-CON</t>
  </si>
  <si>
    <t>TCR-O-TSK6-ANS, TCR-O-TSK6-CON</t>
  </si>
  <si>
    <t>ICR-N-i1.*ANS, ICR-N-i1.*CON</t>
  </si>
  <si>
    <t>ICR-N-i2.*ANS, ICR-N-i2.*CON</t>
  </si>
  <si>
    <t>ICR-N-i3.*ANS, ICR-N-i3.*CON</t>
  </si>
  <si>
    <t>ICR-N-i4.*ANS, ICR-N-i4.*CON</t>
  </si>
  <si>
    <t>ICR-N-i5.*ANS, ICR-N-i5.*CON</t>
  </si>
  <si>
    <t>ICR-N-i6.*ANS, ICR-N-i6.*CON</t>
  </si>
  <si>
    <t>ICR-U-i1.*ANS, ICR-U-i1.*CON</t>
  </si>
  <si>
    <t>ICR-U-i2.*ANS, ICR-U-i2.*CON</t>
  </si>
  <si>
    <t>ICR-U-i3.*ANS, ICR-U-i3.*CON</t>
  </si>
  <si>
    <t>ICR-U-i4.*ANS, ICR-U-i4.*CON</t>
  </si>
  <si>
    <t>ICR-U-i5.*ANS, ICR-U-i5.*CON</t>
  </si>
  <si>
    <t>ICR-U-i6.*ANS, ICR-U-i6.*CON</t>
  </si>
  <si>
    <t>ICR-D-i1.*ANS, ICR-D-i1.*CON</t>
  </si>
  <si>
    <t>ICR-D-i2.*ANS, ICR-D-i2.*CON</t>
  </si>
  <si>
    <t>ICR-D-i3.*ANS, ICR-D-i3.*CON</t>
  </si>
  <si>
    <t>ICR-D-i4.*ANS, ICR-D-i4.*CON</t>
  </si>
  <si>
    <t>ICR-D-i5.*ANS, ICR-D-i5.*CON</t>
  </si>
  <si>
    <t>ICR-D-i6.*ANS, ICR-D-i6.*CON</t>
  </si>
  <si>
    <t>ICR-O-i1.*ANS, ICR-O-i1.*CON</t>
  </si>
  <si>
    <t>ICR-O-i2.*ANS, ICR-O-i2.*CON</t>
  </si>
  <si>
    <t>ICR-O-i3.*ANS, ICR-O-i3.*CON</t>
  </si>
  <si>
    <t>ICR-O-i4.*ANS, ICR-O-i4.*CON</t>
  </si>
  <si>
    <t>ICR-O-i5.*ANS, ICR-O-i5.*CON</t>
  </si>
  <si>
    <t>ICR-O-i6.*ANS, ICR-O-i6.*CON</t>
  </si>
  <si>
    <t>RRE-L-DOOR-ANS, RRE-L-DOOR-CON</t>
  </si>
  <si>
    <t>RRE-L-WIND-ANS, RRE-L-WIND-CON</t>
  </si>
  <si>
    <t>RRE-N-LAND-ANS, RRE-N-LAND-CON</t>
  </si>
  <si>
    <t>RRE-L-LAND-ANS, RRE-L-LAND-CON</t>
  </si>
  <si>
    <t>RRE-N-PORT-ANS, RRE-N-PORT-CON</t>
  </si>
  <si>
    <t>RRE-L-PORT-ANS, RRE-L-PORT-CON</t>
  </si>
  <si>
    <t>RRE-N-STRA-ANS, RRE-N-STRA-CON</t>
  </si>
  <si>
    <t>RRE-L-STRA-ANS, RRE-L-STRA-CON</t>
  </si>
  <si>
    <t>IRE-N-i1.*ANS, IRE-N-i1.*CON</t>
  </si>
  <si>
    <t>IRE-N-i2.*ANS, IRE-N-i2.*CON</t>
  </si>
  <si>
    <t>IRE-N-i3.*ANS, IRE-N-i3.*CON</t>
  </si>
  <si>
    <t>IRE-N-i4.*ANS, IRE-N-i4.*CON</t>
  </si>
  <si>
    <t>IRE-N-i5.*ANS, IRE-N-i5.*CON</t>
  </si>
  <si>
    <t>IRE-N-i6.*ANS, IRE-N-i6.*CON</t>
  </si>
  <si>
    <t>IRE-U-i1.*ANS, IRE-U-i1.*CON</t>
  </si>
  <si>
    <t>IRE-U-i2.*ANS, IRE-U-i2.*CON</t>
  </si>
  <si>
    <t>IRE-U-i3.*ANS, IRE-U-i3.*CON</t>
  </si>
  <si>
    <t>IRE-U-i4.*ANS, IRE-U-i4.*CON</t>
  </si>
  <si>
    <t>IRE-U-i5.*ANS, IRE-U-i5.*CON</t>
  </si>
  <si>
    <t>IRE-U-i6.*ANS, IRE-U-i6.*CON</t>
  </si>
  <si>
    <t>IRE-D-i1.*ANS, IRE-D-i1.*CON</t>
  </si>
  <si>
    <t>IRE-D-i2.*ANS, IRE-D-i2.*CON</t>
  </si>
  <si>
    <t>IRE-D-i3.*ANS, IRE-D-i3.*CON</t>
  </si>
  <si>
    <t>IRE-D-i4.*ANS, IRE-D-i4.*CON</t>
  </si>
  <si>
    <t>IRE-D-i5.*ANS, IRE-D-i5.*CON</t>
  </si>
  <si>
    <t>IRE-D-i6.*ANS, IRE-D-i6.*CON</t>
  </si>
  <si>
    <t>IRE-O-i1.*ANS, IRE-O-i1.*CON</t>
  </si>
  <si>
    <t>IRE-O-i2.*ANS, IRE-O-i2.*CON</t>
  </si>
  <si>
    <t>IRE-O-i3.*ANS, IRE-O-i3.*CON</t>
  </si>
  <si>
    <t>IRE-O-i4.*ANS, IRE-O-i4.*CON</t>
  </si>
  <si>
    <t>IRE-O-i5.*ANS, IRE-O-i5.*CON</t>
  </si>
  <si>
    <t>IRE-O-i6.*ANS, IRE-O-i6.*CON</t>
  </si>
  <si>
    <t>multi</t>
  </si>
  <si>
    <t>VR_port_n</t>
  </si>
  <si>
    <t>VR_land_n</t>
  </si>
  <si>
    <t>Portrait What</t>
  </si>
  <si>
    <t>Landscape What</t>
  </si>
  <si>
    <t>VR_port_l</t>
  </si>
  <si>
    <t>VR_land_l</t>
  </si>
  <si>
    <t>Portrait Where</t>
  </si>
  <si>
    <t>Landscape Where</t>
  </si>
  <si>
    <t>VR_totalcon_m</t>
  </si>
  <si>
    <t>.*N-PORT.*ANS</t>
  </si>
  <si>
    <t>.*N-LAND.*ANS</t>
  </si>
  <si>
    <t>.*L-PORT.*ANS</t>
  </si>
  <si>
    <t>.*L-LAND.*ANS</t>
  </si>
  <si>
    <t>VR_item_common</t>
  </si>
  <si>
    <t>VR_item_congruent</t>
  </si>
  <si>
    <t>VR_item_incongruent</t>
  </si>
  <si>
    <t>VR_item_up</t>
  </si>
  <si>
    <t>VR_item_down</t>
  </si>
  <si>
    <t>Common Item Mean</t>
  </si>
  <si>
    <t>Congruent Item Mean</t>
  </si>
  <si>
    <t>Incongruent Item Mean</t>
  </si>
  <si>
    <t>Item Pick Up</t>
  </si>
  <si>
    <t>Item Put Down</t>
  </si>
  <si>
    <t>.*CM-.*ANS</t>
  </si>
  <si>
    <t>.*CG-.*ANS</t>
  </si>
  <si>
    <t>.*IN-.*ANS</t>
  </si>
  <si>
    <t>.*-U-.*ANS</t>
  </si>
  <si>
    <t>.*-D-.*ANS</t>
  </si>
  <si>
    <t>Duck (Bath → Shower)</t>
  </si>
  <si>
    <t>TV Remote (2 → Bath)</t>
  </si>
  <si>
    <t>T Brushes (3 → 4)</t>
  </si>
  <si>
    <t>Book (Toilet → 3)</t>
  </si>
  <si>
    <t>Hammer (Sink → Toilet)</t>
  </si>
  <si>
    <t>Glasses (1 → Sink)</t>
  </si>
  <si>
    <t>Alarm Clock (Bed → 4)</t>
  </si>
  <si>
    <t>Magazine (Dresser → Bed)</t>
  </si>
  <si>
    <t>Picture Frame (1 → Dresser)</t>
  </si>
  <si>
    <t>Frying Pan (Bookshelf → Wardrobe)</t>
  </si>
  <si>
    <t>Smartphone (4 → 2)</t>
  </si>
  <si>
    <t>Knife (3 → Bookshelf)</t>
  </si>
  <si>
    <t>Letters (2 → Fridge)</t>
  </si>
  <si>
    <t>Cutlery (Oven → 2)</t>
  </si>
  <si>
    <t>Toaster (4 → Oven)</t>
  </si>
  <si>
    <t>Motor Oil (1 → 3)</t>
  </si>
  <si>
    <t>Car Keys (Bench → Pantry)</t>
  </si>
  <si>
    <t>Toilet Paper (Pantry → Bench)</t>
  </si>
  <si>
    <t>Battery Drill (Couch → Bookcase)</t>
  </si>
  <si>
    <t>Sleep Mask (4 → 1)</t>
  </si>
  <si>
    <t>Lamp (2 → Couch)</t>
  </si>
  <si>
    <t>Handbag (TV Cabinet → 2)</t>
  </si>
  <si>
    <t>Laptop (Armchair → TV Cabinet)</t>
  </si>
  <si>
    <t>Newspaper (3 → Armchair)</t>
  </si>
  <si>
    <t>i</t>
  </si>
  <si>
    <t>n</t>
  </si>
  <si>
    <t>bath</t>
  </si>
  <si>
    <t>shower</t>
  </si>
  <si>
    <t>p2</t>
  </si>
  <si>
    <t>p3</t>
  </si>
  <si>
    <t>p4</t>
  </si>
  <si>
    <t>toilet</t>
  </si>
  <si>
    <t>sink</t>
  </si>
  <si>
    <t>p1</t>
  </si>
  <si>
    <t>bed</t>
  </si>
  <si>
    <t>dresser</t>
  </si>
  <si>
    <t>bookshelf</t>
  </si>
  <si>
    <t>wardrobe</t>
  </si>
  <si>
    <t>fridge</t>
  </si>
  <si>
    <t>oven</t>
  </si>
  <si>
    <t>bench</t>
  </si>
  <si>
    <t>pantry</t>
  </si>
  <si>
    <t>couch</t>
  </si>
  <si>
    <t>bookcase</t>
  </si>
  <si>
    <t>tv</t>
  </si>
  <si>
    <t>chair</t>
  </si>
  <si>
    <t>bat</t>
  </si>
  <si>
    <t>kit</t>
  </si>
  <si>
    <t>liv</t>
  </si>
  <si>
    <t>duck</t>
  </si>
  <si>
    <t>remote</t>
  </si>
  <si>
    <t>tbrushes</t>
  </si>
  <si>
    <t>book</t>
  </si>
  <si>
    <t>hammer</t>
  </si>
  <si>
    <t>glasses</t>
  </si>
  <si>
    <t>alarm</t>
  </si>
  <si>
    <t>magazine</t>
  </si>
  <si>
    <t>picture</t>
  </si>
  <si>
    <t>frypan</t>
  </si>
  <si>
    <t>phone</t>
  </si>
  <si>
    <t>knife</t>
  </si>
  <si>
    <t>letters</t>
  </si>
  <si>
    <t>cutlery</t>
  </si>
  <si>
    <t>toaster</t>
  </si>
  <si>
    <t>oil</t>
  </si>
  <si>
    <t>keys</t>
  </si>
  <si>
    <t>tpaper</t>
  </si>
  <si>
    <t>drill</t>
  </si>
  <si>
    <t>mask</t>
  </si>
  <si>
    <t>lamp</t>
  </si>
  <si>
    <t>handbag</t>
  </si>
  <si>
    <t>laptop</t>
  </si>
  <si>
    <t>newspaper</t>
  </si>
  <si>
    <t>u</t>
  </si>
  <si>
    <t>d</t>
  </si>
  <si>
    <t>o</t>
  </si>
  <si>
    <t>a</t>
  </si>
  <si>
    <t>c</t>
  </si>
  <si>
    <t>i_n_duck_1_bath_shower_bat_a</t>
  </si>
  <si>
    <t>i_n_remote_2_p2_bath_bat_a</t>
  </si>
  <si>
    <t>i_n_tbrushes_3_p3_p4_bat_a</t>
  </si>
  <si>
    <t>i_n_book_4_toilet_p3_bat_a</t>
  </si>
  <si>
    <t>i_n_hammer_5_sink_toilet_bat_a</t>
  </si>
  <si>
    <t>i_n_glasses_6_p1_sink_bat_a</t>
  </si>
  <si>
    <t>i_n_alarm_1_bed_p4_bed_a</t>
  </si>
  <si>
    <t>i_n_magazine_2_dresser_bed_bed_a</t>
  </si>
  <si>
    <t>i_n_picture_3_p1_dresser_bed_a</t>
  </si>
  <si>
    <t>i_n_frypan_4_bookshelf_wardrobe_bed_a</t>
  </si>
  <si>
    <t>i_n_phone_5_p4_p2_bed_a</t>
  </si>
  <si>
    <t>i_n_knife_6_p3_bookshelf_bed_a</t>
  </si>
  <si>
    <t>i_n_letters_1_p2_fridge_kit_a</t>
  </si>
  <si>
    <t>i_n_cutlery_2_oven_p2_kit_a</t>
  </si>
  <si>
    <t>i_n_toaster_3_p4_oven_kit_a</t>
  </si>
  <si>
    <t>i_n_oil_4_p1_p3_kit_a</t>
  </si>
  <si>
    <t>i_n_keys_5_bench_pantry_kit_a</t>
  </si>
  <si>
    <t>i_n_tpaper_6_pantry_bench_kit_a</t>
  </si>
  <si>
    <t>i_n_drill_1_couch_bookcase_liv_a</t>
  </si>
  <si>
    <t>i_n_mask_2_p4_p1_liv_a</t>
  </si>
  <si>
    <t>i_n_lamp_3_p2_couch_liv_a</t>
  </si>
  <si>
    <t>i_n_handbag_4_tv_p2_liv_a</t>
  </si>
  <si>
    <t>i_n_laptop_5_chair_tv_liv_a</t>
  </si>
  <si>
    <t>i_n_newspaper_6_p3_chair_liv_a</t>
  </si>
  <si>
    <t>i_u_duck_1_bath_shower_bat_a</t>
  </si>
  <si>
    <t>i_u_remote_2_p2_bath_bat_a</t>
  </si>
  <si>
    <t>i_u_tbrushes_3_p3_p4_bat_a</t>
  </si>
  <si>
    <t>i_u_book_4_toilet_p3_bat_a</t>
  </si>
  <si>
    <t>i_u_hammer_5_sink_toilet_bat_a</t>
  </si>
  <si>
    <t>i_u_glasses_6_p1_sink_bat_a</t>
  </si>
  <si>
    <t>i_u_alarm_1_bed_p4_bed_a</t>
  </si>
  <si>
    <t>i_u_magazine_2_dresser_bed_bed_a</t>
  </si>
  <si>
    <t>i_u_picture_3_p1_dresser_bed_a</t>
  </si>
  <si>
    <t>i_u_frypan_4_bookshelf_wardrobe_bed_a</t>
  </si>
  <si>
    <t>i_u_phone_5_p4_p2_bed_a</t>
  </si>
  <si>
    <t>i_u_knife_6_p3_bookshelf_bed_a</t>
  </si>
  <si>
    <t>i_u_letters_1_p2_fridge_kit_a</t>
  </si>
  <si>
    <t>i_u_cutlery_2_oven_p2_kit_a</t>
  </si>
  <si>
    <t>i_u_toaster_3_p4_oven_kit_a</t>
  </si>
  <si>
    <t>i_u_oil_4_p1_p3_kit_a</t>
  </si>
  <si>
    <t>i_u_keys_5_bench_pantry_kit_a</t>
  </si>
  <si>
    <t>i_u_tpaper_6_pantry_bench_kit_a</t>
  </si>
  <si>
    <t>i_u_drill_1_couch_bookcase_liv_a</t>
  </si>
  <si>
    <t>i_u_mask_2_p4_p1_liv_a</t>
  </si>
  <si>
    <t>i_u_lamp_3_p2_couch_liv_a</t>
  </si>
  <si>
    <t>i_u_handbag_4_tv_p2_liv_a</t>
  </si>
  <si>
    <t>i_u_laptop_5_chair_tv_liv_a</t>
  </si>
  <si>
    <t>i_u_newspaper_6_p3_chair_liv_a</t>
  </si>
  <si>
    <t>i_d_duck_1_bath_shower_bat_a</t>
  </si>
  <si>
    <t>i_d_remote_2_p2_bath_bat_a</t>
  </si>
  <si>
    <t>i_d_tbrushes_3_p3_p4_bat_a</t>
  </si>
  <si>
    <t>i_d_book_4_toilet_p3_bat_a</t>
  </si>
  <si>
    <t>i_d_hammer_5_sink_toilet_bat_a</t>
  </si>
  <si>
    <t>i_d_glasses_6_p1_sink_bat_a</t>
  </si>
  <si>
    <t>i_d_alarm_1_bed_p4_bed_a</t>
  </si>
  <si>
    <t>i_d_magazine_2_dresser_bed_bed_a</t>
  </si>
  <si>
    <t>i_d_picture_3_p1_dresser_bed_a</t>
  </si>
  <si>
    <t>i_d_frypan_4_bookshelf_wardrobe_bed_a</t>
  </si>
  <si>
    <t>i_d_phone_5_p4_p2_bed_a</t>
  </si>
  <si>
    <t>i_d_knife_6_p3_bookshelf_bed_a</t>
  </si>
  <si>
    <t>i_d_letters_1_p2_fridge_kit_a</t>
  </si>
  <si>
    <t>i_d_cutlery_2_oven_p2_kit_a</t>
  </si>
  <si>
    <t>i_d_toaster_3_p4_oven_kit_a</t>
  </si>
  <si>
    <t>i_d_oil_4_p1_p3_kit_a</t>
  </si>
  <si>
    <t>i_d_keys_5_bench_pantry_kit_a</t>
  </si>
  <si>
    <t>i_d_tpaper_6_pantry_bench_kit_a</t>
  </si>
  <si>
    <t>i_d_drill_1_couch_bookcase_liv_a</t>
  </si>
  <si>
    <t>i_d_mask_2_p4_p1_liv_a</t>
  </si>
  <si>
    <t>i_d_lamp_3_p2_couch_liv_a</t>
  </si>
  <si>
    <t>i_d_handbag_4_tv_p2_liv_a</t>
  </si>
  <si>
    <t>i_d_laptop_5_chair_tv_liv_a</t>
  </si>
  <si>
    <t>i_d_newspaper_6_p3_chair_liv_a</t>
  </si>
  <si>
    <t>i_o_duck_1_bath_shower_bat_a</t>
  </si>
  <si>
    <t>i_o_remote_2_p2_bath_bat_a</t>
  </si>
  <si>
    <t>i_o_tbrushes_3_p3_p4_bat_a</t>
  </si>
  <si>
    <t>i_o_book_4_toilet_p3_bat_a</t>
  </si>
  <si>
    <t>i_o_hammer_5_sink_toilet_bat_a</t>
  </si>
  <si>
    <t>i_o_glasses_6_p1_sink_bat_a</t>
  </si>
  <si>
    <t>i_o_alarm_1_bed_p4_bed_a</t>
  </si>
  <si>
    <t>i_o_magazine_2_dresser_bed_bed_a</t>
  </si>
  <si>
    <t>i_o_picture_3_p1_dresser_bed_a</t>
  </si>
  <si>
    <t>i_o_frypan_4_bookshelf_wardrobe_bed_a</t>
  </si>
  <si>
    <t>i_o_phone_5_p4_p2_bed_a</t>
  </si>
  <si>
    <t>i_o_knife_6_p3_bookshelf_bed_a</t>
  </si>
  <si>
    <t>i_o_letters_1_p2_fridge_kit_a</t>
  </si>
  <si>
    <t>i_o_cutlery_2_oven_p2_kit_a</t>
  </si>
  <si>
    <t>i_o_toaster_3_p4_oven_kit_a</t>
  </si>
  <si>
    <t>i_o_oil_4_p1_p3_kit_a</t>
  </si>
  <si>
    <t>i_o_keys_5_bench_pantry_kit_a</t>
  </si>
  <si>
    <t>i_o_tpaper_6_pantry_bench_kit_a</t>
  </si>
  <si>
    <t>i_o_drill_1_couch_bookcase_liv_a</t>
  </si>
  <si>
    <t>i_o_mask_2_p4_p1_liv_a</t>
  </si>
  <si>
    <t>i_o_lamp_3_p2_couch_liv_a</t>
  </si>
  <si>
    <t>i_o_handbag_4_tv_p2_liv_a</t>
  </si>
  <si>
    <t>i_o_laptop_5_chair_tv_liv_a</t>
  </si>
  <si>
    <t>i_o_newspaper_6_p3_chair_liv_a</t>
  </si>
  <si>
    <t>i_n_duck_1_bath_shower_bat_c</t>
  </si>
  <si>
    <t>i_n_remote_2_p2_bath_bat_c</t>
  </si>
  <si>
    <t>i_n_tbrushes_3_p3_p4_bat_c</t>
  </si>
  <si>
    <t>i_n_book_4_toilet_p3_bat_c</t>
  </si>
  <si>
    <t>i_n_hammer_5_sink_toilet_bat_c</t>
  </si>
  <si>
    <t>i_n_glasses_6_p1_sink_bat_c</t>
  </si>
  <si>
    <t>i_n_alarm_1_bed_p4_bed_c</t>
  </si>
  <si>
    <t>i_n_magazine_2_dresser_bed_bed_c</t>
  </si>
  <si>
    <t>i_n_picture_3_p1_dresser_bed_c</t>
  </si>
  <si>
    <t>i_n_frypan_4_bookshelf_wardrobe_bed_c</t>
  </si>
  <si>
    <t>i_n_phone_5_p4_p2_bed_c</t>
  </si>
  <si>
    <t>i_n_knife_6_p3_bookshelf_bed_c</t>
  </si>
  <si>
    <t>i_n_letters_1_p2_fridge_kit_c</t>
  </si>
  <si>
    <t>i_n_cutlery_2_oven_p2_kit_c</t>
  </si>
  <si>
    <t>i_n_toaster_3_p4_oven_kit_c</t>
  </si>
  <si>
    <t>i_n_oil_4_p1_p3_kit_c</t>
  </si>
  <si>
    <t>i_n_keys_5_bench_pantry_kit_c</t>
  </si>
  <si>
    <t>i_n_tpaper_6_pantry_bench_kit_c</t>
  </si>
  <si>
    <t>i_n_drill_1_couch_bookcase_liv_c</t>
  </si>
  <si>
    <t>i_n_mask_2_p4_p1_liv_c</t>
  </si>
  <si>
    <t>i_n_lamp_3_p2_couch_liv_c</t>
  </si>
  <si>
    <t>i_n_handbag_4_tv_p2_liv_c</t>
  </si>
  <si>
    <t>i_n_laptop_5_chair_tv_liv_c</t>
  </si>
  <si>
    <t>i_n_newspaper_6_p3_chair_liv_c</t>
  </si>
  <si>
    <t>i_u_duck_1_bath_shower_bat_c</t>
  </si>
  <si>
    <t>i_u_remote_2_p2_bath_bat_c</t>
  </si>
  <si>
    <t>i_u_tbrushes_3_p3_p4_bat_c</t>
  </si>
  <si>
    <t>i_u_book_4_toilet_p3_bat_c</t>
  </si>
  <si>
    <t>i_u_hammer_5_sink_toilet_bat_c</t>
  </si>
  <si>
    <t>i_u_glasses_6_p1_sink_bat_c</t>
  </si>
  <si>
    <t>i_u_alarm_1_bed_p4_bed_c</t>
  </si>
  <si>
    <t>i_u_magazine_2_dresser_bed_bed_c</t>
  </si>
  <si>
    <t>i_u_picture_3_p1_dresser_bed_c</t>
  </si>
  <si>
    <t>i_u_frypan_4_bookshelf_wardrobe_bed_c</t>
  </si>
  <si>
    <t>i_u_phone_5_p4_p2_bed_c</t>
  </si>
  <si>
    <t>i_u_knife_6_p3_bookshelf_bed_c</t>
  </si>
  <si>
    <t>i_u_letters_1_p2_fridge_kit_c</t>
  </si>
  <si>
    <t>i_u_cutlery_2_oven_p2_kit_c</t>
  </si>
  <si>
    <t>i_u_toaster_3_p4_oven_kit_c</t>
  </si>
  <si>
    <t>i_u_oil_4_p1_p3_kit_c</t>
  </si>
  <si>
    <t>i_u_keys_5_bench_pantry_kit_c</t>
  </si>
  <si>
    <t>i_u_tpaper_6_pantry_bench_kit_c</t>
  </si>
  <si>
    <t>i_u_drill_1_couch_bookcase_liv_c</t>
  </si>
  <si>
    <t>i_u_mask_2_p4_p1_liv_c</t>
  </si>
  <si>
    <t>i_u_lamp_3_p2_couch_liv_c</t>
  </si>
  <si>
    <t>i_u_handbag_4_tv_p2_liv_c</t>
  </si>
  <si>
    <t>i_u_laptop_5_chair_tv_liv_c</t>
  </si>
  <si>
    <t>i_u_newspaper_6_p3_chair_liv_c</t>
  </si>
  <si>
    <t>i_d_duck_1_bath_shower_bat_c</t>
  </si>
  <si>
    <t>i_d_remote_2_p2_bath_bat_c</t>
  </si>
  <si>
    <t>i_d_tbrushes_3_p3_p4_bat_c</t>
  </si>
  <si>
    <t>i_d_book_4_toilet_p3_bat_c</t>
  </si>
  <si>
    <t>i_d_hammer_5_sink_toilet_bat_c</t>
  </si>
  <si>
    <t>i_d_glasses_6_p1_sink_bat_c</t>
  </si>
  <si>
    <t>i_d_alarm_1_bed_p4_bed_c</t>
  </si>
  <si>
    <t>i_d_magazine_2_dresser_bed_bed_c</t>
  </si>
  <si>
    <t>i_d_picture_3_p1_dresser_bed_c</t>
  </si>
  <si>
    <t>i_d_frypan_4_bookshelf_wardrobe_bed_c</t>
  </si>
  <si>
    <t>i_d_phone_5_p4_p2_bed_c</t>
  </si>
  <si>
    <t>i_d_knife_6_p3_bookshelf_bed_c</t>
  </si>
  <si>
    <t>i_d_letters_1_p2_fridge_kit_c</t>
  </si>
  <si>
    <t>i_d_cutlery_2_oven_p2_kit_c</t>
  </si>
  <si>
    <t>i_d_toaster_3_p4_oven_kit_c</t>
  </si>
  <si>
    <t>i_d_oil_4_p1_p3_kit_c</t>
  </si>
  <si>
    <t>i_d_keys_5_bench_pantry_kit_c</t>
  </si>
  <si>
    <t>i_d_tpaper_6_pantry_bench_kit_c</t>
  </si>
  <si>
    <t>i_d_drill_1_couch_bookcase_liv_c</t>
  </si>
  <si>
    <t>i_d_mask_2_p4_p1_liv_c</t>
  </si>
  <si>
    <t>i_d_lamp_3_p2_couch_liv_c</t>
  </si>
  <si>
    <t>i_d_handbag_4_tv_p2_liv_c</t>
  </si>
  <si>
    <t>i_d_laptop_5_chair_tv_liv_c</t>
  </si>
  <si>
    <t>i_d_newspaper_6_p3_chair_liv_c</t>
  </si>
  <si>
    <t>i_o_duck_1_bath_shower_bat_c</t>
  </si>
  <si>
    <t>i_o_remote_2_p2_bath_bat_c</t>
  </si>
  <si>
    <t>i_o_tbrushes_3_p3_p4_bat_c</t>
  </si>
  <si>
    <t>i_o_book_4_toilet_p3_bat_c</t>
  </si>
  <si>
    <t>i_o_hammer_5_sink_toilet_bat_c</t>
  </si>
  <si>
    <t>i_o_glasses_6_p1_sink_bat_c</t>
  </si>
  <si>
    <t>i_o_alarm_1_bed_p4_bed_c</t>
  </si>
  <si>
    <t>i_o_magazine_2_dresser_bed_bed_c</t>
  </si>
  <si>
    <t>i_o_picture_3_p1_dresser_bed_c</t>
  </si>
  <si>
    <t>i_o_frypan_4_bookshelf_wardrobe_bed_c</t>
  </si>
  <si>
    <t>i_o_phone_5_p4_p2_bed_c</t>
  </si>
  <si>
    <t>i_o_knife_6_p3_bookshelf_bed_c</t>
  </si>
  <si>
    <t>i_o_letters_1_p2_fridge_kit_c</t>
  </si>
  <si>
    <t>i_o_cutlery_2_oven_p2_kit_c</t>
  </si>
  <si>
    <t>i_o_toaster_3_p4_oven_kit_c</t>
  </si>
  <si>
    <t>i_o_oil_4_p1_p3_kit_c</t>
  </si>
  <si>
    <t>i_o_keys_5_bench_pantry_kit_c</t>
  </si>
  <si>
    <t>i_o_tpaper_6_pantry_bench_kit_c</t>
  </si>
  <si>
    <t>i_o_drill_1_couch_bookcase_liv_c</t>
  </si>
  <si>
    <t>i_o_mask_2_p4_p1_liv_c</t>
  </si>
  <si>
    <t>i_o_lamp_3_p2_couch_liv_c</t>
  </si>
  <si>
    <t>i_o_handbag_4_tv_p2_liv_c</t>
  </si>
  <si>
    <t>i_o_laptop_5_chair_tv_liv_c</t>
  </si>
  <si>
    <t>i_o_newspaper_6_p3_chair_liv_c</t>
  </si>
  <si>
    <t>BAT</t>
  </si>
  <si>
    <t>BED</t>
  </si>
  <si>
    <t>KIT</t>
  </si>
  <si>
    <t>LIV</t>
  </si>
  <si>
    <t>N</t>
  </si>
  <si>
    <t>U</t>
  </si>
  <si>
    <t>D</t>
  </si>
  <si>
    <t>O</t>
  </si>
  <si>
    <t>CON</t>
  </si>
  <si>
    <t>.*BAT.*-N-.*-n1.*-ANS</t>
  </si>
  <si>
    <t>.*BAT.*-N-.*-n2.*-ANS</t>
  </si>
  <si>
    <t>.*BAT.*-N-.*-n3.*-ANS</t>
  </si>
  <si>
    <t>.*BAT.*-N-.*-n4.*-ANS</t>
  </si>
  <si>
    <t>.*BAT.*-N-.*-n5.*-ANS</t>
  </si>
  <si>
    <t>.*BAT.*-N-.*-n6.*-ANS</t>
  </si>
  <si>
    <t>.*BED.*-N-.*-n1.*-ANS</t>
  </si>
  <si>
    <t>.*BED.*-N-.*-n2.*-ANS</t>
  </si>
  <si>
    <t>.*BED.*-N-.*-n3.*-ANS</t>
  </si>
  <si>
    <t>.*BED.*-N-.*-n4.*-ANS</t>
  </si>
  <si>
    <t>.*BED.*-N-.*-n5.*-ANS</t>
  </si>
  <si>
    <t>.*BED.*-N-.*-n6.*-ANS</t>
  </si>
  <si>
    <t>.*KIT.*-N-.*-n1.*-ANS</t>
  </si>
  <si>
    <t>.*KIT.*-N-.*-n2.*-ANS</t>
  </si>
  <si>
    <t>.*KIT.*-N-.*-n3.*-ANS</t>
  </si>
  <si>
    <t>.*KIT.*-N-.*-n4.*-ANS</t>
  </si>
  <si>
    <t>.*KIT.*-N-.*-n5.*-ANS</t>
  </si>
  <si>
    <t>.*KIT.*-N-.*-n6.*-ANS</t>
  </si>
  <si>
    <t>.*LIV.*-N-.*-n1.*-ANS</t>
  </si>
  <si>
    <t>.*LIV.*-N-.*-n2.*-ANS</t>
  </si>
  <si>
    <t>.*LIV.*-N-.*-n3.*-ANS</t>
  </si>
  <si>
    <t>.*LIV.*-N-.*-n4.*-ANS</t>
  </si>
  <si>
    <t>.*LIV.*-N-.*-n5.*-ANS</t>
  </si>
  <si>
    <t>.*LIV.*-N-.*-n6.*-ANS</t>
  </si>
  <si>
    <t>.*BAT.*-U-.*-n1.*-ANS</t>
  </si>
  <si>
    <t>.*BAT.*-U-.*-n2.*-ANS</t>
  </si>
  <si>
    <t>.*BAT.*-U-.*-n3.*-ANS</t>
  </si>
  <si>
    <t>.*BAT.*-U-.*-n4.*-ANS</t>
  </si>
  <si>
    <t>.*BAT.*-U-.*-n5.*-ANS</t>
  </si>
  <si>
    <t>.*BAT.*-U-.*-n6.*-ANS</t>
  </si>
  <si>
    <t>.*BED.*-U-.*-n1.*-ANS</t>
  </si>
  <si>
    <t>.*BED.*-U-.*-n2.*-ANS</t>
  </si>
  <si>
    <t>.*BED.*-U-.*-n3.*-ANS</t>
  </si>
  <si>
    <t>.*BED.*-U-.*-n4.*-ANS</t>
  </si>
  <si>
    <t>.*BED.*-U-.*-n5.*-ANS</t>
  </si>
  <si>
    <t>.*BED.*-U-.*-n6.*-ANS</t>
  </si>
  <si>
    <t>.*KIT.*-U-.*-n1.*-ANS</t>
  </si>
  <si>
    <t>.*KIT.*-U-.*-n2.*-ANS</t>
  </si>
  <si>
    <t>.*KIT.*-U-.*-n3.*-ANS</t>
  </si>
  <si>
    <t>.*KIT.*-U-.*-n4.*-ANS</t>
  </si>
  <si>
    <t>.*KIT.*-U-.*-n5.*-ANS</t>
  </si>
  <si>
    <t>.*KIT.*-U-.*-n6.*-ANS</t>
  </si>
  <si>
    <t>.*LIV.*-U-.*-n1.*-ANS</t>
  </si>
  <si>
    <t>.*LIV.*-U-.*-n2.*-ANS</t>
  </si>
  <si>
    <t>.*LIV.*-U-.*-n3.*-ANS</t>
  </si>
  <si>
    <t>.*LIV.*-U-.*-n4.*-ANS</t>
  </si>
  <si>
    <t>.*LIV.*-U-.*-n5.*-ANS</t>
  </si>
  <si>
    <t>.*LIV.*-U-.*-n6.*-ANS</t>
  </si>
  <si>
    <t>.*BAT.*-D-.*-n1.*-ANS</t>
  </si>
  <si>
    <t>.*BAT.*-D-.*-n2.*-ANS</t>
  </si>
  <si>
    <t>.*BAT.*-D-.*-n3.*-ANS</t>
  </si>
  <si>
    <t>.*BAT.*-D-.*-n4.*-ANS</t>
  </si>
  <si>
    <t>.*BAT.*-D-.*-n5.*-ANS</t>
  </si>
  <si>
    <t>.*BAT.*-D-.*-n6.*-ANS</t>
  </si>
  <si>
    <t>.*BED.*-D-.*-n1.*-ANS</t>
  </si>
  <si>
    <t>.*BED.*-D-.*-n2.*-ANS</t>
  </si>
  <si>
    <t>.*BED.*-D-.*-n3.*-ANS</t>
  </si>
  <si>
    <t>.*BED.*-D-.*-n4.*-ANS</t>
  </si>
  <si>
    <t>.*BED.*-D-.*-n5.*-ANS</t>
  </si>
  <si>
    <t>.*BED.*-D-.*-n6.*-ANS</t>
  </si>
  <si>
    <t>.*KIT.*-D-.*-n1.*-ANS</t>
  </si>
  <si>
    <t>.*KIT.*-D-.*-n2.*-ANS</t>
  </si>
  <si>
    <t>.*KIT.*-D-.*-n3.*-ANS</t>
  </si>
  <si>
    <t>.*KIT.*-D-.*-n4.*-ANS</t>
  </si>
  <si>
    <t>.*KIT.*-D-.*-n5.*-ANS</t>
  </si>
  <si>
    <t>.*KIT.*-D-.*-n6.*-ANS</t>
  </si>
  <si>
    <t>.*LIV.*-D-.*-n1.*-ANS</t>
  </si>
  <si>
    <t>.*LIV.*-D-.*-n2.*-ANS</t>
  </si>
  <si>
    <t>.*LIV.*-D-.*-n3.*-ANS</t>
  </si>
  <si>
    <t>.*LIV.*-D-.*-n4.*-ANS</t>
  </si>
  <si>
    <t>.*LIV.*-D-.*-n5.*-ANS</t>
  </si>
  <si>
    <t>.*LIV.*-D-.*-n6.*-ANS</t>
  </si>
  <si>
    <t>.*BAT.*-O-.*-n1.*-ANS</t>
  </si>
  <si>
    <t>.*BAT.*-O-.*-n2.*-ANS</t>
  </si>
  <si>
    <t>.*BAT.*-O-.*-n3.*-ANS</t>
  </si>
  <si>
    <t>.*BAT.*-O-.*-n4.*-ANS</t>
  </si>
  <si>
    <t>.*BAT.*-O-.*-n5.*-ANS</t>
  </si>
  <si>
    <t>.*BAT.*-O-.*-n6.*-ANS</t>
  </si>
  <si>
    <t>.*BED.*-O-.*-n1.*-ANS</t>
  </si>
  <si>
    <t>.*BED.*-O-.*-n2.*-ANS</t>
  </si>
  <si>
    <t>.*BED.*-O-.*-n3.*-ANS</t>
  </si>
  <si>
    <t>.*BED.*-O-.*-n4.*-ANS</t>
  </si>
  <si>
    <t>.*BED.*-O-.*-n5.*-ANS</t>
  </si>
  <si>
    <t>.*BED.*-O-.*-n6.*-ANS</t>
  </si>
  <si>
    <t>.*KIT.*-O-.*-n1.*-ANS</t>
  </si>
  <si>
    <t>.*KIT.*-O-.*-n2.*-ANS</t>
  </si>
  <si>
    <t>.*KIT.*-O-.*-n3.*-ANS</t>
  </si>
  <si>
    <t>.*KIT.*-O-.*-n4.*-ANS</t>
  </si>
  <si>
    <t>.*KIT.*-O-.*-n5.*-ANS</t>
  </si>
  <si>
    <t>.*KIT.*-O-.*-n6.*-ANS</t>
  </si>
  <si>
    <t>.*LIV.*-O-.*-n1.*-ANS</t>
  </si>
  <si>
    <t>.*LIV.*-O-.*-n2.*-ANS</t>
  </si>
  <si>
    <t>.*LIV.*-O-.*-n3.*-ANS</t>
  </si>
  <si>
    <t>.*LIV.*-O-.*-n4.*-ANS</t>
  </si>
  <si>
    <t>.*LIV.*-O-.*-n5.*-ANS</t>
  </si>
  <si>
    <t>.*LIV.*-O-.*-n6.*-ANS</t>
  </si>
  <si>
    <t>.*BAT.*-N-.*-n1.*-CON</t>
  </si>
  <si>
    <t>.*BAT.*-N-.*-n2.*-CON</t>
  </si>
  <si>
    <t>.*BAT.*-N-.*-n3.*-CON</t>
  </si>
  <si>
    <t>.*BAT.*-N-.*-n4.*-CON</t>
  </si>
  <si>
    <t>.*BAT.*-N-.*-n5.*-CON</t>
  </si>
  <si>
    <t>.*BAT.*-N-.*-n6.*-CON</t>
  </si>
  <si>
    <t>.*BED.*-N-.*-n1.*-CON</t>
  </si>
  <si>
    <t>.*BED.*-N-.*-n2.*-CON</t>
  </si>
  <si>
    <t>.*BED.*-N-.*-n3.*-CON</t>
  </si>
  <si>
    <t>.*BED.*-N-.*-n4.*-CON</t>
  </si>
  <si>
    <t>.*BED.*-N-.*-n5.*-CON</t>
  </si>
  <si>
    <t>.*BED.*-N-.*-n6.*-CON</t>
  </si>
  <si>
    <t>.*KIT.*-N-.*-n1.*-CON</t>
  </si>
  <si>
    <t>.*KIT.*-N-.*-n2.*-CON</t>
  </si>
  <si>
    <t>.*KIT.*-N-.*-n3.*-CON</t>
  </si>
  <si>
    <t>.*KIT.*-N-.*-n4.*-CON</t>
  </si>
  <si>
    <t>.*KIT.*-N-.*-n5.*-CON</t>
  </si>
  <si>
    <t>.*KIT.*-N-.*-n6.*-CON</t>
  </si>
  <si>
    <t>.*LIV.*-N-.*-n1.*-CON</t>
  </si>
  <si>
    <t>.*LIV.*-N-.*-n2.*-CON</t>
  </si>
  <si>
    <t>.*LIV.*-N-.*-n3.*-CON</t>
  </si>
  <si>
    <t>.*LIV.*-N-.*-n4.*-CON</t>
  </si>
  <si>
    <t>.*LIV.*-N-.*-n5.*-CON</t>
  </si>
  <si>
    <t>.*LIV.*-N-.*-n6.*-CON</t>
  </si>
  <si>
    <t>.*BAT.*-U-.*-n1.*-CON</t>
  </si>
  <si>
    <t>.*BAT.*-U-.*-n2.*-CON</t>
  </si>
  <si>
    <t>.*BAT.*-U-.*-n3.*-CON</t>
  </si>
  <si>
    <t>.*BAT.*-U-.*-n4.*-CON</t>
  </si>
  <si>
    <t>.*BAT.*-U-.*-n5.*-CON</t>
  </si>
  <si>
    <t>.*BAT.*-U-.*-n6.*-CON</t>
  </si>
  <si>
    <t>.*BED.*-U-.*-n1.*-CON</t>
  </si>
  <si>
    <t>.*BED.*-U-.*-n2.*-CON</t>
  </si>
  <si>
    <t>.*BED.*-U-.*-n3.*-CON</t>
  </si>
  <si>
    <t>.*BED.*-U-.*-n4.*-CON</t>
  </si>
  <si>
    <t>.*BED.*-U-.*-n5.*-CON</t>
  </si>
  <si>
    <t>.*BED.*-U-.*-n6.*-CON</t>
  </si>
  <si>
    <t>.*KIT.*-U-.*-n1.*-CON</t>
  </si>
  <si>
    <t>.*KIT.*-U-.*-n2.*-CON</t>
  </si>
  <si>
    <t>.*KIT.*-U-.*-n3.*-CON</t>
  </si>
  <si>
    <t>.*KIT.*-U-.*-n4.*-CON</t>
  </si>
  <si>
    <t>.*KIT.*-U-.*-n5.*-CON</t>
  </si>
  <si>
    <t>.*KIT.*-U-.*-n6.*-CON</t>
  </si>
  <si>
    <t>.*LIV.*-U-.*-n1.*-CON</t>
  </si>
  <si>
    <t>.*LIV.*-U-.*-n2.*-CON</t>
  </si>
  <si>
    <t>.*LIV.*-U-.*-n3.*-CON</t>
  </si>
  <si>
    <t>.*LIV.*-U-.*-n4.*-CON</t>
  </si>
  <si>
    <t>.*LIV.*-U-.*-n5.*-CON</t>
  </si>
  <si>
    <t>.*LIV.*-U-.*-n6.*-CON</t>
  </si>
  <si>
    <t>.*BAT.*-D-.*-n1.*-CON</t>
  </si>
  <si>
    <t>.*BAT.*-D-.*-n2.*-CON</t>
  </si>
  <si>
    <t>.*BAT.*-D-.*-n3.*-CON</t>
  </si>
  <si>
    <t>.*BAT.*-D-.*-n4.*-CON</t>
  </si>
  <si>
    <t>.*BAT.*-D-.*-n5.*-CON</t>
  </si>
  <si>
    <t>.*BAT.*-D-.*-n6.*-CON</t>
  </si>
  <si>
    <t>.*BED.*-D-.*-n1.*-CON</t>
  </si>
  <si>
    <t>.*BED.*-D-.*-n2.*-CON</t>
  </si>
  <si>
    <t>.*BED.*-D-.*-n3.*-CON</t>
  </si>
  <si>
    <t>.*BED.*-D-.*-n4.*-CON</t>
  </si>
  <si>
    <t>.*BED.*-D-.*-n5.*-CON</t>
  </si>
  <si>
    <t>.*BED.*-D-.*-n6.*-CON</t>
  </si>
  <si>
    <t>.*KIT.*-D-.*-n1.*-CON</t>
  </si>
  <si>
    <t>.*KIT.*-D-.*-n2.*-CON</t>
  </si>
  <si>
    <t>.*KIT.*-D-.*-n3.*-CON</t>
  </si>
  <si>
    <t>.*KIT.*-D-.*-n4.*-CON</t>
  </si>
  <si>
    <t>.*KIT.*-D-.*-n5.*-CON</t>
  </si>
  <si>
    <t>.*KIT.*-D-.*-n6.*-CON</t>
  </si>
  <si>
    <t>.*LIV.*-D-.*-n1.*-CON</t>
  </si>
  <si>
    <t>.*LIV.*-D-.*-n2.*-CON</t>
  </si>
  <si>
    <t>.*LIV.*-D-.*-n3.*-CON</t>
  </si>
  <si>
    <t>.*LIV.*-D-.*-n4.*-CON</t>
  </si>
  <si>
    <t>.*LIV.*-D-.*-n5.*-CON</t>
  </si>
  <si>
    <t>.*LIV.*-D-.*-n6.*-CON</t>
  </si>
  <si>
    <t>.*BAT.*-O-.*-n1.*-CON</t>
  </si>
  <si>
    <t>.*BAT.*-O-.*-n2.*-CON</t>
  </si>
  <si>
    <t>.*BAT.*-O-.*-n3.*-CON</t>
  </si>
  <si>
    <t>.*BAT.*-O-.*-n4.*-CON</t>
  </si>
  <si>
    <t>.*BAT.*-O-.*-n5.*-CON</t>
  </si>
  <si>
    <t>.*BAT.*-O-.*-n6.*-CON</t>
  </si>
  <si>
    <t>.*BED.*-O-.*-n1.*-CON</t>
  </si>
  <si>
    <t>.*BED.*-O-.*-n2.*-CON</t>
  </si>
  <si>
    <t>.*BED.*-O-.*-n3.*-CON</t>
  </si>
  <si>
    <t>.*BED.*-O-.*-n4.*-CON</t>
  </si>
  <si>
    <t>.*BED.*-O-.*-n5.*-CON</t>
  </si>
  <si>
    <t>.*BED.*-O-.*-n6.*-CON</t>
  </si>
  <si>
    <t>.*KIT.*-O-.*-n1.*-CON</t>
  </si>
  <si>
    <t>.*KIT.*-O-.*-n2.*-CON</t>
  </si>
  <si>
    <t>.*KIT.*-O-.*-n3.*-CON</t>
  </si>
  <si>
    <t>.*KIT.*-O-.*-n4.*-CON</t>
  </si>
  <si>
    <t>.*KIT.*-O-.*-n5.*-CON</t>
  </si>
  <si>
    <t>.*KIT.*-O-.*-n6.*-CON</t>
  </si>
  <si>
    <t>.*LIV.*-O-.*-n1.*-CON</t>
  </si>
  <si>
    <t>.*LIV.*-O-.*-n2.*-CON</t>
  </si>
  <si>
    <t>.*LIV.*-O-.*-n3.*-CON</t>
  </si>
  <si>
    <t>.*LIV.*-O-.*-n4.*-CON</t>
  </si>
  <si>
    <t>.*LIV.*-O-.*-n5.*-CON</t>
  </si>
  <si>
    <t>.*LIV.*-O-.*-n6.*-CON</t>
  </si>
  <si>
    <t>TQ_RFR-N-OBJ1</t>
  </si>
  <si>
    <t>TQ_RFR-N-OBJ2</t>
  </si>
  <si>
    <t>TQ_RFR-N-OBJ3</t>
  </si>
  <si>
    <t>TQ_RFR-N-OBJ4</t>
  </si>
  <si>
    <t>TQ_RFR-N-STRA</t>
  </si>
  <si>
    <t>TQ_RFR-N-PORT</t>
  </si>
  <si>
    <t>TQ_RFR-N-LAND</t>
  </si>
  <si>
    <t>TQ_IFR-N-i1</t>
  </si>
  <si>
    <t>TQ_IFR-N-i2</t>
  </si>
  <si>
    <t>TQ_IFR-N-i3</t>
  </si>
  <si>
    <t>TQ_IFR-N-i4</t>
  </si>
  <si>
    <t>TQ_IFR-N-i5</t>
  </si>
  <si>
    <t>TQ_IFR-N-i6</t>
  </si>
  <si>
    <t>TQ_RFR-O-RORD</t>
  </si>
  <si>
    <t>TQ_RFR-O-TMOD</t>
  </si>
  <si>
    <t>TQ_RFR-N-WEAT</t>
  </si>
  <si>
    <t>TQ_RFR-L-OBJ1</t>
  </si>
  <si>
    <t>TQ_RFR-L-OBJ2</t>
  </si>
  <si>
    <t>TQ_RFR-L-OBJ3</t>
  </si>
  <si>
    <t>TQ_RFR-L-OBJ4</t>
  </si>
  <si>
    <t>TQ_RFR-L-DOOR</t>
  </si>
  <si>
    <t>TQ_RFR-L-WIND</t>
  </si>
  <si>
    <t>TQ_RFR-L-PORT</t>
  </si>
  <si>
    <t>TQ_RFR-L-LAND</t>
  </si>
  <si>
    <t>TQ_RFR-L-STRA</t>
  </si>
  <si>
    <t>TQ_IFR-U-i1</t>
  </si>
  <si>
    <t>TQ_IFR-U-i2</t>
  </si>
  <si>
    <t>TQ_IFR-U-i3</t>
  </si>
  <si>
    <t>TQ_IFR-U-i4</t>
  </si>
  <si>
    <t>TQ_IFR-U-i5</t>
  </si>
  <si>
    <t>TQ_IFR-U-i6</t>
  </si>
  <si>
    <t>TQ_IFR-D-i1</t>
  </si>
  <si>
    <t>TQ_IFR-D-i2</t>
  </si>
  <si>
    <t>TQ_IFR-D-i3</t>
  </si>
  <si>
    <t>TQ_IFR-D-i4</t>
  </si>
  <si>
    <t>TQ_IFR-D-i5</t>
  </si>
  <si>
    <t>TQ_IFR-D-i6</t>
  </si>
  <si>
    <t>TQ_IFR-O-i1</t>
  </si>
  <si>
    <t>TQ_IFR-O-i2</t>
  </si>
  <si>
    <t>TQ_IFR-O-i3</t>
  </si>
  <si>
    <t>TQ_IFR-O-i4</t>
  </si>
  <si>
    <t>TQ_IFR-O-i5</t>
  </si>
  <si>
    <t>TQ_IFR-O-i6</t>
  </si>
  <si>
    <t>TQ_TCR-O-TSK1</t>
  </si>
  <si>
    <t>TQ_TCR-O-TSK2</t>
  </si>
  <si>
    <t>TQ_TCR-O-TSK3</t>
  </si>
  <si>
    <t>TQ_TCR-O-TSK4</t>
  </si>
  <si>
    <t>TQ_TCR-O-TSK5</t>
  </si>
  <si>
    <t>TQ_TCR-O-TSK6</t>
  </si>
  <si>
    <t>TQ_ICR-N-i1</t>
  </si>
  <si>
    <t>TQ_ICR-N-i2</t>
  </si>
  <si>
    <t>TQ_ICR-N-i3</t>
  </si>
  <si>
    <t>TQ_ICR-N-i4</t>
  </si>
  <si>
    <t>TQ_ICR-N-i5</t>
  </si>
  <si>
    <t>TQ_ICR-N-i6</t>
  </si>
  <si>
    <t>TQ_ICR-U-i1</t>
  </si>
  <si>
    <t>TQ_ICR-U-i2</t>
  </si>
  <si>
    <t>TQ_ICR-U-i3</t>
  </si>
  <si>
    <t>TQ_ICR-U-i4</t>
  </si>
  <si>
    <t>TQ_ICR-U-i5</t>
  </si>
  <si>
    <t>TQ_ICR-U-i6</t>
  </si>
  <si>
    <t>TQ_ICR-D-i1</t>
  </si>
  <si>
    <t>TQ_ICR-D-i2</t>
  </si>
  <si>
    <t>TQ_ICR-D-i3</t>
  </si>
  <si>
    <t>TQ_ICR-D-i4</t>
  </si>
  <si>
    <t>TQ_ICR-D-i5</t>
  </si>
  <si>
    <t>TQ_ICR-D-i6</t>
  </si>
  <si>
    <t>TQ_ICR-O-i1</t>
  </si>
  <si>
    <t>TQ_ICR-O-i2</t>
  </si>
  <si>
    <t>TQ_ICR-O-i3</t>
  </si>
  <si>
    <t>TQ_ICR-O-i4</t>
  </si>
  <si>
    <t>TQ_ICR-O-i5</t>
  </si>
  <si>
    <t>TQ_ICR-O-i6</t>
  </si>
  <si>
    <t>TQ_RRE-L-DOOR</t>
  </si>
  <si>
    <t>TQ_RRE-L-WIND</t>
  </si>
  <si>
    <t>TQ_RRE-N-LAND</t>
  </si>
  <si>
    <t>TQ_RRE-L-LAND</t>
  </si>
  <si>
    <t>TQ_RRE-N-PORT</t>
  </si>
  <si>
    <t>TQ_RRE-L-PORT</t>
  </si>
  <si>
    <t>TQ_RRE-N-STRA</t>
  </si>
  <si>
    <t>TQ_RRE-L-STRA</t>
  </si>
  <si>
    <t>TQ_IRE-N-i1</t>
  </si>
  <si>
    <t>TQ_IRE-N-i2</t>
  </si>
  <si>
    <t>TQ_IRE-N-i3</t>
  </si>
  <si>
    <t>TQ_IRE-N-i4</t>
  </si>
  <si>
    <t>TQ_IRE-N-i5</t>
  </si>
  <si>
    <t>TQ_IRE-N-i6</t>
  </si>
  <si>
    <t>TQ_IRE-U-i1</t>
  </si>
  <si>
    <t>TQ_IRE-U-i2</t>
  </si>
  <si>
    <t>TQ_IRE-U-i3</t>
  </si>
  <si>
    <t>TQ_IRE-U-i4</t>
  </si>
  <si>
    <t>TQ_IRE-U-i5</t>
  </si>
  <si>
    <t>TQ_IRE-U-i6</t>
  </si>
  <si>
    <t>TQ_IRE-D-i1</t>
  </si>
  <si>
    <t>TQ_IRE-D-i2</t>
  </si>
  <si>
    <t>TQ_IRE-D-i3</t>
  </si>
  <si>
    <t>TQ_IRE-D-i4</t>
  </si>
  <si>
    <t>TQ_IRE-D-i5</t>
  </si>
  <si>
    <t>TQ_IRE-D-i6</t>
  </si>
  <si>
    <t>TQ_IRE-O-i1</t>
  </si>
  <si>
    <t>TQ_IRE-O-i2</t>
  </si>
  <si>
    <t>TQ_IRE-O-i3</t>
  </si>
  <si>
    <t>TQ_IRE-O-i4</t>
  </si>
  <si>
    <t>TQ_IRE-O-i5</t>
  </si>
  <si>
    <t>TQ_IRE-O-i6</t>
  </si>
  <si>
    <t>RFR-N-OBJ1-CON</t>
  </si>
  <si>
    <t>RFR-N-OBJ2-CON</t>
  </si>
  <si>
    <t>RFR-N-OBJ3-CON</t>
  </si>
  <si>
    <t>RFR-N-OBJ4-CON</t>
  </si>
  <si>
    <t>RFR-N-STRA-CON</t>
  </si>
  <si>
    <t>RFR-N-PORT-CON</t>
  </si>
  <si>
    <t>RFR-N-LAND-CON</t>
  </si>
  <si>
    <t>IFR-N-i1.*CON</t>
  </si>
  <si>
    <t>IFR-N-i2.*CON</t>
  </si>
  <si>
    <t>IFR-N-i3.*CON</t>
  </si>
  <si>
    <t>IFR-N-i4.*CON</t>
  </si>
  <si>
    <t>IFR-N-i5.*CON</t>
  </si>
  <si>
    <t>IFR-N-i6.*CON</t>
  </si>
  <si>
    <t>RFR-O-RORD-CON</t>
  </si>
  <si>
    <t>RFR-O-TMOD-CON</t>
  </si>
  <si>
    <t>RFR-N-WEAT-CON</t>
  </si>
  <si>
    <t>RFR-L-OBJ1-CON</t>
  </si>
  <si>
    <t>RFR-L-OBJ2-CON</t>
  </si>
  <si>
    <t>RFR-L-OBJ3-CON</t>
  </si>
  <si>
    <t>RFR-L-OBJ4-CON</t>
  </si>
  <si>
    <t>RFR-L-DOOR-CON</t>
  </si>
  <si>
    <t>RFR-L-WIND-CON</t>
  </si>
  <si>
    <t>RFR-L-PORT-CON</t>
  </si>
  <si>
    <t>RFR-L-LAND-CON</t>
  </si>
  <si>
    <t>RFR-L-STRA-CON</t>
  </si>
  <si>
    <t>IFR-U-i1.*CON</t>
  </si>
  <si>
    <t>IFR-U-i2.*CON</t>
  </si>
  <si>
    <t>IFR-U-i3.*CON</t>
  </si>
  <si>
    <t>IFR-U-i4.*CON</t>
  </si>
  <si>
    <t>IFR-U-i5.*CON</t>
  </si>
  <si>
    <t>IFR-U-i6.*CON</t>
  </si>
  <si>
    <t>IFR-D-i1.*CON</t>
  </si>
  <si>
    <t>IFR-D-i2.*CON</t>
  </si>
  <si>
    <t>IFR-D-i3.*CON</t>
  </si>
  <si>
    <t>IFR-D-i4.*CON</t>
  </si>
  <si>
    <t>IFR-D-i5.*CON</t>
  </si>
  <si>
    <t>IFR-D-i6.*CON</t>
  </si>
  <si>
    <t>IFR-O-i1.*CON</t>
  </si>
  <si>
    <t>IFR-O-i2.*CON</t>
  </si>
  <si>
    <t>IFR-O-i3.*CON</t>
  </si>
  <si>
    <t>IFR-O-i4.*CON</t>
  </si>
  <si>
    <t>IFR-O-i5.*CON</t>
  </si>
  <si>
    <t>IFR-O-i6.*CON</t>
  </si>
  <si>
    <t>TCR-O-TSK1-CON</t>
  </si>
  <si>
    <t>TCR-O-TSK2-CON</t>
  </si>
  <si>
    <t>TCR-O-TSK3-CON</t>
  </si>
  <si>
    <t>TCR-O-TSK4-CON</t>
  </si>
  <si>
    <t>TCR-O-TSK5-CON</t>
  </si>
  <si>
    <t>TCR-O-TSK6-CON</t>
  </si>
  <si>
    <t>ICR-N-i1.*CON</t>
  </si>
  <si>
    <t>ICR-N-i2.*CON</t>
  </si>
  <si>
    <t>ICR-N-i3.*CON</t>
  </si>
  <si>
    <t>ICR-N-i4.*CON</t>
  </si>
  <si>
    <t>ICR-N-i5.*CON</t>
  </si>
  <si>
    <t>ICR-N-i6.*CON</t>
  </si>
  <si>
    <t>ICR-U-i1.*CON</t>
  </si>
  <si>
    <t>ICR-U-i2.*CON</t>
  </si>
  <si>
    <t>ICR-U-i3.*CON</t>
  </si>
  <si>
    <t>ICR-U-i4.*CON</t>
  </si>
  <si>
    <t>ICR-U-i5.*CON</t>
  </si>
  <si>
    <t>ICR-U-i6.*CON</t>
  </si>
  <si>
    <t>ICR-D-i1.*CON</t>
  </si>
  <si>
    <t>ICR-D-i2.*CON</t>
  </si>
  <si>
    <t>ICR-D-i3.*CON</t>
  </si>
  <si>
    <t>ICR-D-i4.*CON</t>
  </si>
  <si>
    <t>ICR-D-i5.*CON</t>
  </si>
  <si>
    <t>ICR-D-i6.*CON</t>
  </si>
  <si>
    <t>ICR-O-i1.*CON</t>
  </si>
  <si>
    <t>ICR-O-i2.*CON</t>
  </si>
  <si>
    <t>ICR-O-i3.*CON</t>
  </si>
  <si>
    <t>ICR-O-i4.*CON</t>
  </si>
  <si>
    <t>ICR-O-i5.*CON</t>
  </si>
  <si>
    <t>ICR-O-i6.*CON</t>
  </si>
  <si>
    <t>RRE-L-DOOR-CON</t>
  </si>
  <si>
    <t>RRE-L-WIND-CON</t>
  </si>
  <si>
    <t>RRE-N-LAND-CON</t>
  </si>
  <si>
    <t>RRE-L-LAND-CON</t>
  </si>
  <si>
    <t>RRE-N-PORT-CON</t>
  </si>
  <si>
    <t>RRE-L-PORT-CON</t>
  </si>
  <si>
    <t>RRE-N-STRA-CON</t>
  </si>
  <si>
    <t>RRE-L-STRA-CON</t>
  </si>
  <si>
    <t>IRE-N-i1.*CON</t>
  </si>
  <si>
    <t>IRE-N-i2.*CON</t>
  </si>
  <si>
    <t>IRE-N-i3.*CON</t>
  </si>
  <si>
    <t>IRE-N-i4.*CON</t>
  </si>
  <si>
    <t>IRE-N-i5.*CON</t>
  </si>
  <si>
    <t>IRE-N-i6.*CON</t>
  </si>
  <si>
    <t>IRE-U-i1.*CON</t>
  </si>
  <si>
    <t>IRE-U-i2.*CON</t>
  </si>
  <si>
    <t>IRE-U-i3.*CON</t>
  </si>
  <si>
    <t>IRE-U-i4.*CON</t>
  </si>
  <si>
    <t>IRE-U-i5.*CON</t>
  </si>
  <si>
    <t>IRE-U-i6.*CON</t>
  </si>
  <si>
    <t>IRE-D-i1.*CON</t>
  </si>
  <si>
    <t>IRE-D-i2.*CON</t>
  </si>
  <si>
    <t>IRE-D-i3.*CON</t>
  </si>
  <si>
    <t>IRE-D-i4.*CON</t>
  </si>
  <si>
    <t>IRE-D-i5.*CON</t>
  </si>
  <si>
    <t>IRE-D-i6.*CON</t>
  </si>
  <si>
    <t>IRE-O-i1.*CON</t>
  </si>
  <si>
    <t>IRE-O-i2.*CON</t>
  </si>
  <si>
    <t>IRE-O-i3.*CON</t>
  </si>
  <si>
    <t>IRE-O-i4.*CON</t>
  </si>
  <si>
    <t>IRE-O-i5.*CON</t>
  </si>
  <si>
    <t>IRE-O-i6.*CON</t>
  </si>
  <si>
    <t>TC_RFR-N-OBJ1</t>
  </si>
  <si>
    <t>TC_RFR-N-OBJ2</t>
  </si>
  <si>
    <t>TC_RFR-N-OBJ3</t>
  </si>
  <si>
    <t>TC_RFR-N-OBJ4</t>
  </si>
  <si>
    <t>TC_RFR-N-STRA</t>
  </si>
  <si>
    <t>TC_RFR-N-PORT</t>
  </si>
  <si>
    <t>TC_RFR-N-LAND</t>
  </si>
  <si>
    <t>TC_IFR-N-i1</t>
  </si>
  <si>
    <t>TC_IFR-N-i2</t>
  </si>
  <si>
    <t>TC_IFR-N-i3</t>
  </si>
  <si>
    <t>TC_IFR-N-i4</t>
  </si>
  <si>
    <t>TC_IFR-N-i5</t>
  </si>
  <si>
    <t>TC_IFR-N-i6</t>
  </si>
  <si>
    <t>TC_RFR-O-RORD</t>
  </si>
  <si>
    <t>TC_RFR-O-TMOD</t>
  </si>
  <si>
    <t>TC_RFR-N-WEAT</t>
  </si>
  <si>
    <t>TC_RFR-L-OBJ1</t>
  </si>
  <si>
    <t>TC_RFR-L-OBJ2</t>
  </si>
  <si>
    <t>TC_RFR-L-OBJ3</t>
  </si>
  <si>
    <t>TC_RFR-L-OBJ4</t>
  </si>
  <si>
    <t>TC_RFR-L-DOOR</t>
  </si>
  <si>
    <t>TC_RFR-L-WIND</t>
  </si>
  <si>
    <t>TC_RFR-L-PORT</t>
  </si>
  <si>
    <t>TC_RFR-L-LAND</t>
  </si>
  <si>
    <t>TC_RFR-L-STRA</t>
  </si>
  <si>
    <t>TC_IFR-U-i1</t>
  </si>
  <si>
    <t>TC_IFR-U-i2</t>
  </si>
  <si>
    <t>TC_IFR-U-i3</t>
  </si>
  <si>
    <t>TC_IFR-U-i4</t>
  </si>
  <si>
    <t>TC_IFR-U-i5</t>
  </si>
  <si>
    <t>TC_IFR-U-i6</t>
  </si>
  <si>
    <t>TC_IFR-D-i1</t>
  </si>
  <si>
    <t>TC_IFR-D-i2</t>
  </si>
  <si>
    <t>TC_IFR-D-i3</t>
  </si>
  <si>
    <t>TC_IFR-D-i4</t>
  </si>
  <si>
    <t>TC_IFR-D-i5</t>
  </si>
  <si>
    <t>TC_IFR-D-i6</t>
  </si>
  <si>
    <t>TC_IFR-O-i1</t>
  </si>
  <si>
    <t>TC_IFR-O-i2</t>
  </si>
  <si>
    <t>TC_IFR-O-i3</t>
  </si>
  <si>
    <t>TC_IFR-O-i4</t>
  </si>
  <si>
    <t>TC_IFR-O-i5</t>
  </si>
  <si>
    <t>TC_IFR-O-i6</t>
  </si>
  <si>
    <t>TC_TCR-O-TSK1</t>
  </si>
  <si>
    <t>TC_TCR-O-TSK2</t>
  </si>
  <si>
    <t>TC_TCR-O-TSK3</t>
  </si>
  <si>
    <t>TC_TCR-O-TSK4</t>
  </si>
  <si>
    <t>TC_TCR-O-TSK5</t>
  </si>
  <si>
    <t>TC_TCR-O-TSK6</t>
  </si>
  <si>
    <t>TC_ICR-N-i1</t>
  </si>
  <si>
    <t>TC_ICR-N-i2</t>
  </si>
  <si>
    <t>TC_ICR-N-i3</t>
  </si>
  <si>
    <t>TC_ICR-N-i4</t>
  </si>
  <si>
    <t>TC_ICR-N-i5</t>
  </si>
  <si>
    <t>TC_ICR-N-i6</t>
  </si>
  <si>
    <t>TC_ICR-U-i1</t>
  </si>
  <si>
    <t>TC_ICR-U-i2</t>
  </si>
  <si>
    <t>TC_ICR-U-i3</t>
  </si>
  <si>
    <t>TC_ICR-U-i4</t>
  </si>
  <si>
    <t>TC_ICR-U-i5</t>
  </si>
  <si>
    <t>TC_ICR-U-i6</t>
  </si>
  <si>
    <t>TC_ICR-D-i1</t>
  </si>
  <si>
    <t>TC_ICR-D-i2</t>
  </si>
  <si>
    <t>TC_ICR-D-i3</t>
  </si>
  <si>
    <t>TC_ICR-D-i4</t>
  </si>
  <si>
    <t>TC_ICR-D-i5</t>
  </si>
  <si>
    <t>TC_ICR-D-i6</t>
  </si>
  <si>
    <t>TC_ICR-O-i1</t>
  </si>
  <si>
    <t>TC_ICR-O-i2</t>
  </si>
  <si>
    <t>TC_ICR-O-i3</t>
  </si>
  <si>
    <t>TC_ICR-O-i4</t>
  </si>
  <si>
    <t>TC_ICR-O-i5</t>
  </si>
  <si>
    <t>TC_ICR-O-i6</t>
  </si>
  <si>
    <t>TC_RRE-L-DOOR</t>
  </si>
  <si>
    <t>TC_RRE-L-WIND</t>
  </si>
  <si>
    <t>TC_RRE-N-LAND</t>
  </si>
  <si>
    <t>TC_RRE-L-LAND</t>
  </si>
  <si>
    <t>TC_RRE-N-PORT</t>
  </si>
  <si>
    <t>TC_RRE-L-PORT</t>
  </si>
  <si>
    <t>TC_RRE-N-STRA</t>
  </si>
  <si>
    <t>TC_RRE-L-STRA</t>
  </si>
  <si>
    <t>TC_IRE-N-i1</t>
  </si>
  <si>
    <t>TC_IRE-N-i2</t>
  </si>
  <si>
    <t>TC_IRE-N-i3</t>
  </si>
  <si>
    <t>TC_IRE-N-i4</t>
  </si>
  <si>
    <t>TC_IRE-N-i5</t>
  </si>
  <si>
    <t>TC_IRE-N-i6</t>
  </si>
  <si>
    <t>TC_IRE-U-i1</t>
  </si>
  <si>
    <t>TC_IRE-U-i2</t>
  </si>
  <si>
    <t>TC_IRE-U-i3</t>
  </si>
  <si>
    <t>TC_IRE-U-i4</t>
  </si>
  <si>
    <t>TC_IRE-U-i5</t>
  </si>
  <si>
    <t>TC_IRE-U-i6</t>
  </si>
  <si>
    <t>TC_IRE-D-i1</t>
  </si>
  <si>
    <t>TC_IRE-D-i2</t>
  </si>
  <si>
    <t>TC_IRE-D-i3</t>
  </si>
  <si>
    <t>TC_IRE-D-i4</t>
  </si>
  <si>
    <t>TC_IRE-D-i5</t>
  </si>
  <si>
    <t>TC_IRE-D-i6</t>
  </si>
  <si>
    <t>TC_IRE-O-i1</t>
  </si>
  <si>
    <t>TC_IRE-O-i2</t>
  </si>
  <si>
    <t>TC_IRE-O-i3</t>
  </si>
  <si>
    <t>TC_IRE-O-i4</t>
  </si>
  <si>
    <t>TC_IRE-O-i5</t>
  </si>
  <si>
    <t>TC_IRE-O-i6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</si>
</sst>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BFBFBF"/>
      <name val="Aptos Narrow"/>
      <family val="2"/>
    </font>
    <font>
      <sz val="11"/>
      <color rgb="FF000000"/>
      <name val="Calibri"/>
      <family val="2"/>
    </font>
    <font>
      <b/>
      <sz val="11"/>
      <color rgb="FFBFBFBF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80"/>
  <sheetViews>
    <sheetView showFormulas="1" tabSelected="1" topLeftCell="A427" workbookViewId="0">
      <selection activeCell="E461" sqref="E461"/>
    </sheetView>
  </sheetViews>
  <sheetFormatPr defaultRowHeight="14.4" x14ac:dyDescent="0.3"/>
  <cols>
    <col min="1" max="1" width="20.44140625" bestFit="1" customWidth="1"/>
    <col min="2" max="2" width="29.88671875" bestFit="1" customWidth="1"/>
    <col min="3" max="3" width="8.88671875" bestFit="1" customWidth="1"/>
    <col min="4" max="4" width="5.33203125" bestFit="1" customWidth="1"/>
    <col min="5" max="5" width="54.109375" bestFit="1" customWidth="1"/>
  </cols>
  <sheetData>
    <row r="1" spans="1:5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5" x14ac:dyDescent="0.3">
      <c r="A2" t="s">
        <v>111</v>
      </c>
      <c r="B2" t="s">
        <v>112</v>
      </c>
      <c r="C2" t="s">
        <v>10</v>
      </c>
      <c r="D2" t="s">
        <v>113</v>
      </c>
      <c r="E2" t="s">
        <v>114</v>
      </c>
    </row>
    <row r="3" spans="1:5" x14ac:dyDescent="0.3">
      <c r="A3" t="s">
        <v>115</v>
      </c>
      <c r="B3" t="s">
        <v>116</v>
      </c>
      <c r="C3" t="s">
        <v>10</v>
      </c>
      <c r="D3" t="s">
        <v>113</v>
      </c>
      <c r="E3" t="s">
        <v>117</v>
      </c>
    </row>
    <row r="4" spans="1:5" x14ac:dyDescent="0.3">
      <c r="A4" t="s">
        <v>118</v>
      </c>
      <c r="B4" t="s">
        <v>119</v>
      </c>
      <c r="C4" t="s">
        <v>10</v>
      </c>
      <c r="D4" t="s">
        <v>113</v>
      </c>
      <c r="E4" t="s">
        <v>120</v>
      </c>
    </row>
    <row r="5" spans="1:5" x14ac:dyDescent="0.3">
      <c r="A5" t="s">
        <v>121</v>
      </c>
      <c r="B5" t="s">
        <v>122</v>
      </c>
      <c r="C5" t="s">
        <v>10</v>
      </c>
      <c r="D5" t="s">
        <v>113</v>
      </c>
      <c r="E5" t="s">
        <v>123</v>
      </c>
    </row>
    <row r="6" spans="1:5" x14ac:dyDescent="0.3">
      <c r="A6" t="s">
        <v>124</v>
      </c>
      <c r="B6" t="s">
        <v>125</v>
      </c>
      <c r="C6" t="s">
        <v>10</v>
      </c>
      <c r="D6" t="s">
        <v>113</v>
      </c>
      <c r="E6" t="s">
        <v>126</v>
      </c>
    </row>
    <row r="7" spans="1:5" x14ac:dyDescent="0.3">
      <c r="A7" t="s">
        <v>127</v>
      </c>
      <c r="B7" t="s">
        <v>128</v>
      </c>
      <c r="C7" t="s">
        <v>10</v>
      </c>
      <c r="D7" t="s">
        <v>113</v>
      </c>
      <c r="E7" t="s">
        <v>129</v>
      </c>
    </row>
    <row r="8" spans="1:5" x14ac:dyDescent="0.3">
      <c r="A8" t="s">
        <v>130</v>
      </c>
      <c r="B8" t="s">
        <v>131</v>
      </c>
      <c r="C8" t="s">
        <v>10</v>
      </c>
      <c r="D8" t="s">
        <v>113</v>
      </c>
      <c r="E8" t="s">
        <v>132</v>
      </c>
    </row>
    <row r="9" spans="1:5" x14ac:dyDescent="0.3">
      <c r="A9" t="s">
        <v>133</v>
      </c>
      <c r="B9" t="s">
        <v>134</v>
      </c>
      <c r="C9" t="s">
        <v>10</v>
      </c>
      <c r="D9" t="s">
        <v>113</v>
      </c>
      <c r="E9" t="s">
        <v>135</v>
      </c>
    </row>
    <row r="10" spans="1:5" x14ac:dyDescent="0.3">
      <c r="A10" t="s">
        <v>596</v>
      </c>
      <c r="B10" t="s">
        <v>597</v>
      </c>
      <c r="C10" t="s">
        <v>10</v>
      </c>
      <c r="D10" t="s">
        <v>113</v>
      </c>
      <c r="E10" t="s">
        <v>598</v>
      </c>
    </row>
    <row r="11" spans="1:5" x14ac:dyDescent="0.3">
      <c r="A11" t="s">
        <v>136</v>
      </c>
      <c r="B11" t="s">
        <v>137</v>
      </c>
      <c r="C11" t="s">
        <v>10</v>
      </c>
      <c r="D11" t="s">
        <v>138</v>
      </c>
      <c r="E11" t="s">
        <v>139</v>
      </c>
    </row>
    <row r="12" spans="1:5" x14ac:dyDescent="0.3">
      <c r="A12" t="s">
        <v>140</v>
      </c>
      <c r="B12" t="s">
        <v>141</v>
      </c>
      <c r="C12" t="s">
        <v>10</v>
      </c>
      <c r="D12" t="s">
        <v>138</v>
      </c>
      <c r="E12" t="s">
        <v>142</v>
      </c>
    </row>
    <row r="13" spans="1:5" x14ac:dyDescent="0.3">
      <c r="A13" t="s">
        <v>143</v>
      </c>
      <c r="B13" t="s">
        <v>144</v>
      </c>
      <c r="C13" t="s">
        <v>10</v>
      </c>
      <c r="D13" t="s">
        <v>138</v>
      </c>
      <c r="E13" t="s">
        <v>145</v>
      </c>
    </row>
    <row r="14" spans="1:5" x14ac:dyDescent="0.3">
      <c r="A14" t="s">
        <v>146</v>
      </c>
      <c r="B14" t="s">
        <v>147</v>
      </c>
      <c r="C14" t="s">
        <v>10</v>
      </c>
      <c r="D14" t="s">
        <v>138</v>
      </c>
      <c r="E14" t="s">
        <v>148</v>
      </c>
    </row>
    <row r="15" spans="1:5" x14ac:dyDescent="0.3">
      <c r="A15" t="s">
        <v>149</v>
      </c>
      <c r="B15" t="s">
        <v>150</v>
      </c>
      <c r="C15" t="s">
        <v>10</v>
      </c>
      <c r="D15" t="s">
        <v>138</v>
      </c>
      <c r="E15" t="s">
        <v>151</v>
      </c>
    </row>
    <row r="16" spans="1:5" x14ac:dyDescent="0.3">
      <c r="A16" t="s">
        <v>152</v>
      </c>
      <c r="B16" t="s">
        <v>153</v>
      </c>
      <c r="C16" t="s">
        <v>10</v>
      </c>
      <c r="D16" t="s">
        <v>138</v>
      </c>
      <c r="E16" t="s">
        <v>154</v>
      </c>
    </row>
    <row r="17" spans="1:5" x14ac:dyDescent="0.3">
      <c r="A17" t="s">
        <v>602</v>
      </c>
      <c r="B17" t="s">
        <v>603</v>
      </c>
      <c r="C17" t="s">
        <v>10</v>
      </c>
      <c r="D17" t="s">
        <v>138</v>
      </c>
      <c r="E17" t="str">
        <f>E11&amp;", "&amp;E12&amp;", "&amp;E13&amp;", "&amp;E16</f>
        <v>COG-X-BVM-T1Sc, COG-X-BVM-T2Sc, COG-X-BVM-T3Sc, COG-X-BVM-TDSc</v>
      </c>
    </row>
    <row r="18" spans="1:5" x14ac:dyDescent="0.3">
      <c r="A18" t="s">
        <v>155</v>
      </c>
      <c r="B18" t="s">
        <v>156</v>
      </c>
      <c r="C18" t="s">
        <v>10</v>
      </c>
      <c r="D18" t="s">
        <v>138</v>
      </c>
      <c r="E18" t="s">
        <v>157</v>
      </c>
    </row>
    <row r="19" spans="1:5" x14ac:dyDescent="0.3">
      <c r="A19" t="s">
        <v>158</v>
      </c>
      <c r="B19" t="s">
        <v>159</v>
      </c>
      <c r="C19" t="s">
        <v>10</v>
      </c>
      <c r="D19" t="s">
        <v>138</v>
      </c>
      <c r="E19" t="s">
        <v>160</v>
      </c>
    </row>
    <row r="20" spans="1:5" x14ac:dyDescent="0.3">
      <c r="A20" t="s">
        <v>161</v>
      </c>
      <c r="B20" t="s">
        <v>162</v>
      </c>
      <c r="C20" t="s">
        <v>10</v>
      </c>
      <c r="D20" t="s">
        <v>138</v>
      </c>
      <c r="E20" t="s">
        <v>163</v>
      </c>
    </row>
    <row r="21" spans="1:5" x14ac:dyDescent="0.3">
      <c r="A21" t="s">
        <v>164</v>
      </c>
      <c r="B21" t="s">
        <v>165</v>
      </c>
      <c r="C21" t="s">
        <v>10</v>
      </c>
      <c r="D21" t="s">
        <v>138</v>
      </c>
      <c r="E21" t="s">
        <v>166</v>
      </c>
    </row>
    <row r="22" spans="1:5" x14ac:dyDescent="0.3">
      <c r="A22" t="s">
        <v>167</v>
      </c>
      <c r="B22" t="s">
        <v>168</v>
      </c>
      <c r="C22" t="s">
        <v>10</v>
      </c>
      <c r="D22" t="s">
        <v>138</v>
      </c>
      <c r="E22" t="s">
        <v>169</v>
      </c>
    </row>
    <row r="23" spans="1:5" x14ac:dyDescent="0.3">
      <c r="A23" t="s">
        <v>170</v>
      </c>
      <c r="B23" t="s">
        <v>171</v>
      </c>
      <c r="C23" t="s">
        <v>10</v>
      </c>
      <c r="D23" t="s">
        <v>138</v>
      </c>
      <c r="E23" t="s">
        <v>172</v>
      </c>
    </row>
    <row r="24" spans="1:5" x14ac:dyDescent="0.3">
      <c r="A24" t="s">
        <v>173</v>
      </c>
      <c r="B24" t="s">
        <v>174</v>
      </c>
      <c r="C24" t="s">
        <v>10</v>
      </c>
      <c r="D24" t="s">
        <v>138</v>
      </c>
      <c r="E24" t="s">
        <v>175</v>
      </c>
    </row>
    <row r="25" spans="1:5" x14ac:dyDescent="0.3">
      <c r="A25" t="s">
        <v>176</v>
      </c>
      <c r="B25" t="s">
        <v>177</v>
      </c>
      <c r="C25" t="s">
        <v>10</v>
      </c>
      <c r="D25" t="s">
        <v>138</v>
      </c>
      <c r="E25" t="s">
        <v>178</v>
      </c>
    </row>
    <row r="26" spans="1:5" x14ac:dyDescent="0.3">
      <c r="A26" t="s">
        <v>179</v>
      </c>
      <c r="B26" t="s">
        <v>180</v>
      </c>
      <c r="C26" t="s">
        <v>10</v>
      </c>
      <c r="D26" t="s">
        <v>138</v>
      </c>
      <c r="E26" t="s">
        <v>181</v>
      </c>
    </row>
    <row r="27" spans="1:5" x14ac:dyDescent="0.3">
      <c r="A27" t="s">
        <v>600</v>
      </c>
      <c r="B27" t="s">
        <v>599</v>
      </c>
      <c r="C27" t="s">
        <v>10</v>
      </c>
      <c r="D27" t="s">
        <v>138</v>
      </c>
      <c r="E27" t="s">
        <v>601</v>
      </c>
    </row>
    <row r="28" spans="1:5" x14ac:dyDescent="0.3">
      <c r="A28" t="s">
        <v>182</v>
      </c>
      <c r="B28" t="s">
        <v>183</v>
      </c>
      <c r="C28" t="s">
        <v>10</v>
      </c>
      <c r="D28" t="s">
        <v>138</v>
      </c>
      <c r="E28" t="s">
        <v>184</v>
      </c>
    </row>
    <row r="29" spans="1:5" x14ac:dyDescent="0.3">
      <c r="A29" t="s">
        <v>185</v>
      </c>
      <c r="B29" t="s">
        <v>186</v>
      </c>
      <c r="C29" t="s">
        <v>10</v>
      </c>
      <c r="D29" t="s">
        <v>138</v>
      </c>
      <c r="E29" t="s">
        <v>187</v>
      </c>
    </row>
    <row r="30" spans="1:5" x14ac:dyDescent="0.3">
      <c r="A30" t="s">
        <v>188</v>
      </c>
      <c r="B30" t="s">
        <v>189</v>
      </c>
      <c r="C30" t="s">
        <v>10</v>
      </c>
      <c r="D30" t="s">
        <v>138</v>
      </c>
      <c r="E30" t="s">
        <v>190</v>
      </c>
    </row>
    <row r="31" spans="1:5" x14ac:dyDescent="0.3">
      <c r="A31" t="s">
        <v>604</v>
      </c>
      <c r="B31" t="s">
        <v>605</v>
      </c>
      <c r="C31" t="s">
        <v>13</v>
      </c>
      <c r="D31" t="s">
        <v>138</v>
      </c>
      <c r="E31" t="s">
        <v>606</v>
      </c>
    </row>
    <row r="32" spans="1:5" x14ac:dyDescent="0.3">
      <c r="A32" t="s">
        <v>623</v>
      </c>
      <c r="B32" t="s">
        <v>625</v>
      </c>
      <c r="C32" t="s">
        <v>13</v>
      </c>
      <c r="D32" t="s">
        <v>138</v>
      </c>
      <c r="E32" t="s">
        <v>627</v>
      </c>
    </row>
    <row r="33" spans="1:5" x14ac:dyDescent="0.3">
      <c r="A33" t="s">
        <v>624</v>
      </c>
      <c r="B33" t="s">
        <v>626</v>
      </c>
      <c r="C33" t="s">
        <v>13</v>
      </c>
      <c r="D33" t="s">
        <v>138</v>
      </c>
      <c r="E33" t="s">
        <v>628</v>
      </c>
    </row>
    <row r="34" spans="1:5" x14ac:dyDescent="0.3">
      <c r="A34" t="s">
        <v>593</v>
      </c>
      <c r="B34" t="s">
        <v>594</v>
      </c>
      <c r="C34" t="s">
        <v>10</v>
      </c>
      <c r="D34" t="s">
        <v>193</v>
      </c>
      <c r="E34" t="s">
        <v>595</v>
      </c>
    </row>
    <row r="35" spans="1:5" x14ac:dyDescent="0.3">
      <c r="A35" t="s">
        <v>191</v>
      </c>
      <c r="B35" t="s">
        <v>192</v>
      </c>
      <c r="C35" t="s">
        <v>10</v>
      </c>
      <c r="D35" t="s">
        <v>193</v>
      </c>
      <c r="E35" t="s">
        <v>194</v>
      </c>
    </row>
    <row r="36" spans="1:5" x14ac:dyDescent="0.3">
      <c r="A36" t="s">
        <v>195</v>
      </c>
      <c r="B36" t="s">
        <v>196</v>
      </c>
      <c r="C36" t="s">
        <v>10</v>
      </c>
      <c r="D36" t="s">
        <v>193</v>
      </c>
      <c r="E36" t="s">
        <v>197</v>
      </c>
    </row>
    <row r="37" spans="1:5" x14ac:dyDescent="0.3">
      <c r="A37" t="s">
        <v>198</v>
      </c>
      <c r="B37" t="s">
        <v>199</v>
      </c>
      <c r="C37" t="s">
        <v>10</v>
      </c>
      <c r="D37" t="s">
        <v>193</v>
      </c>
      <c r="E37" t="s">
        <v>607</v>
      </c>
    </row>
    <row r="38" spans="1:5" x14ac:dyDescent="0.3">
      <c r="A38" t="s">
        <v>200</v>
      </c>
      <c r="B38" t="s">
        <v>201</v>
      </c>
      <c r="C38" t="s">
        <v>10</v>
      </c>
      <c r="D38" t="s">
        <v>193</v>
      </c>
      <c r="E38" t="s">
        <v>202</v>
      </c>
    </row>
    <row r="39" spans="1:5" x14ac:dyDescent="0.3">
      <c r="A39" t="s">
        <v>203</v>
      </c>
      <c r="B39" t="s">
        <v>204</v>
      </c>
      <c r="C39" t="s">
        <v>10</v>
      </c>
      <c r="D39" t="s">
        <v>193</v>
      </c>
      <c r="E39" t="s">
        <v>205</v>
      </c>
    </row>
    <row r="40" spans="1:5" x14ac:dyDescent="0.3">
      <c r="A40" t="s">
        <v>206</v>
      </c>
      <c r="B40" t="s">
        <v>207</v>
      </c>
      <c r="C40" t="s">
        <v>10</v>
      </c>
      <c r="D40" t="s">
        <v>193</v>
      </c>
      <c r="E40" t="s">
        <v>208</v>
      </c>
    </row>
    <row r="41" spans="1:5" x14ac:dyDescent="0.3">
      <c r="A41" t="s">
        <v>209</v>
      </c>
      <c r="B41" t="s">
        <v>210</v>
      </c>
      <c r="C41" t="s">
        <v>10</v>
      </c>
      <c r="D41" t="s">
        <v>193</v>
      </c>
      <c r="E41" t="s">
        <v>211</v>
      </c>
    </row>
    <row r="42" spans="1:5" x14ac:dyDescent="0.3">
      <c r="A42" t="s">
        <v>212</v>
      </c>
      <c r="B42" t="s">
        <v>70</v>
      </c>
      <c r="C42" t="s">
        <v>10</v>
      </c>
      <c r="D42" t="s">
        <v>193</v>
      </c>
      <c r="E42" t="s">
        <v>213</v>
      </c>
    </row>
    <row r="43" spans="1:5" x14ac:dyDescent="0.3">
      <c r="A43" t="s">
        <v>608</v>
      </c>
      <c r="B43" t="s">
        <v>610</v>
      </c>
      <c r="C43" t="s">
        <v>10</v>
      </c>
      <c r="D43" t="s">
        <v>193</v>
      </c>
      <c r="E43" t="s">
        <v>618</v>
      </c>
    </row>
    <row r="44" spans="1:5" x14ac:dyDescent="0.3">
      <c r="A44" t="s">
        <v>609</v>
      </c>
      <c r="B44" t="s">
        <v>611</v>
      </c>
      <c r="C44" t="s">
        <v>10</v>
      </c>
      <c r="D44" t="s">
        <v>193</v>
      </c>
      <c r="E44" t="s">
        <v>619</v>
      </c>
    </row>
    <row r="45" spans="1:5" x14ac:dyDescent="0.3">
      <c r="A45" t="s">
        <v>612</v>
      </c>
      <c r="B45" t="s">
        <v>613</v>
      </c>
      <c r="C45" t="s">
        <v>10</v>
      </c>
      <c r="D45" t="s">
        <v>193</v>
      </c>
      <c r="E45" t="s">
        <v>620</v>
      </c>
    </row>
    <row r="46" spans="1:5" x14ac:dyDescent="0.3">
      <c r="A46" t="s">
        <v>614</v>
      </c>
      <c r="B46" t="s">
        <v>615</v>
      </c>
      <c r="C46" t="s">
        <v>10</v>
      </c>
      <c r="D46" t="s">
        <v>193</v>
      </c>
      <c r="E46" t="s">
        <v>621</v>
      </c>
    </row>
    <row r="47" spans="1:5" x14ac:dyDescent="0.3">
      <c r="A47" t="s">
        <v>616</v>
      </c>
      <c r="B47" t="s">
        <v>617</v>
      </c>
      <c r="C47" t="s">
        <v>10</v>
      </c>
      <c r="D47" t="s">
        <v>193</v>
      </c>
      <c r="E47" t="s">
        <v>622</v>
      </c>
    </row>
    <row r="48" spans="1:5" x14ac:dyDescent="0.3">
      <c r="A48" t="s">
        <v>228</v>
      </c>
      <c r="B48" t="s">
        <v>229</v>
      </c>
      <c r="C48" t="s">
        <v>230</v>
      </c>
      <c r="D48" t="s">
        <v>193</v>
      </c>
      <c r="E48" t="s">
        <v>231</v>
      </c>
    </row>
    <row r="49" spans="1:5" x14ac:dyDescent="0.3">
      <c r="A49" t="s">
        <v>214</v>
      </c>
      <c r="B49" t="s">
        <v>215</v>
      </c>
      <c r="C49" t="s">
        <v>13</v>
      </c>
      <c r="D49" t="s">
        <v>193</v>
      </c>
      <c r="E49" t="s">
        <v>14</v>
      </c>
    </row>
    <row r="50" spans="1:5" x14ac:dyDescent="0.3">
      <c r="A50" t="s">
        <v>743</v>
      </c>
      <c r="B50" t="s">
        <v>567</v>
      </c>
      <c r="C50" t="s">
        <v>13</v>
      </c>
      <c r="D50" t="s">
        <v>193</v>
      </c>
      <c r="E50" t="s">
        <v>568</v>
      </c>
    </row>
    <row r="51" spans="1:5" x14ac:dyDescent="0.3">
      <c r="A51" t="s">
        <v>216</v>
      </c>
      <c r="B51" t="s">
        <v>217</v>
      </c>
      <c r="C51" t="s">
        <v>13</v>
      </c>
      <c r="D51" t="s">
        <v>193</v>
      </c>
      <c r="E51" t="s">
        <v>218</v>
      </c>
    </row>
    <row r="52" spans="1:5" x14ac:dyDescent="0.3">
      <c r="A52" t="s">
        <v>219</v>
      </c>
      <c r="B52" t="s">
        <v>220</v>
      </c>
      <c r="C52" t="s">
        <v>13</v>
      </c>
      <c r="D52" t="s">
        <v>193</v>
      </c>
      <c r="E52" t="s">
        <v>221</v>
      </c>
    </row>
    <row r="53" spans="1:5" x14ac:dyDescent="0.3">
      <c r="A53" t="s">
        <v>222</v>
      </c>
      <c r="B53" t="s">
        <v>223</v>
      </c>
      <c r="C53" t="s">
        <v>13</v>
      </c>
      <c r="D53" t="s">
        <v>193</v>
      </c>
      <c r="E53" t="s">
        <v>224</v>
      </c>
    </row>
    <row r="54" spans="1:5" x14ac:dyDescent="0.3">
      <c r="A54" t="s">
        <v>735</v>
      </c>
      <c r="B54" t="s">
        <v>737</v>
      </c>
      <c r="C54" t="s">
        <v>13</v>
      </c>
      <c r="D54" t="s">
        <v>193</v>
      </c>
      <c r="E54" t="s">
        <v>744</v>
      </c>
    </row>
    <row r="55" spans="1:5" x14ac:dyDescent="0.3">
      <c r="A55" t="s">
        <v>736</v>
      </c>
      <c r="B55" t="s">
        <v>738</v>
      </c>
      <c r="C55" t="s">
        <v>13</v>
      </c>
      <c r="D55" t="s">
        <v>193</v>
      </c>
      <c r="E55" t="s">
        <v>745</v>
      </c>
    </row>
    <row r="56" spans="1:5" x14ac:dyDescent="0.3">
      <c r="A56" t="s">
        <v>739</v>
      </c>
      <c r="B56" t="s">
        <v>741</v>
      </c>
      <c r="C56" t="s">
        <v>13</v>
      </c>
      <c r="D56" t="s">
        <v>193</v>
      </c>
      <c r="E56" t="s">
        <v>746</v>
      </c>
    </row>
    <row r="57" spans="1:5" x14ac:dyDescent="0.3">
      <c r="A57" t="s">
        <v>740</v>
      </c>
      <c r="B57" t="s">
        <v>742</v>
      </c>
      <c r="C57" t="s">
        <v>13</v>
      </c>
      <c r="D57" t="s">
        <v>193</v>
      </c>
      <c r="E57" t="s">
        <v>747</v>
      </c>
    </row>
    <row r="58" spans="1:5" x14ac:dyDescent="0.3">
      <c r="A58" t="s">
        <v>554</v>
      </c>
      <c r="B58" t="s">
        <v>563</v>
      </c>
      <c r="C58" t="s">
        <v>13</v>
      </c>
      <c r="D58" t="s">
        <v>193</v>
      </c>
      <c r="E58" t="s">
        <v>557</v>
      </c>
    </row>
    <row r="59" spans="1:5" x14ac:dyDescent="0.3">
      <c r="A59" t="s">
        <v>225</v>
      </c>
      <c r="B59" t="s">
        <v>564</v>
      </c>
      <c r="C59" t="s">
        <v>13</v>
      </c>
      <c r="D59" t="s">
        <v>193</v>
      </c>
      <c r="E59" t="s">
        <v>558</v>
      </c>
    </row>
    <row r="60" spans="1:5" x14ac:dyDescent="0.3">
      <c r="A60" t="s">
        <v>555</v>
      </c>
      <c r="B60" t="s">
        <v>565</v>
      </c>
      <c r="C60" t="s">
        <v>13</v>
      </c>
      <c r="D60" t="s">
        <v>193</v>
      </c>
      <c r="E60" t="s">
        <v>559</v>
      </c>
    </row>
    <row r="61" spans="1:5" x14ac:dyDescent="0.3">
      <c r="A61" t="s">
        <v>226</v>
      </c>
      <c r="B61" t="s">
        <v>566</v>
      </c>
      <c r="C61" t="s">
        <v>13</v>
      </c>
      <c r="D61" t="s">
        <v>193</v>
      </c>
      <c r="E61" t="s">
        <v>560</v>
      </c>
    </row>
    <row r="62" spans="1:5" x14ac:dyDescent="0.3">
      <c r="A62" t="s">
        <v>556</v>
      </c>
      <c r="B62" t="s">
        <v>552</v>
      </c>
      <c r="C62" t="s">
        <v>13</v>
      </c>
      <c r="D62" t="s">
        <v>193</v>
      </c>
      <c r="E62" t="s">
        <v>553</v>
      </c>
    </row>
    <row r="63" spans="1:5" x14ac:dyDescent="0.3">
      <c r="A63" t="s">
        <v>227</v>
      </c>
      <c r="B63" t="s">
        <v>562</v>
      </c>
      <c r="C63" t="s">
        <v>13</v>
      </c>
      <c r="D63" t="s">
        <v>193</v>
      </c>
      <c r="E63" t="s">
        <v>561</v>
      </c>
    </row>
    <row r="64" spans="1:5" x14ac:dyDescent="0.3">
      <c r="A64" t="s">
        <v>569</v>
      </c>
      <c r="B64" t="s">
        <v>573</v>
      </c>
      <c r="C64" t="s">
        <v>230</v>
      </c>
      <c r="D64" t="s">
        <v>113</v>
      </c>
      <c r="E64" t="s">
        <v>577</v>
      </c>
    </row>
    <row r="65" spans="1:5" x14ac:dyDescent="0.3">
      <c r="A65" t="s">
        <v>570</v>
      </c>
      <c r="B65" t="s">
        <v>574</v>
      </c>
      <c r="C65" t="s">
        <v>230</v>
      </c>
      <c r="D65" t="s">
        <v>113</v>
      </c>
      <c r="E65" t="s">
        <v>578</v>
      </c>
    </row>
    <row r="66" spans="1:5" x14ac:dyDescent="0.3">
      <c r="A66" t="s">
        <v>571</v>
      </c>
      <c r="B66" t="s">
        <v>575</v>
      </c>
      <c r="C66" t="s">
        <v>230</v>
      </c>
      <c r="D66" t="s">
        <v>113</v>
      </c>
      <c r="E66" t="s">
        <v>579</v>
      </c>
    </row>
    <row r="67" spans="1:5" x14ac:dyDescent="0.3">
      <c r="A67" t="s">
        <v>572</v>
      </c>
      <c r="B67" t="s">
        <v>576</v>
      </c>
      <c r="C67" t="s">
        <v>230</v>
      </c>
      <c r="D67" t="s">
        <v>113</v>
      </c>
      <c r="E67" t="s">
        <v>580</v>
      </c>
    </row>
    <row r="68" spans="1:5" x14ac:dyDescent="0.3">
      <c r="A68" t="s">
        <v>581</v>
      </c>
      <c r="B68" t="s">
        <v>585</v>
      </c>
      <c r="C68" t="s">
        <v>13</v>
      </c>
      <c r="D68" t="s">
        <v>193</v>
      </c>
      <c r="E68" t="s">
        <v>589</v>
      </c>
    </row>
    <row r="69" spans="1:5" x14ac:dyDescent="0.3">
      <c r="A69" t="s">
        <v>582</v>
      </c>
      <c r="B69" t="s">
        <v>586</v>
      </c>
      <c r="C69" t="s">
        <v>13</v>
      </c>
      <c r="D69" t="s">
        <v>193</v>
      </c>
      <c r="E69" t="s">
        <v>590</v>
      </c>
    </row>
    <row r="70" spans="1:5" x14ac:dyDescent="0.3">
      <c r="A70" t="s">
        <v>583</v>
      </c>
      <c r="B70" t="s">
        <v>587</v>
      </c>
      <c r="C70" t="s">
        <v>13</v>
      </c>
      <c r="D70" t="s">
        <v>193</v>
      </c>
      <c r="E70" t="s">
        <v>591</v>
      </c>
    </row>
    <row r="71" spans="1:5" x14ac:dyDescent="0.3">
      <c r="A71" t="s">
        <v>584</v>
      </c>
      <c r="B71" t="s">
        <v>588</v>
      </c>
      <c r="C71" t="s">
        <v>13</v>
      </c>
      <c r="D71" t="s">
        <v>193</v>
      </c>
      <c r="E71" t="s">
        <v>592</v>
      </c>
    </row>
    <row r="72" spans="1:5" x14ac:dyDescent="0.3">
      <c r="A72" t="s">
        <v>748</v>
      </c>
      <c r="B72" t="s">
        <v>753</v>
      </c>
      <c r="C72" t="s">
        <v>13</v>
      </c>
      <c r="D72" t="s">
        <v>193</v>
      </c>
      <c r="E72" t="s">
        <v>758</v>
      </c>
    </row>
    <row r="73" spans="1:5" x14ac:dyDescent="0.3">
      <c r="A73" t="s">
        <v>749</v>
      </c>
      <c r="B73" t="s">
        <v>754</v>
      </c>
      <c r="C73" t="s">
        <v>13</v>
      </c>
      <c r="D73" t="s">
        <v>193</v>
      </c>
      <c r="E73" t="s">
        <v>759</v>
      </c>
    </row>
    <row r="74" spans="1:5" x14ac:dyDescent="0.3">
      <c r="A74" t="s">
        <v>750</v>
      </c>
      <c r="B74" t="s">
        <v>755</v>
      </c>
      <c r="C74" t="s">
        <v>13</v>
      </c>
      <c r="D74" t="s">
        <v>193</v>
      </c>
      <c r="E74" t="s">
        <v>760</v>
      </c>
    </row>
    <row r="75" spans="1:5" x14ac:dyDescent="0.3">
      <c r="A75" t="s">
        <v>751</v>
      </c>
      <c r="B75" t="s">
        <v>756</v>
      </c>
      <c r="C75" t="s">
        <v>13</v>
      </c>
      <c r="D75" t="s">
        <v>193</v>
      </c>
      <c r="E75" t="s">
        <v>761</v>
      </c>
    </row>
    <row r="76" spans="1:5" x14ac:dyDescent="0.3">
      <c r="A76" t="s">
        <v>752</v>
      </c>
      <c r="B76" t="s">
        <v>757</v>
      </c>
      <c r="C76" t="s">
        <v>13</v>
      </c>
      <c r="D76" t="s">
        <v>193</v>
      </c>
      <c r="E76" t="s">
        <v>762</v>
      </c>
    </row>
    <row r="77" spans="1:5" x14ac:dyDescent="0.3">
      <c r="A77" t="s">
        <v>841</v>
      </c>
      <c r="B77" t="s">
        <v>841</v>
      </c>
      <c r="C77" t="s">
        <v>13</v>
      </c>
      <c r="D77" t="s">
        <v>193</v>
      </c>
      <c r="E77" t="s">
        <v>1042</v>
      </c>
    </row>
    <row r="78" spans="1:5" x14ac:dyDescent="0.3">
      <c r="A78" t="s">
        <v>842</v>
      </c>
      <c r="B78" t="s">
        <v>842</v>
      </c>
      <c r="C78" t="s">
        <v>13</v>
      </c>
      <c r="D78" t="s">
        <v>193</v>
      </c>
      <c r="E78" t="s">
        <v>1043</v>
      </c>
    </row>
    <row r="79" spans="1:5" x14ac:dyDescent="0.3">
      <c r="A79" t="s">
        <v>843</v>
      </c>
      <c r="B79" t="s">
        <v>843</v>
      </c>
      <c r="C79" t="s">
        <v>13</v>
      </c>
      <c r="D79" t="s">
        <v>193</v>
      </c>
      <c r="E79" t="s">
        <v>1044</v>
      </c>
    </row>
    <row r="80" spans="1:5" x14ac:dyDescent="0.3">
      <c r="A80" t="s">
        <v>844</v>
      </c>
      <c r="B80" t="s">
        <v>844</v>
      </c>
      <c r="C80" t="s">
        <v>13</v>
      </c>
      <c r="D80" t="s">
        <v>193</v>
      </c>
      <c r="E80" t="s">
        <v>1045</v>
      </c>
    </row>
    <row r="81" spans="1:5" x14ac:dyDescent="0.3">
      <c r="A81" t="s">
        <v>845</v>
      </c>
      <c r="B81" t="s">
        <v>845</v>
      </c>
      <c r="C81" t="s">
        <v>13</v>
      </c>
      <c r="D81" t="s">
        <v>193</v>
      </c>
      <c r="E81" t="s">
        <v>1046</v>
      </c>
    </row>
    <row r="82" spans="1:5" x14ac:dyDescent="0.3">
      <c r="A82" t="s">
        <v>846</v>
      </c>
      <c r="B82" t="s">
        <v>846</v>
      </c>
      <c r="C82" t="s">
        <v>13</v>
      </c>
      <c r="D82" t="s">
        <v>193</v>
      </c>
      <c r="E82" t="s">
        <v>1047</v>
      </c>
    </row>
    <row r="83" spans="1:5" x14ac:dyDescent="0.3">
      <c r="A83" t="s">
        <v>847</v>
      </c>
      <c r="B83" t="s">
        <v>847</v>
      </c>
      <c r="C83" t="s">
        <v>13</v>
      </c>
      <c r="D83" t="s">
        <v>193</v>
      </c>
      <c r="E83" t="s">
        <v>1048</v>
      </c>
    </row>
    <row r="84" spans="1:5" x14ac:dyDescent="0.3">
      <c r="A84" t="s">
        <v>848</v>
      </c>
      <c r="B84" t="s">
        <v>848</v>
      </c>
      <c r="C84" t="s">
        <v>13</v>
      </c>
      <c r="D84" t="s">
        <v>193</v>
      </c>
      <c r="E84" t="s">
        <v>1049</v>
      </c>
    </row>
    <row r="85" spans="1:5" x14ac:dyDescent="0.3">
      <c r="A85" t="s">
        <v>849</v>
      </c>
      <c r="B85" t="s">
        <v>849</v>
      </c>
      <c r="C85" t="s">
        <v>13</v>
      </c>
      <c r="D85" t="s">
        <v>193</v>
      </c>
      <c r="E85" t="s">
        <v>1050</v>
      </c>
    </row>
    <row r="86" spans="1:5" x14ac:dyDescent="0.3">
      <c r="A86" t="s">
        <v>850</v>
      </c>
      <c r="B86" t="s">
        <v>850</v>
      </c>
      <c r="C86" t="s">
        <v>13</v>
      </c>
      <c r="D86" t="s">
        <v>193</v>
      </c>
      <c r="E86" t="s">
        <v>1051</v>
      </c>
    </row>
    <row r="87" spans="1:5" x14ac:dyDescent="0.3">
      <c r="A87" t="s">
        <v>851</v>
      </c>
      <c r="B87" t="s">
        <v>851</v>
      </c>
      <c r="C87" t="s">
        <v>13</v>
      </c>
      <c r="D87" t="s">
        <v>193</v>
      </c>
      <c r="E87" t="s">
        <v>1052</v>
      </c>
    </row>
    <row r="88" spans="1:5" x14ac:dyDescent="0.3">
      <c r="A88" t="s">
        <v>852</v>
      </c>
      <c r="B88" t="s">
        <v>852</v>
      </c>
      <c r="C88" t="s">
        <v>13</v>
      </c>
      <c r="D88" t="s">
        <v>193</v>
      </c>
      <c r="E88" t="s">
        <v>1053</v>
      </c>
    </row>
    <row r="89" spans="1:5" x14ac:dyDescent="0.3">
      <c r="A89" t="s">
        <v>853</v>
      </c>
      <c r="B89" t="s">
        <v>853</v>
      </c>
      <c r="C89" t="s">
        <v>13</v>
      </c>
      <c r="D89" t="s">
        <v>193</v>
      </c>
      <c r="E89" t="s">
        <v>1054</v>
      </c>
    </row>
    <row r="90" spans="1:5" x14ac:dyDescent="0.3">
      <c r="A90" t="s">
        <v>854</v>
      </c>
      <c r="B90" t="s">
        <v>854</v>
      </c>
      <c r="C90" t="s">
        <v>13</v>
      </c>
      <c r="D90" t="s">
        <v>193</v>
      </c>
      <c r="E90" t="s">
        <v>1055</v>
      </c>
    </row>
    <row r="91" spans="1:5" x14ac:dyDescent="0.3">
      <c r="A91" t="s">
        <v>855</v>
      </c>
      <c r="B91" t="s">
        <v>855</v>
      </c>
      <c r="C91" t="s">
        <v>13</v>
      </c>
      <c r="D91" t="s">
        <v>193</v>
      </c>
      <c r="E91" t="s">
        <v>1056</v>
      </c>
    </row>
    <row r="92" spans="1:5" x14ac:dyDescent="0.3">
      <c r="A92" t="s">
        <v>856</v>
      </c>
      <c r="B92" t="s">
        <v>856</v>
      </c>
      <c r="C92" t="s">
        <v>13</v>
      </c>
      <c r="D92" t="s">
        <v>193</v>
      </c>
      <c r="E92" t="s">
        <v>1057</v>
      </c>
    </row>
    <row r="93" spans="1:5" x14ac:dyDescent="0.3">
      <c r="A93" t="s">
        <v>857</v>
      </c>
      <c r="B93" t="s">
        <v>857</v>
      </c>
      <c r="C93" t="s">
        <v>13</v>
      </c>
      <c r="D93" t="s">
        <v>193</v>
      </c>
      <c r="E93" t="s">
        <v>1058</v>
      </c>
    </row>
    <row r="94" spans="1:5" x14ac:dyDescent="0.3">
      <c r="A94" t="s">
        <v>858</v>
      </c>
      <c r="B94" t="s">
        <v>858</v>
      </c>
      <c r="C94" t="s">
        <v>13</v>
      </c>
      <c r="D94" t="s">
        <v>193</v>
      </c>
      <c r="E94" t="s">
        <v>1059</v>
      </c>
    </row>
    <row r="95" spans="1:5" x14ac:dyDescent="0.3">
      <c r="A95" t="s">
        <v>859</v>
      </c>
      <c r="B95" t="s">
        <v>859</v>
      </c>
      <c r="C95" t="s">
        <v>13</v>
      </c>
      <c r="D95" t="s">
        <v>193</v>
      </c>
      <c r="E95" t="s">
        <v>1060</v>
      </c>
    </row>
    <row r="96" spans="1:5" x14ac:dyDescent="0.3">
      <c r="A96" t="s">
        <v>860</v>
      </c>
      <c r="B96" t="s">
        <v>860</v>
      </c>
      <c r="C96" t="s">
        <v>13</v>
      </c>
      <c r="D96" t="s">
        <v>193</v>
      </c>
      <c r="E96" t="s">
        <v>1061</v>
      </c>
    </row>
    <row r="97" spans="1:5" x14ac:dyDescent="0.3">
      <c r="A97" t="s">
        <v>861</v>
      </c>
      <c r="B97" t="s">
        <v>861</v>
      </c>
      <c r="C97" t="s">
        <v>13</v>
      </c>
      <c r="D97" t="s">
        <v>193</v>
      </c>
      <c r="E97" t="s">
        <v>1062</v>
      </c>
    </row>
    <row r="98" spans="1:5" x14ac:dyDescent="0.3">
      <c r="A98" t="s">
        <v>862</v>
      </c>
      <c r="B98" t="s">
        <v>862</v>
      </c>
      <c r="C98" t="s">
        <v>13</v>
      </c>
      <c r="D98" t="s">
        <v>193</v>
      </c>
      <c r="E98" t="s">
        <v>1063</v>
      </c>
    </row>
    <row r="99" spans="1:5" x14ac:dyDescent="0.3">
      <c r="A99" t="s">
        <v>863</v>
      </c>
      <c r="B99" t="s">
        <v>863</v>
      </c>
      <c r="C99" t="s">
        <v>13</v>
      </c>
      <c r="D99" t="s">
        <v>193</v>
      </c>
      <c r="E99" t="s">
        <v>1064</v>
      </c>
    </row>
    <row r="100" spans="1:5" x14ac:dyDescent="0.3">
      <c r="A100" t="s">
        <v>864</v>
      </c>
      <c r="B100" t="s">
        <v>864</v>
      </c>
      <c r="C100" t="s">
        <v>13</v>
      </c>
      <c r="D100" t="s">
        <v>193</v>
      </c>
      <c r="E100" t="s">
        <v>1065</v>
      </c>
    </row>
    <row r="101" spans="1:5" x14ac:dyDescent="0.3">
      <c r="A101" t="s">
        <v>865</v>
      </c>
      <c r="B101" t="s">
        <v>865</v>
      </c>
      <c r="C101" t="s">
        <v>13</v>
      </c>
      <c r="D101" t="s">
        <v>193</v>
      </c>
      <c r="E101" t="s">
        <v>1066</v>
      </c>
    </row>
    <row r="102" spans="1:5" x14ac:dyDescent="0.3">
      <c r="A102" t="s">
        <v>866</v>
      </c>
      <c r="B102" t="s">
        <v>866</v>
      </c>
      <c r="C102" t="s">
        <v>13</v>
      </c>
      <c r="D102" t="s">
        <v>193</v>
      </c>
      <c r="E102" t="s">
        <v>1067</v>
      </c>
    </row>
    <row r="103" spans="1:5" x14ac:dyDescent="0.3">
      <c r="A103" t="s">
        <v>867</v>
      </c>
      <c r="B103" t="s">
        <v>867</v>
      </c>
      <c r="C103" t="s">
        <v>13</v>
      </c>
      <c r="D103" t="s">
        <v>193</v>
      </c>
      <c r="E103" t="s">
        <v>1068</v>
      </c>
    </row>
    <row r="104" spans="1:5" x14ac:dyDescent="0.3">
      <c r="A104" t="s">
        <v>868</v>
      </c>
      <c r="B104" t="s">
        <v>868</v>
      </c>
      <c r="C104" t="s">
        <v>13</v>
      </c>
      <c r="D104" t="s">
        <v>193</v>
      </c>
      <c r="E104" t="s">
        <v>1069</v>
      </c>
    </row>
    <row r="105" spans="1:5" x14ac:dyDescent="0.3">
      <c r="A105" t="s">
        <v>869</v>
      </c>
      <c r="B105" t="s">
        <v>869</v>
      </c>
      <c r="C105" t="s">
        <v>13</v>
      </c>
      <c r="D105" t="s">
        <v>193</v>
      </c>
      <c r="E105" t="s">
        <v>1070</v>
      </c>
    </row>
    <row r="106" spans="1:5" x14ac:dyDescent="0.3">
      <c r="A106" t="s">
        <v>870</v>
      </c>
      <c r="B106" t="s">
        <v>870</v>
      </c>
      <c r="C106" t="s">
        <v>13</v>
      </c>
      <c r="D106" t="s">
        <v>193</v>
      </c>
      <c r="E106" t="s">
        <v>1071</v>
      </c>
    </row>
    <row r="107" spans="1:5" x14ac:dyDescent="0.3">
      <c r="A107" t="s">
        <v>871</v>
      </c>
      <c r="B107" t="s">
        <v>871</v>
      </c>
      <c r="C107" t="s">
        <v>13</v>
      </c>
      <c r="D107" t="s">
        <v>193</v>
      </c>
      <c r="E107" t="s">
        <v>1072</v>
      </c>
    </row>
    <row r="108" spans="1:5" x14ac:dyDescent="0.3">
      <c r="A108" t="s">
        <v>872</v>
      </c>
      <c r="B108" t="s">
        <v>872</v>
      </c>
      <c r="C108" t="s">
        <v>13</v>
      </c>
      <c r="D108" t="s">
        <v>193</v>
      </c>
      <c r="E108" t="s">
        <v>1073</v>
      </c>
    </row>
    <row r="109" spans="1:5" x14ac:dyDescent="0.3">
      <c r="A109" t="s">
        <v>873</v>
      </c>
      <c r="B109" t="s">
        <v>873</v>
      </c>
      <c r="C109" t="s">
        <v>13</v>
      </c>
      <c r="D109" t="s">
        <v>193</v>
      </c>
      <c r="E109" t="s">
        <v>1074</v>
      </c>
    </row>
    <row r="110" spans="1:5" x14ac:dyDescent="0.3">
      <c r="A110" t="s">
        <v>874</v>
      </c>
      <c r="B110" t="s">
        <v>874</v>
      </c>
      <c r="C110" t="s">
        <v>13</v>
      </c>
      <c r="D110" t="s">
        <v>193</v>
      </c>
      <c r="E110" t="s">
        <v>1075</v>
      </c>
    </row>
    <row r="111" spans="1:5" x14ac:dyDescent="0.3">
      <c r="A111" t="s">
        <v>875</v>
      </c>
      <c r="B111" t="s">
        <v>875</v>
      </c>
      <c r="C111" t="s">
        <v>13</v>
      </c>
      <c r="D111" t="s">
        <v>193</v>
      </c>
      <c r="E111" t="s">
        <v>1076</v>
      </c>
    </row>
    <row r="112" spans="1:5" x14ac:dyDescent="0.3">
      <c r="A112" t="s">
        <v>876</v>
      </c>
      <c r="B112" t="s">
        <v>876</v>
      </c>
      <c r="C112" t="s">
        <v>13</v>
      </c>
      <c r="D112" t="s">
        <v>193</v>
      </c>
      <c r="E112" t="s">
        <v>1077</v>
      </c>
    </row>
    <row r="113" spans="1:5" x14ac:dyDescent="0.3">
      <c r="A113" t="s">
        <v>877</v>
      </c>
      <c r="B113" t="s">
        <v>877</v>
      </c>
      <c r="C113" t="s">
        <v>13</v>
      </c>
      <c r="D113" t="s">
        <v>193</v>
      </c>
      <c r="E113" t="s">
        <v>1078</v>
      </c>
    </row>
    <row r="114" spans="1:5" x14ac:dyDescent="0.3">
      <c r="A114" t="s">
        <v>878</v>
      </c>
      <c r="B114" t="s">
        <v>878</v>
      </c>
      <c r="C114" t="s">
        <v>13</v>
      </c>
      <c r="D114" t="s">
        <v>193</v>
      </c>
      <c r="E114" t="s">
        <v>1079</v>
      </c>
    </row>
    <row r="115" spans="1:5" x14ac:dyDescent="0.3">
      <c r="A115" t="s">
        <v>879</v>
      </c>
      <c r="B115" t="s">
        <v>879</v>
      </c>
      <c r="C115" t="s">
        <v>13</v>
      </c>
      <c r="D115" t="s">
        <v>193</v>
      </c>
      <c r="E115" t="s">
        <v>1080</v>
      </c>
    </row>
    <row r="116" spans="1:5" x14ac:dyDescent="0.3">
      <c r="A116" t="s">
        <v>880</v>
      </c>
      <c r="B116" t="s">
        <v>880</v>
      </c>
      <c r="C116" t="s">
        <v>13</v>
      </c>
      <c r="D116" t="s">
        <v>193</v>
      </c>
      <c r="E116" t="s">
        <v>1081</v>
      </c>
    </row>
    <row r="117" spans="1:5" x14ac:dyDescent="0.3">
      <c r="A117" t="s">
        <v>881</v>
      </c>
      <c r="B117" t="s">
        <v>881</v>
      </c>
      <c r="C117" t="s">
        <v>13</v>
      </c>
      <c r="D117" t="s">
        <v>193</v>
      </c>
      <c r="E117" t="s">
        <v>1082</v>
      </c>
    </row>
    <row r="118" spans="1:5" x14ac:dyDescent="0.3">
      <c r="A118" t="s">
        <v>882</v>
      </c>
      <c r="B118" t="s">
        <v>882</v>
      </c>
      <c r="C118" t="s">
        <v>13</v>
      </c>
      <c r="D118" t="s">
        <v>193</v>
      </c>
      <c r="E118" t="s">
        <v>1083</v>
      </c>
    </row>
    <row r="119" spans="1:5" x14ac:dyDescent="0.3">
      <c r="A119" t="s">
        <v>883</v>
      </c>
      <c r="B119" t="s">
        <v>883</v>
      </c>
      <c r="C119" t="s">
        <v>13</v>
      </c>
      <c r="D119" t="s">
        <v>193</v>
      </c>
      <c r="E119" t="s">
        <v>1084</v>
      </c>
    </row>
    <row r="120" spans="1:5" x14ac:dyDescent="0.3">
      <c r="A120" t="s">
        <v>884</v>
      </c>
      <c r="B120" t="s">
        <v>884</v>
      </c>
      <c r="C120" t="s">
        <v>13</v>
      </c>
      <c r="D120" t="s">
        <v>193</v>
      </c>
      <c r="E120" t="s">
        <v>1085</v>
      </c>
    </row>
    <row r="121" spans="1:5" x14ac:dyDescent="0.3">
      <c r="A121" t="s">
        <v>885</v>
      </c>
      <c r="B121" t="s">
        <v>885</v>
      </c>
      <c r="C121" t="s">
        <v>13</v>
      </c>
      <c r="D121" t="s">
        <v>193</v>
      </c>
      <c r="E121" t="s">
        <v>1086</v>
      </c>
    </row>
    <row r="122" spans="1:5" x14ac:dyDescent="0.3">
      <c r="A122" t="s">
        <v>886</v>
      </c>
      <c r="B122" t="s">
        <v>886</v>
      </c>
      <c r="C122" t="s">
        <v>13</v>
      </c>
      <c r="D122" t="s">
        <v>193</v>
      </c>
      <c r="E122" t="s">
        <v>1087</v>
      </c>
    </row>
    <row r="123" spans="1:5" x14ac:dyDescent="0.3">
      <c r="A123" t="s">
        <v>887</v>
      </c>
      <c r="B123" t="s">
        <v>887</v>
      </c>
      <c r="C123" t="s">
        <v>13</v>
      </c>
      <c r="D123" t="s">
        <v>193</v>
      </c>
      <c r="E123" t="s">
        <v>1088</v>
      </c>
    </row>
    <row r="124" spans="1:5" x14ac:dyDescent="0.3">
      <c r="A124" t="s">
        <v>888</v>
      </c>
      <c r="B124" t="s">
        <v>888</v>
      </c>
      <c r="C124" t="s">
        <v>13</v>
      </c>
      <c r="D124" t="s">
        <v>193</v>
      </c>
      <c r="E124" t="s">
        <v>1089</v>
      </c>
    </row>
    <row r="125" spans="1:5" x14ac:dyDescent="0.3">
      <c r="A125" t="s">
        <v>889</v>
      </c>
      <c r="B125" t="s">
        <v>889</v>
      </c>
      <c r="C125" t="s">
        <v>13</v>
      </c>
      <c r="D125" t="s">
        <v>193</v>
      </c>
      <c r="E125" t="s">
        <v>1090</v>
      </c>
    </row>
    <row r="126" spans="1:5" x14ac:dyDescent="0.3">
      <c r="A126" t="s">
        <v>890</v>
      </c>
      <c r="B126" t="s">
        <v>890</v>
      </c>
      <c r="C126" t="s">
        <v>13</v>
      </c>
      <c r="D126" t="s">
        <v>193</v>
      </c>
      <c r="E126" t="s">
        <v>1091</v>
      </c>
    </row>
    <row r="127" spans="1:5" x14ac:dyDescent="0.3">
      <c r="A127" t="s">
        <v>891</v>
      </c>
      <c r="B127" t="s">
        <v>891</v>
      </c>
      <c r="C127" t="s">
        <v>13</v>
      </c>
      <c r="D127" t="s">
        <v>193</v>
      </c>
      <c r="E127" t="s">
        <v>1092</v>
      </c>
    </row>
    <row r="128" spans="1:5" x14ac:dyDescent="0.3">
      <c r="A128" t="s">
        <v>892</v>
      </c>
      <c r="B128" t="s">
        <v>892</v>
      </c>
      <c r="C128" t="s">
        <v>13</v>
      </c>
      <c r="D128" t="s">
        <v>193</v>
      </c>
      <c r="E128" t="s">
        <v>1093</v>
      </c>
    </row>
    <row r="129" spans="1:5" x14ac:dyDescent="0.3">
      <c r="A129" t="s">
        <v>893</v>
      </c>
      <c r="B129" t="s">
        <v>893</v>
      </c>
      <c r="C129" t="s">
        <v>13</v>
      </c>
      <c r="D129" t="s">
        <v>193</v>
      </c>
      <c r="E129" t="s">
        <v>1094</v>
      </c>
    </row>
    <row r="130" spans="1:5" x14ac:dyDescent="0.3">
      <c r="A130" t="s">
        <v>894</v>
      </c>
      <c r="B130" t="s">
        <v>894</v>
      </c>
      <c r="C130" t="s">
        <v>13</v>
      </c>
      <c r="D130" t="s">
        <v>193</v>
      </c>
      <c r="E130" t="s">
        <v>1095</v>
      </c>
    </row>
    <row r="131" spans="1:5" x14ac:dyDescent="0.3">
      <c r="A131" t="s">
        <v>895</v>
      </c>
      <c r="B131" t="s">
        <v>895</v>
      </c>
      <c r="C131" t="s">
        <v>13</v>
      </c>
      <c r="D131" t="s">
        <v>193</v>
      </c>
      <c r="E131" t="s">
        <v>1096</v>
      </c>
    </row>
    <row r="132" spans="1:5" x14ac:dyDescent="0.3">
      <c r="A132" t="s">
        <v>896</v>
      </c>
      <c r="B132" t="s">
        <v>896</v>
      </c>
      <c r="C132" t="s">
        <v>13</v>
      </c>
      <c r="D132" t="s">
        <v>193</v>
      </c>
      <c r="E132" t="s">
        <v>1097</v>
      </c>
    </row>
    <row r="133" spans="1:5" x14ac:dyDescent="0.3">
      <c r="A133" t="s">
        <v>897</v>
      </c>
      <c r="B133" t="s">
        <v>897</v>
      </c>
      <c r="C133" t="s">
        <v>13</v>
      </c>
      <c r="D133" t="s">
        <v>193</v>
      </c>
      <c r="E133" t="s">
        <v>1098</v>
      </c>
    </row>
    <row r="134" spans="1:5" x14ac:dyDescent="0.3">
      <c r="A134" t="s">
        <v>898</v>
      </c>
      <c r="B134" t="s">
        <v>898</v>
      </c>
      <c r="C134" t="s">
        <v>13</v>
      </c>
      <c r="D134" t="s">
        <v>193</v>
      </c>
      <c r="E134" t="s">
        <v>1099</v>
      </c>
    </row>
    <row r="135" spans="1:5" x14ac:dyDescent="0.3">
      <c r="A135" t="s">
        <v>899</v>
      </c>
      <c r="B135" t="s">
        <v>899</v>
      </c>
      <c r="C135" t="s">
        <v>13</v>
      </c>
      <c r="D135" t="s">
        <v>193</v>
      </c>
      <c r="E135" t="s">
        <v>1100</v>
      </c>
    </row>
    <row r="136" spans="1:5" x14ac:dyDescent="0.3">
      <c r="A136" t="s">
        <v>900</v>
      </c>
      <c r="B136" t="s">
        <v>900</v>
      </c>
      <c r="C136" t="s">
        <v>13</v>
      </c>
      <c r="D136" t="s">
        <v>193</v>
      </c>
      <c r="E136" t="s">
        <v>1101</v>
      </c>
    </row>
    <row r="137" spans="1:5" x14ac:dyDescent="0.3">
      <c r="A137" t="s">
        <v>901</v>
      </c>
      <c r="B137" t="s">
        <v>901</v>
      </c>
      <c r="C137" t="s">
        <v>13</v>
      </c>
      <c r="D137" t="s">
        <v>193</v>
      </c>
      <c r="E137" t="s">
        <v>1102</v>
      </c>
    </row>
    <row r="138" spans="1:5" x14ac:dyDescent="0.3">
      <c r="A138" t="s">
        <v>902</v>
      </c>
      <c r="B138" t="s">
        <v>902</v>
      </c>
      <c r="C138" t="s">
        <v>13</v>
      </c>
      <c r="D138" t="s">
        <v>193</v>
      </c>
      <c r="E138" t="s">
        <v>1103</v>
      </c>
    </row>
    <row r="139" spans="1:5" x14ac:dyDescent="0.3">
      <c r="A139" t="s">
        <v>903</v>
      </c>
      <c r="B139" t="s">
        <v>903</v>
      </c>
      <c r="C139" t="s">
        <v>13</v>
      </c>
      <c r="D139" t="s">
        <v>193</v>
      </c>
      <c r="E139" t="s">
        <v>1104</v>
      </c>
    </row>
    <row r="140" spans="1:5" x14ac:dyDescent="0.3">
      <c r="A140" t="s">
        <v>904</v>
      </c>
      <c r="B140" t="s">
        <v>904</v>
      </c>
      <c r="C140" t="s">
        <v>13</v>
      </c>
      <c r="D140" t="s">
        <v>193</v>
      </c>
      <c r="E140" t="s">
        <v>1105</v>
      </c>
    </row>
    <row r="141" spans="1:5" x14ac:dyDescent="0.3">
      <c r="A141" t="s">
        <v>905</v>
      </c>
      <c r="B141" t="s">
        <v>905</v>
      </c>
      <c r="C141" t="s">
        <v>13</v>
      </c>
      <c r="D141" t="s">
        <v>193</v>
      </c>
      <c r="E141" t="s">
        <v>1106</v>
      </c>
    </row>
    <row r="142" spans="1:5" x14ac:dyDescent="0.3">
      <c r="A142" t="s">
        <v>906</v>
      </c>
      <c r="B142" t="s">
        <v>906</v>
      </c>
      <c r="C142" t="s">
        <v>13</v>
      </c>
      <c r="D142" t="s">
        <v>193</v>
      </c>
      <c r="E142" t="s">
        <v>1107</v>
      </c>
    </row>
    <row r="143" spans="1:5" x14ac:dyDescent="0.3">
      <c r="A143" t="s">
        <v>907</v>
      </c>
      <c r="B143" t="s">
        <v>907</v>
      </c>
      <c r="C143" t="s">
        <v>13</v>
      </c>
      <c r="D143" t="s">
        <v>193</v>
      </c>
      <c r="E143" t="s">
        <v>1108</v>
      </c>
    </row>
    <row r="144" spans="1:5" x14ac:dyDescent="0.3">
      <c r="A144" t="s">
        <v>908</v>
      </c>
      <c r="B144" t="s">
        <v>908</v>
      </c>
      <c r="C144" t="s">
        <v>13</v>
      </c>
      <c r="D144" t="s">
        <v>193</v>
      </c>
      <c r="E144" t="s">
        <v>1109</v>
      </c>
    </row>
    <row r="145" spans="1:5" x14ac:dyDescent="0.3">
      <c r="A145" t="s">
        <v>909</v>
      </c>
      <c r="B145" t="s">
        <v>909</v>
      </c>
      <c r="C145" t="s">
        <v>13</v>
      </c>
      <c r="D145" t="s">
        <v>193</v>
      </c>
      <c r="E145" t="s">
        <v>1110</v>
      </c>
    </row>
    <row r="146" spans="1:5" x14ac:dyDescent="0.3">
      <c r="A146" t="s">
        <v>910</v>
      </c>
      <c r="B146" t="s">
        <v>910</v>
      </c>
      <c r="C146" t="s">
        <v>13</v>
      </c>
      <c r="D146" t="s">
        <v>193</v>
      </c>
      <c r="E146" t="s">
        <v>1111</v>
      </c>
    </row>
    <row r="147" spans="1:5" x14ac:dyDescent="0.3">
      <c r="A147" t="s">
        <v>911</v>
      </c>
      <c r="B147" t="s">
        <v>911</v>
      </c>
      <c r="C147" t="s">
        <v>13</v>
      </c>
      <c r="D147" t="s">
        <v>193</v>
      </c>
      <c r="E147" t="s">
        <v>1112</v>
      </c>
    </row>
    <row r="148" spans="1:5" x14ac:dyDescent="0.3">
      <c r="A148" t="s">
        <v>912</v>
      </c>
      <c r="B148" t="s">
        <v>912</v>
      </c>
      <c r="C148" t="s">
        <v>13</v>
      </c>
      <c r="D148" t="s">
        <v>193</v>
      </c>
      <c r="E148" t="s">
        <v>1113</v>
      </c>
    </row>
    <row r="149" spans="1:5" x14ac:dyDescent="0.3">
      <c r="A149" t="s">
        <v>913</v>
      </c>
      <c r="B149" t="s">
        <v>913</v>
      </c>
      <c r="C149" t="s">
        <v>13</v>
      </c>
      <c r="D149" t="s">
        <v>193</v>
      </c>
      <c r="E149" t="s">
        <v>1114</v>
      </c>
    </row>
    <row r="150" spans="1:5" x14ac:dyDescent="0.3">
      <c r="A150" t="s">
        <v>914</v>
      </c>
      <c r="B150" t="s">
        <v>914</v>
      </c>
      <c r="C150" t="s">
        <v>13</v>
      </c>
      <c r="D150" t="s">
        <v>193</v>
      </c>
      <c r="E150" t="s">
        <v>1115</v>
      </c>
    </row>
    <row r="151" spans="1:5" x14ac:dyDescent="0.3">
      <c r="A151" t="s">
        <v>915</v>
      </c>
      <c r="B151" t="s">
        <v>915</v>
      </c>
      <c r="C151" t="s">
        <v>13</v>
      </c>
      <c r="D151" t="s">
        <v>193</v>
      </c>
      <c r="E151" t="s">
        <v>1116</v>
      </c>
    </row>
    <row r="152" spans="1:5" x14ac:dyDescent="0.3">
      <c r="A152" t="s">
        <v>916</v>
      </c>
      <c r="B152" t="s">
        <v>916</v>
      </c>
      <c r="C152" t="s">
        <v>13</v>
      </c>
      <c r="D152" t="s">
        <v>193</v>
      </c>
      <c r="E152" t="s">
        <v>1117</v>
      </c>
    </row>
    <row r="153" spans="1:5" x14ac:dyDescent="0.3">
      <c r="A153" t="s">
        <v>917</v>
      </c>
      <c r="B153" t="s">
        <v>917</v>
      </c>
      <c r="C153" t="s">
        <v>13</v>
      </c>
      <c r="D153" t="s">
        <v>193</v>
      </c>
      <c r="E153" t="s">
        <v>1118</v>
      </c>
    </row>
    <row r="154" spans="1:5" x14ac:dyDescent="0.3">
      <c r="A154" t="s">
        <v>918</v>
      </c>
      <c r="B154" t="s">
        <v>918</v>
      </c>
      <c r="C154" t="s">
        <v>13</v>
      </c>
      <c r="D154" t="s">
        <v>193</v>
      </c>
      <c r="E154" t="s">
        <v>1119</v>
      </c>
    </row>
    <row r="155" spans="1:5" x14ac:dyDescent="0.3">
      <c r="A155" t="s">
        <v>919</v>
      </c>
      <c r="B155" t="s">
        <v>919</v>
      </c>
      <c r="C155" t="s">
        <v>13</v>
      </c>
      <c r="D155" t="s">
        <v>193</v>
      </c>
      <c r="E155" t="s">
        <v>1120</v>
      </c>
    </row>
    <row r="156" spans="1:5" x14ac:dyDescent="0.3">
      <c r="A156" t="s">
        <v>920</v>
      </c>
      <c r="B156" t="s">
        <v>920</v>
      </c>
      <c r="C156" t="s">
        <v>13</v>
      </c>
      <c r="D156" t="s">
        <v>193</v>
      </c>
      <c r="E156" t="s">
        <v>1121</v>
      </c>
    </row>
    <row r="157" spans="1:5" x14ac:dyDescent="0.3">
      <c r="A157" t="s">
        <v>921</v>
      </c>
      <c r="B157" t="s">
        <v>921</v>
      </c>
      <c r="C157" t="s">
        <v>13</v>
      </c>
      <c r="D157" t="s">
        <v>193</v>
      </c>
      <c r="E157" t="s">
        <v>1122</v>
      </c>
    </row>
    <row r="158" spans="1:5" x14ac:dyDescent="0.3">
      <c r="A158" t="s">
        <v>922</v>
      </c>
      <c r="B158" t="s">
        <v>922</v>
      </c>
      <c r="C158" t="s">
        <v>13</v>
      </c>
      <c r="D158" t="s">
        <v>193</v>
      </c>
      <c r="E158" t="s">
        <v>1123</v>
      </c>
    </row>
    <row r="159" spans="1:5" x14ac:dyDescent="0.3">
      <c r="A159" t="s">
        <v>923</v>
      </c>
      <c r="B159" t="s">
        <v>923</v>
      </c>
      <c r="C159" t="s">
        <v>13</v>
      </c>
      <c r="D159" t="s">
        <v>193</v>
      </c>
      <c r="E159" t="s">
        <v>1124</v>
      </c>
    </row>
    <row r="160" spans="1:5" x14ac:dyDescent="0.3">
      <c r="A160" t="s">
        <v>924</v>
      </c>
      <c r="B160" t="s">
        <v>924</v>
      </c>
      <c r="C160" t="s">
        <v>13</v>
      </c>
      <c r="D160" t="s">
        <v>193</v>
      </c>
      <c r="E160" t="s">
        <v>1125</v>
      </c>
    </row>
    <row r="161" spans="1:5" x14ac:dyDescent="0.3">
      <c r="A161" t="s">
        <v>925</v>
      </c>
      <c r="B161" t="s">
        <v>925</v>
      </c>
      <c r="C161" t="s">
        <v>13</v>
      </c>
      <c r="D161" t="s">
        <v>193</v>
      </c>
      <c r="E161" t="s">
        <v>1126</v>
      </c>
    </row>
    <row r="162" spans="1:5" x14ac:dyDescent="0.3">
      <c r="A162" t="s">
        <v>926</v>
      </c>
      <c r="B162" t="s">
        <v>926</v>
      </c>
      <c r="C162" t="s">
        <v>13</v>
      </c>
      <c r="D162" t="s">
        <v>193</v>
      </c>
      <c r="E162" t="s">
        <v>1127</v>
      </c>
    </row>
    <row r="163" spans="1:5" x14ac:dyDescent="0.3">
      <c r="A163" t="s">
        <v>927</v>
      </c>
      <c r="B163" t="s">
        <v>927</v>
      </c>
      <c r="C163" t="s">
        <v>13</v>
      </c>
      <c r="D163" t="s">
        <v>193</v>
      </c>
      <c r="E163" t="s">
        <v>1128</v>
      </c>
    </row>
    <row r="164" spans="1:5" x14ac:dyDescent="0.3">
      <c r="A164" t="s">
        <v>928</v>
      </c>
      <c r="B164" t="s">
        <v>928</v>
      </c>
      <c r="C164" t="s">
        <v>13</v>
      </c>
      <c r="D164" t="s">
        <v>193</v>
      </c>
      <c r="E164" t="s">
        <v>1129</v>
      </c>
    </row>
    <row r="165" spans="1:5" x14ac:dyDescent="0.3">
      <c r="A165" t="s">
        <v>929</v>
      </c>
      <c r="B165" t="s">
        <v>929</v>
      </c>
      <c r="C165" t="s">
        <v>13</v>
      </c>
      <c r="D165" t="s">
        <v>193</v>
      </c>
      <c r="E165" t="s">
        <v>1130</v>
      </c>
    </row>
    <row r="166" spans="1:5" x14ac:dyDescent="0.3">
      <c r="A166" t="s">
        <v>930</v>
      </c>
      <c r="B166" t="s">
        <v>930</v>
      </c>
      <c r="C166" t="s">
        <v>13</v>
      </c>
      <c r="D166" t="s">
        <v>193</v>
      </c>
      <c r="E166" t="s">
        <v>1131</v>
      </c>
    </row>
    <row r="167" spans="1:5" x14ac:dyDescent="0.3">
      <c r="A167" t="s">
        <v>931</v>
      </c>
      <c r="B167" t="s">
        <v>931</v>
      </c>
      <c r="C167" t="s">
        <v>13</v>
      </c>
      <c r="D167" t="s">
        <v>193</v>
      </c>
      <c r="E167" t="s">
        <v>1132</v>
      </c>
    </row>
    <row r="168" spans="1:5" x14ac:dyDescent="0.3">
      <c r="A168" t="s">
        <v>932</v>
      </c>
      <c r="B168" t="s">
        <v>932</v>
      </c>
      <c r="C168" t="s">
        <v>13</v>
      </c>
      <c r="D168" t="s">
        <v>193</v>
      </c>
      <c r="E168" t="s">
        <v>1133</v>
      </c>
    </row>
    <row r="169" spans="1:5" x14ac:dyDescent="0.3">
      <c r="A169" t="s">
        <v>933</v>
      </c>
      <c r="B169" t="s">
        <v>933</v>
      </c>
      <c r="C169" t="s">
        <v>13</v>
      </c>
      <c r="D169" t="s">
        <v>193</v>
      </c>
      <c r="E169" t="s">
        <v>1134</v>
      </c>
    </row>
    <row r="170" spans="1:5" x14ac:dyDescent="0.3">
      <c r="A170" t="s">
        <v>934</v>
      </c>
      <c r="B170" t="s">
        <v>934</v>
      </c>
      <c r="C170" t="s">
        <v>13</v>
      </c>
      <c r="D170" t="s">
        <v>193</v>
      </c>
      <c r="E170" t="s">
        <v>1135</v>
      </c>
    </row>
    <row r="171" spans="1:5" x14ac:dyDescent="0.3">
      <c r="A171" t="s">
        <v>935</v>
      </c>
      <c r="B171" t="s">
        <v>935</v>
      </c>
      <c r="C171" t="s">
        <v>13</v>
      </c>
      <c r="D171" t="s">
        <v>193</v>
      </c>
      <c r="E171" t="s">
        <v>1136</v>
      </c>
    </row>
    <row r="172" spans="1:5" x14ac:dyDescent="0.3">
      <c r="A172" t="s">
        <v>936</v>
      </c>
      <c r="B172" t="s">
        <v>936</v>
      </c>
      <c r="C172" t="s">
        <v>13</v>
      </c>
      <c r="D172" t="s">
        <v>193</v>
      </c>
      <c r="E172" t="s">
        <v>1137</v>
      </c>
    </row>
    <row r="173" spans="1:5" x14ac:dyDescent="0.3">
      <c r="A173" t="s">
        <v>937</v>
      </c>
      <c r="B173" t="s">
        <v>937</v>
      </c>
      <c r="C173" t="s">
        <v>13</v>
      </c>
      <c r="D173" t="s">
        <v>193</v>
      </c>
      <c r="E173" t="s">
        <v>1138</v>
      </c>
    </row>
    <row r="174" spans="1:5" x14ac:dyDescent="0.3">
      <c r="A174" t="s">
        <v>938</v>
      </c>
      <c r="B174" t="s">
        <v>938</v>
      </c>
      <c r="C174" t="s">
        <v>13</v>
      </c>
      <c r="D174" t="s">
        <v>193</v>
      </c>
      <c r="E174" t="s">
        <v>1139</v>
      </c>
    </row>
    <row r="175" spans="1:5" x14ac:dyDescent="0.3">
      <c r="A175" t="s">
        <v>939</v>
      </c>
      <c r="B175" t="s">
        <v>939</v>
      </c>
      <c r="C175" t="s">
        <v>13</v>
      </c>
      <c r="D175" t="s">
        <v>193</v>
      </c>
      <c r="E175" t="s">
        <v>1140</v>
      </c>
    </row>
    <row r="176" spans="1:5" x14ac:dyDescent="0.3">
      <c r="A176" t="s">
        <v>940</v>
      </c>
      <c r="B176" t="s">
        <v>940</v>
      </c>
      <c r="C176" t="s">
        <v>13</v>
      </c>
      <c r="D176" t="s">
        <v>193</v>
      </c>
      <c r="E176" t="s">
        <v>1141</v>
      </c>
    </row>
    <row r="177" spans="1:5" x14ac:dyDescent="0.3">
      <c r="A177" t="s">
        <v>941</v>
      </c>
      <c r="B177" t="s">
        <v>941</v>
      </c>
      <c r="C177" t="s">
        <v>13</v>
      </c>
      <c r="D177" t="s">
        <v>193</v>
      </c>
      <c r="E177" t="s">
        <v>1142</v>
      </c>
    </row>
    <row r="178" spans="1:5" x14ac:dyDescent="0.3">
      <c r="A178" t="s">
        <v>942</v>
      </c>
      <c r="B178" t="s">
        <v>942</v>
      </c>
      <c r="C178" t="s">
        <v>13</v>
      </c>
      <c r="D178" t="s">
        <v>193</v>
      </c>
      <c r="E178" t="s">
        <v>1143</v>
      </c>
    </row>
    <row r="179" spans="1:5" x14ac:dyDescent="0.3">
      <c r="A179" t="s">
        <v>943</v>
      </c>
      <c r="B179" t="s">
        <v>943</v>
      </c>
      <c r="C179" t="s">
        <v>13</v>
      </c>
      <c r="D179" t="s">
        <v>193</v>
      </c>
      <c r="E179" t="s">
        <v>1144</v>
      </c>
    </row>
    <row r="180" spans="1:5" x14ac:dyDescent="0.3">
      <c r="A180" t="s">
        <v>944</v>
      </c>
      <c r="B180" t="s">
        <v>944</v>
      </c>
      <c r="C180" t="s">
        <v>13</v>
      </c>
      <c r="D180" t="s">
        <v>193</v>
      </c>
      <c r="E180" t="s">
        <v>1145</v>
      </c>
    </row>
    <row r="181" spans="1:5" x14ac:dyDescent="0.3">
      <c r="A181" t="s">
        <v>945</v>
      </c>
      <c r="B181" t="s">
        <v>945</v>
      </c>
      <c r="C181" t="s">
        <v>13</v>
      </c>
      <c r="D181" t="s">
        <v>193</v>
      </c>
      <c r="E181" t="s">
        <v>1146</v>
      </c>
    </row>
    <row r="182" spans="1:5" x14ac:dyDescent="0.3">
      <c r="A182" t="s">
        <v>946</v>
      </c>
      <c r="B182" t="s">
        <v>946</v>
      </c>
      <c r="C182" t="s">
        <v>13</v>
      </c>
      <c r="D182" t="s">
        <v>193</v>
      </c>
      <c r="E182" t="s">
        <v>1147</v>
      </c>
    </row>
    <row r="183" spans="1:5" x14ac:dyDescent="0.3">
      <c r="A183" t="s">
        <v>947</v>
      </c>
      <c r="B183" t="s">
        <v>947</v>
      </c>
      <c r="C183" t="s">
        <v>13</v>
      </c>
      <c r="D183" t="s">
        <v>193</v>
      </c>
      <c r="E183" t="s">
        <v>1148</v>
      </c>
    </row>
    <row r="184" spans="1:5" x14ac:dyDescent="0.3">
      <c r="A184" t="s">
        <v>948</v>
      </c>
      <c r="B184" t="s">
        <v>948</v>
      </c>
      <c r="C184" t="s">
        <v>13</v>
      </c>
      <c r="D184" t="s">
        <v>193</v>
      </c>
      <c r="E184" t="s">
        <v>1149</v>
      </c>
    </row>
    <row r="185" spans="1:5" x14ac:dyDescent="0.3">
      <c r="A185" t="s">
        <v>949</v>
      </c>
      <c r="B185" t="s">
        <v>949</v>
      </c>
      <c r="C185" t="s">
        <v>13</v>
      </c>
      <c r="D185" t="s">
        <v>193</v>
      </c>
      <c r="E185" t="s">
        <v>1150</v>
      </c>
    </row>
    <row r="186" spans="1:5" x14ac:dyDescent="0.3">
      <c r="A186" t="s">
        <v>950</v>
      </c>
      <c r="B186" t="s">
        <v>950</v>
      </c>
      <c r="C186" t="s">
        <v>13</v>
      </c>
      <c r="D186" t="s">
        <v>193</v>
      </c>
      <c r="E186" t="s">
        <v>1151</v>
      </c>
    </row>
    <row r="187" spans="1:5" x14ac:dyDescent="0.3">
      <c r="A187" t="s">
        <v>951</v>
      </c>
      <c r="B187" t="s">
        <v>951</v>
      </c>
      <c r="C187" t="s">
        <v>13</v>
      </c>
      <c r="D187" t="s">
        <v>193</v>
      </c>
      <c r="E187" t="s">
        <v>1152</v>
      </c>
    </row>
    <row r="188" spans="1:5" x14ac:dyDescent="0.3">
      <c r="A188" t="s">
        <v>952</v>
      </c>
      <c r="B188" t="s">
        <v>952</v>
      </c>
      <c r="C188" t="s">
        <v>13</v>
      </c>
      <c r="D188" t="s">
        <v>193</v>
      </c>
      <c r="E188" t="s">
        <v>1153</v>
      </c>
    </row>
    <row r="189" spans="1:5" x14ac:dyDescent="0.3">
      <c r="A189" t="s">
        <v>953</v>
      </c>
      <c r="B189" t="s">
        <v>953</v>
      </c>
      <c r="C189" t="s">
        <v>13</v>
      </c>
      <c r="D189" t="s">
        <v>193</v>
      </c>
      <c r="E189" t="s">
        <v>1154</v>
      </c>
    </row>
    <row r="190" spans="1:5" x14ac:dyDescent="0.3">
      <c r="A190" t="s">
        <v>954</v>
      </c>
      <c r="B190" t="s">
        <v>954</v>
      </c>
      <c r="C190" t="s">
        <v>13</v>
      </c>
      <c r="D190" t="s">
        <v>193</v>
      </c>
      <c r="E190" t="s">
        <v>1155</v>
      </c>
    </row>
    <row r="191" spans="1:5" x14ac:dyDescent="0.3">
      <c r="A191" t="s">
        <v>955</v>
      </c>
      <c r="B191" t="s">
        <v>955</v>
      </c>
      <c r="C191" t="s">
        <v>13</v>
      </c>
      <c r="D191" t="s">
        <v>193</v>
      </c>
      <c r="E191" t="s">
        <v>1156</v>
      </c>
    </row>
    <row r="192" spans="1:5" x14ac:dyDescent="0.3">
      <c r="A192" t="s">
        <v>956</v>
      </c>
      <c r="B192" t="s">
        <v>956</v>
      </c>
      <c r="C192" t="s">
        <v>13</v>
      </c>
      <c r="D192" t="s">
        <v>193</v>
      </c>
      <c r="E192" t="s">
        <v>1157</v>
      </c>
    </row>
    <row r="193" spans="1:5" x14ac:dyDescent="0.3">
      <c r="A193" t="s">
        <v>957</v>
      </c>
      <c r="B193" t="s">
        <v>957</v>
      </c>
      <c r="C193" t="s">
        <v>13</v>
      </c>
      <c r="D193" t="s">
        <v>193</v>
      </c>
      <c r="E193" t="s">
        <v>1158</v>
      </c>
    </row>
    <row r="194" spans="1:5" x14ac:dyDescent="0.3">
      <c r="A194" t="s">
        <v>958</v>
      </c>
      <c r="B194" t="s">
        <v>958</v>
      </c>
      <c r="C194" t="s">
        <v>13</v>
      </c>
      <c r="D194" t="s">
        <v>193</v>
      </c>
      <c r="E194" t="s">
        <v>1159</v>
      </c>
    </row>
    <row r="195" spans="1:5" x14ac:dyDescent="0.3">
      <c r="A195" t="s">
        <v>959</v>
      </c>
      <c r="B195" t="s">
        <v>959</v>
      </c>
      <c r="C195" t="s">
        <v>13</v>
      </c>
      <c r="D195" t="s">
        <v>193</v>
      </c>
      <c r="E195" t="s">
        <v>1160</v>
      </c>
    </row>
    <row r="196" spans="1:5" x14ac:dyDescent="0.3">
      <c r="A196" t="s">
        <v>960</v>
      </c>
      <c r="B196" t="s">
        <v>960</v>
      </c>
      <c r="C196" t="s">
        <v>13</v>
      </c>
      <c r="D196" t="s">
        <v>193</v>
      </c>
      <c r="E196" t="s">
        <v>1161</v>
      </c>
    </row>
    <row r="197" spans="1:5" x14ac:dyDescent="0.3">
      <c r="A197" t="s">
        <v>961</v>
      </c>
      <c r="B197" t="s">
        <v>961</v>
      </c>
      <c r="C197" t="s">
        <v>13</v>
      </c>
      <c r="D197" t="s">
        <v>193</v>
      </c>
      <c r="E197" t="s">
        <v>1162</v>
      </c>
    </row>
    <row r="198" spans="1:5" x14ac:dyDescent="0.3">
      <c r="A198" t="s">
        <v>962</v>
      </c>
      <c r="B198" t="s">
        <v>962</v>
      </c>
      <c r="C198" t="s">
        <v>13</v>
      </c>
      <c r="D198" t="s">
        <v>193</v>
      </c>
      <c r="E198" t="s">
        <v>1163</v>
      </c>
    </row>
    <row r="199" spans="1:5" x14ac:dyDescent="0.3">
      <c r="A199" t="s">
        <v>963</v>
      </c>
      <c r="B199" t="s">
        <v>963</v>
      </c>
      <c r="C199" t="s">
        <v>13</v>
      </c>
      <c r="D199" t="s">
        <v>193</v>
      </c>
      <c r="E199" t="s">
        <v>1164</v>
      </c>
    </row>
    <row r="200" spans="1:5" x14ac:dyDescent="0.3">
      <c r="A200" t="s">
        <v>964</v>
      </c>
      <c r="B200" t="s">
        <v>964</v>
      </c>
      <c r="C200" t="s">
        <v>13</v>
      </c>
      <c r="D200" t="s">
        <v>193</v>
      </c>
      <c r="E200" t="s">
        <v>1165</v>
      </c>
    </row>
    <row r="201" spans="1:5" x14ac:dyDescent="0.3">
      <c r="A201" t="s">
        <v>965</v>
      </c>
      <c r="B201" t="s">
        <v>965</v>
      </c>
      <c r="C201" t="s">
        <v>13</v>
      </c>
      <c r="D201" t="s">
        <v>193</v>
      </c>
      <c r="E201" t="s">
        <v>1166</v>
      </c>
    </row>
    <row r="202" spans="1:5" x14ac:dyDescent="0.3">
      <c r="A202" t="s">
        <v>966</v>
      </c>
      <c r="B202" t="s">
        <v>966</v>
      </c>
      <c r="C202" t="s">
        <v>13</v>
      </c>
      <c r="D202" t="s">
        <v>193</v>
      </c>
      <c r="E202" t="s">
        <v>1167</v>
      </c>
    </row>
    <row r="203" spans="1:5" x14ac:dyDescent="0.3">
      <c r="A203" t="s">
        <v>967</v>
      </c>
      <c r="B203" t="s">
        <v>967</v>
      </c>
      <c r="C203" t="s">
        <v>13</v>
      </c>
      <c r="D203" t="s">
        <v>193</v>
      </c>
      <c r="E203" t="s">
        <v>1168</v>
      </c>
    </row>
    <row r="204" spans="1:5" x14ac:dyDescent="0.3">
      <c r="A204" t="s">
        <v>968</v>
      </c>
      <c r="B204" t="s">
        <v>968</v>
      </c>
      <c r="C204" t="s">
        <v>13</v>
      </c>
      <c r="D204" t="s">
        <v>193</v>
      </c>
      <c r="E204" t="s">
        <v>1169</v>
      </c>
    </row>
    <row r="205" spans="1:5" x14ac:dyDescent="0.3">
      <c r="A205" t="s">
        <v>969</v>
      </c>
      <c r="B205" t="s">
        <v>969</v>
      </c>
      <c r="C205" t="s">
        <v>13</v>
      </c>
      <c r="D205" t="s">
        <v>193</v>
      </c>
      <c r="E205" t="s">
        <v>1170</v>
      </c>
    </row>
    <row r="206" spans="1:5" x14ac:dyDescent="0.3">
      <c r="A206" t="s">
        <v>970</v>
      </c>
      <c r="B206" t="s">
        <v>970</v>
      </c>
      <c r="C206" t="s">
        <v>13</v>
      </c>
      <c r="D206" t="s">
        <v>193</v>
      </c>
      <c r="E206" t="s">
        <v>1171</v>
      </c>
    </row>
    <row r="207" spans="1:5" x14ac:dyDescent="0.3">
      <c r="A207" t="s">
        <v>971</v>
      </c>
      <c r="B207" t="s">
        <v>971</v>
      </c>
      <c r="C207" t="s">
        <v>13</v>
      </c>
      <c r="D207" t="s">
        <v>193</v>
      </c>
      <c r="E207" t="s">
        <v>1172</v>
      </c>
    </row>
    <row r="208" spans="1:5" x14ac:dyDescent="0.3">
      <c r="A208" t="s">
        <v>972</v>
      </c>
      <c r="B208" t="s">
        <v>972</v>
      </c>
      <c r="C208" t="s">
        <v>13</v>
      </c>
      <c r="D208" t="s">
        <v>193</v>
      </c>
      <c r="E208" t="s">
        <v>1173</v>
      </c>
    </row>
    <row r="209" spans="1:5" x14ac:dyDescent="0.3">
      <c r="A209" t="s">
        <v>973</v>
      </c>
      <c r="B209" t="s">
        <v>973</v>
      </c>
      <c r="C209" t="s">
        <v>13</v>
      </c>
      <c r="D209" t="s">
        <v>193</v>
      </c>
      <c r="E209" t="s">
        <v>1174</v>
      </c>
    </row>
    <row r="210" spans="1:5" x14ac:dyDescent="0.3">
      <c r="A210" t="s">
        <v>974</v>
      </c>
      <c r="B210" t="s">
        <v>974</v>
      </c>
      <c r="C210" t="s">
        <v>13</v>
      </c>
      <c r="D210" t="s">
        <v>193</v>
      </c>
      <c r="E210" t="s">
        <v>1175</v>
      </c>
    </row>
    <row r="211" spans="1:5" x14ac:dyDescent="0.3">
      <c r="A211" t="s">
        <v>975</v>
      </c>
      <c r="B211" t="s">
        <v>975</v>
      </c>
      <c r="C211" t="s">
        <v>13</v>
      </c>
      <c r="D211" t="s">
        <v>193</v>
      </c>
      <c r="E211" t="s">
        <v>1176</v>
      </c>
    </row>
    <row r="212" spans="1:5" x14ac:dyDescent="0.3">
      <c r="A212" t="s">
        <v>976</v>
      </c>
      <c r="B212" t="s">
        <v>976</v>
      </c>
      <c r="C212" t="s">
        <v>13</v>
      </c>
      <c r="D212" t="s">
        <v>193</v>
      </c>
      <c r="E212" t="s">
        <v>1177</v>
      </c>
    </row>
    <row r="213" spans="1:5" x14ac:dyDescent="0.3">
      <c r="A213" t="s">
        <v>977</v>
      </c>
      <c r="B213" t="s">
        <v>977</v>
      </c>
      <c r="C213" t="s">
        <v>13</v>
      </c>
      <c r="D213" t="s">
        <v>193</v>
      </c>
      <c r="E213" t="s">
        <v>1178</v>
      </c>
    </row>
    <row r="214" spans="1:5" x14ac:dyDescent="0.3">
      <c r="A214" t="s">
        <v>978</v>
      </c>
      <c r="B214" t="s">
        <v>978</v>
      </c>
      <c r="C214" t="s">
        <v>13</v>
      </c>
      <c r="D214" t="s">
        <v>193</v>
      </c>
      <c r="E214" t="s">
        <v>1179</v>
      </c>
    </row>
    <row r="215" spans="1:5" x14ac:dyDescent="0.3">
      <c r="A215" t="s">
        <v>979</v>
      </c>
      <c r="B215" t="s">
        <v>979</v>
      </c>
      <c r="C215" t="s">
        <v>13</v>
      </c>
      <c r="D215" t="s">
        <v>193</v>
      </c>
      <c r="E215" t="s">
        <v>1180</v>
      </c>
    </row>
    <row r="216" spans="1:5" x14ac:dyDescent="0.3">
      <c r="A216" t="s">
        <v>980</v>
      </c>
      <c r="B216" t="s">
        <v>980</v>
      </c>
      <c r="C216" t="s">
        <v>13</v>
      </c>
      <c r="D216" t="s">
        <v>193</v>
      </c>
      <c r="E216" t="s">
        <v>1181</v>
      </c>
    </row>
    <row r="217" spans="1:5" x14ac:dyDescent="0.3">
      <c r="A217" t="s">
        <v>981</v>
      </c>
      <c r="B217" t="s">
        <v>981</v>
      </c>
      <c r="C217" t="s">
        <v>13</v>
      </c>
      <c r="D217" t="s">
        <v>193</v>
      </c>
      <c r="E217" t="s">
        <v>1182</v>
      </c>
    </row>
    <row r="218" spans="1:5" x14ac:dyDescent="0.3">
      <c r="A218" t="s">
        <v>982</v>
      </c>
      <c r="B218" t="s">
        <v>982</v>
      </c>
      <c r="C218" t="s">
        <v>13</v>
      </c>
      <c r="D218" t="s">
        <v>193</v>
      </c>
      <c r="E218" t="s">
        <v>1183</v>
      </c>
    </row>
    <row r="219" spans="1:5" x14ac:dyDescent="0.3">
      <c r="A219" t="s">
        <v>983</v>
      </c>
      <c r="B219" t="s">
        <v>983</v>
      </c>
      <c r="C219" t="s">
        <v>13</v>
      </c>
      <c r="D219" t="s">
        <v>193</v>
      </c>
      <c r="E219" t="s">
        <v>1184</v>
      </c>
    </row>
    <row r="220" spans="1:5" x14ac:dyDescent="0.3">
      <c r="A220" t="s">
        <v>984</v>
      </c>
      <c r="B220" t="s">
        <v>984</v>
      </c>
      <c r="C220" t="s">
        <v>13</v>
      </c>
      <c r="D220" t="s">
        <v>193</v>
      </c>
      <c r="E220" t="s">
        <v>1185</v>
      </c>
    </row>
    <row r="221" spans="1:5" x14ac:dyDescent="0.3">
      <c r="A221" t="s">
        <v>985</v>
      </c>
      <c r="B221" t="s">
        <v>985</v>
      </c>
      <c r="C221" t="s">
        <v>13</v>
      </c>
      <c r="D221" t="s">
        <v>193</v>
      </c>
      <c r="E221" t="s">
        <v>1186</v>
      </c>
    </row>
    <row r="222" spans="1:5" x14ac:dyDescent="0.3">
      <c r="A222" t="s">
        <v>986</v>
      </c>
      <c r="B222" t="s">
        <v>986</v>
      </c>
      <c r="C222" t="s">
        <v>13</v>
      </c>
      <c r="D222" t="s">
        <v>193</v>
      </c>
      <c r="E222" t="s">
        <v>1187</v>
      </c>
    </row>
    <row r="223" spans="1:5" x14ac:dyDescent="0.3">
      <c r="A223" t="s">
        <v>987</v>
      </c>
      <c r="B223" t="s">
        <v>987</v>
      </c>
      <c r="C223" t="s">
        <v>13</v>
      </c>
      <c r="D223" t="s">
        <v>193</v>
      </c>
      <c r="E223" t="s">
        <v>1188</v>
      </c>
    </row>
    <row r="224" spans="1:5" x14ac:dyDescent="0.3">
      <c r="A224" t="s">
        <v>988</v>
      </c>
      <c r="B224" t="s">
        <v>988</v>
      </c>
      <c r="C224" t="s">
        <v>13</v>
      </c>
      <c r="D224" t="s">
        <v>193</v>
      </c>
      <c r="E224" t="s">
        <v>1189</v>
      </c>
    </row>
    <row r="225" spans="1:5" x14ac:dyDescent="0.3">
      <c r="A225" t="s">
        <v>989</v>
      </c>
      <c r="B225" t="s">
        <v>989</v>
      </c>
      <c r="C225" t="s">
        <v>13</v>
      </c>
      <c r="D225" t="s">
        <v>193</v>
      </c>
      <c r="E225" t="s">
        <v>1190</v>
      </c>
    </row>
    <row r="226" spans="1:5" x14ac:dyDescent="0.3">
      <c r="A226" t="s">
        <v>990</v>
      </c>
      <c r="B226" t="s">
        <v>990</v>
      </c>
      <c r="C226" t="s">
        <v>13</v>
      </c>
      <c r="D226" t="s">
        <v>193</v>
      </c>
      <c r="E226" t="s">
        <v>1191</v>
      </c>
    </row>
    <row r="227" spans="1:5" x14ac:dyDescent="0.3">
      <c r="A227" t="s">
        <v>991</v>
      </c>
      <c r="B227" t="s">
        <v>991</v>
      </c>
      <c r="C227" t="s">
        <v>13</v>
      </c>
      <c r="D227" t="s">
        <v>193</v>
      </c>
      <c r="E227" t="s">
        <v>1192</v>
      </c>
    </row>
    <row r="228" spans="1:5" x14ac:dyDescent="0.3">
      <c r="A228" t="s">
        <v>992</v>
      </c>
      <c r="B228" t="s">
        <v>992</v>
      </c>
      <c r="C228" t="s">
        <v>13</v>
      </c>
      <c r="D228" t="s">
        <v>193</v>
      </c>
      <c r="E228" t="s">
        <v>1193</v>
      </c>
    </row>
    <row r="229" spans="1:5" x14ac:dyDescent="0.3">
      <c r="A229" t="s">
        <v>993</v>
      </c>
      <c r="B229" t="s">
        <v>993</v>
      </c>
      <c r="C229" t="s">
        <v>13</v>
      </c>
      <c r="D229" t="s">
        <v>193</v>
      </c>
      <c r="E229" t="s">
        <v>1194</v>
      </c>
    </row>
    <row r="230" spans="1:5" x14ac:dyDescent="0.3">
      <c r="A230" t="s">
        <v>994</v>
      </c>
      <c r="B230" t="s">
        <v>994</v>
      </c>
      <c r="C230" t="s">
        <v>13</v>
      </c>
      <c r="D230" t="s">
        <v>193</v>
      </c>
      <c r="E230" t="s">
        <v>1195</v>
      </c>
    </row>
    <row r="231" spans="1:5" x14ac:dyDescent="0.3">
      <c r="A231" t="s">
        <v>995</v>
      </c>
      <c r="B231" t="s">
        <v>995</v>
      </c>
      <c r="C231" t="s">
        <v>13</v>
      </c>
      <c r="D231" t="s">
        <v>193</v>
      </c>
      <c r="E231" t="s">
        <v>1196</v>
      </c>
    </row>
    <row r="232" spans="1:5" x14ac:dyDescent="0.3">
      <c r="A232" t="s">
        <v>996</v>
      </c>
      <c r="B232" t="s">
        <v>996</v>
      </c>
      <c r="C232" t="s">
        <v>13</v>
      </c>
      <c r="D232" t="s">
        <v>193</v>
      </c>
      <c r="E232" t="s">
        <v>1197</v>
      </c>
    </row>
    <row r="233" spans="1:5" x14ac:dyDescent="0.3">
      <c r="A233" t="s">
        <v>997</v>
      </c>
      <c r="B233" t="s">
        <v>997</v>
      </c>
      <c r="C233" t="s">
        <v>13</v>
      </c>
      <c r="D233" t="s">
        <v>193</v>
      </c>
      <c r="E233" t="s">
        <v>1198</v>
      </c>
    </row>
    <row r="234" spans="1:5" x14ac:dyDescent="0.3">
      <c r="A234" t="s">
        <v>998</v>
      </c>
      <c r="B234" t="s">
        <v>998</v>
      </c>
      <c r="C234" t="s">
        <v>13</v>
      </c>
      <c r="D234" t="s">
        <v>193</v>
      </c>
      <c r="E234" t="s">
        <v>1199</v>
      </c>
    </row>
    <row r="235" spans="1:5" x14ac:dyDescent="0.3">
      <c r="A235" t="s">
        <v>999</v>
      </c>
      <c r="B235" t="s">
        <v>999</v>
      </c>
      <c r="C235" t="s">
        <v>13</v>
      </c>
      <c r="D235" t="s">
        <v>193</v>
      </c>
      <c r="E235" t="s">
        <v>1200</v>
      </c>
    </row>
    <row r="236" spans="1:5" x14ac:dyDescent="0.3">
      <c r="A236" t="s">
        <v>1000</v>
      </c>
      <c r="B236" t="s">
        <v>1000</v>
      </c>
      <c r="C236" t="s">
        <v>13</v>
      </c>
      <c r="D236" t="s">
        <v>193</v>
      </c>
      <c r="E236" t="s">
        <v>1201</v>
      </c>
    </row>
    <row r="237" spans="1:5" x14ac:dyDescent="0.3">
      <c r="A237" t="s">
        <v>1001</v>
      </c>
      <c r="B237" t="s">
        <v>1001</v>
      </c>
      <c r="C237" t="s">
        <v>13</v>
      </c>
      <c r="D237" t="s">
        <v>193</v>
      </c>
      <c r="E237" t="s">
        <v>1202</v>
      </c>
    </row>
    <row r="238" spans="1:5" x14ac:dyDescent="0.3">
      <c r="A238" t="s">
        <v>1002</v>
      </c>
      <c r="B238" t="s">
        <v>1002</v>
      </c>
      <c r="C238" t="s">
        <v>13</v>
      </c>
      <c r="D238" t="s">
        <v>193</v>
      </c>
      <c r="E238" t="s">
        <v>1203</v>
      </c>
    </row>
    <row r="239" spans="1:5" x14ac:dyDescent="0.3">
      <c r="A239" t="s">
        <v>1003</v>
      </c>
      <c r="B239" t="s">
        <v>1003</v>
      </c>
      <c r="C239" t="s">
        <v>13</v>
      </c>
      <c r="D239" t="s">
        <v>193</v>
      </c>
      <c r="E239" t="s">
        <v>1204</v>
      </c>
    </row>
    <row r="240" spans="1:5" x14ac:dyDescent="0.3">
      <c r="A240" t="s">
        <v>1004</v>
      </c>
      <c r="B240" t="s">
        <v>1004</v>
      </c>
      <c r="C240" t="s">
        <v>13</v>
      </c>
      <c r="D240" t="s">
        <v>193</v>
      </c>
      <c r="E240" t="s">
        <v>1205</v>
      </c>
    </row>
    <row r="241" spans="1:5" x14ac:dyDescent="0.3">
      <c r="A241" t="s">
        <v>1005</v>
      </c>
      <c r="B241" t="s">
        <v>1005</v>
      </c>
      <c r="C241" t="s">
        <v>13</v>
      </c>
      <c r="D241" t="s">
        <v>193</v>
      </c>
      <c r="E241" t="s">
        <v>1206</v>
      </c>
    </row>
    <row r="242" spans="1:5" x14ac:dyDescent="0.3">
      <c r="A242" t="s">
        <v>1006</v>
      </c>
      <c r="B242" t="s">
        <v>1006</v>
      </c>
      <c r="C242" t="s">
        <v>13</v>
      </c>
      <c r="D242" t="s">
        <v>193</v>
      </c>
      <c r="E242" t="s">
        <v>1207</v>
      </c>
    </row>
    <row r="243" spans="1:5" x14ac:dyDescent="0.3">
      <c r="A243" t="s">
        <v>1007</v>
      </c>
      <c r="B243" t="s">
        <v>1007</v>
      </c>
      <c r="C243" t="s">
        <v>13</v>
      </c>
      <c r="D243" t="s">
        <v>193</v>
      </c>
      <c r="E243" t="s">
        <v>1208</v>
      </c>
    </row>
    <row r="244" spans="1:5" x14ac:dyDescent="0.3">
      <c r="A244" t="s">
        <v>1008</v>
      </c>
      <c r="B244" t="s">
        <v>1008</v>
      </c>
      <c r="C244" t="s">
        <v>13</v>
      </c>
      <c r="D244" t="s">
        <v>193</v>
      </c>
      <c r="E244" t="s">
        <v>1209</v>
      </c>
    </row>
    <row r="245" spans="1:5" x14ac:dyDescent="0.3">
      <c r="A245" t="s">
        <v>1009</v>
      </c>
      <c r="B245" t="s">
        <v>1009</v>
      </c>
      <c r="C245" t="s">
        <v>13</v>
      </c>
      <c r="D245" t="s">
        <v>193</v>
      </c>
      <c r="E245" t="s">
        <v>1210</v>
      </c>
    </row>
    <row r="246" spans="1:5" x14ac:dyDescent="0.3">
      <c r="A246" t="s">
        <v>1010</v>
      </c>
      <c r="B246" t="s">
        <v>1010</v>
      </c>
      <c r="C246" t="s">
        <v>13</v>
      </c>
      <c r="D246" t="s">
        <v>193</v>
      </c>
      <c r="E246" t="s">
        <v>1211</v>
      </c>
    </row>
    <row r="247" spans="1:5" x14ac:dyDescent="0.3">
      <c r="A247" t="s">
        <v>1011</v>
      </c>
      <c r="B247" t="s">
        <v>1011</v>
      </c>
      <c r="C247" t="s">
        <v>13</v>
      </c>
      <c r="D247" t="s">
        <v>193</v>
      </c>
      <c r="E247" t="s">
        <v>1212</v>
      </c>
    </row>
    <row r="248" spans="1:5" x14ac:dyDescent="0.3">
      <c r="A248" t="s">
        <v>1012</v>
      </c>
      <c r="B248" t="s">
        <v>1012</v>
      </c>
      <c r="C248" t="s">
        <v>13</v>
      </c>
      <c r="D248" t="s">
        <v>193</v>
      </c>
      <c r="E248" t="s">
        <v>1213</v>
      </c>
    </row>
    <row r="249" spans="1:5" x14ac:dyDescent="0.3">
      <c r="A249" t="s">
        <v>1013</v>
      </c>
      <c r="B249" t="s">
        <v>1013</v>
      </c>
      <c r="C249" t="s">
        <v>13</v>
      </c>
      <c r="D249" t="s">
        <v>193</v>
      </c>
      <c r="E249" t="s">
        <v>1214</v>
      </c>
    </row>
    <row r="250" spans="1:5" x14ac:dyDescent="0.3">
      <c r="A250" t="s">
        <v>1014</v>
      </c>
      <c r="B250" t="s">
        <v>1014</v>
      </c>
      <c r="C250" t="s">
        <v>13</v>
      </c>
      <c r="D250" t="s">
        <v>193</v>
      </c>
      <c r="E250" t="s">
        <v>1215</v>
      </c>
    </row>
    <row r="251" spans="1:5" x14ac:dyDescent="0.3">
      <c r="A251" t="s">
        <v>1015</v>
      </c>
      <c r="B251" t="s">
        <v>1015</v>
      </c>
      <c r="C251" t="s">
        <v>13</v>
      </c>
      <c r="D251" t="s">
        <v>193</v>
      </c>
      <c r="E251" t="s">
        <v>1216</v>
      </c>
    </row>
    <row r="252" spans="1:5" x14ac:dyDescent="0.3">
      <c r="A252" t="s">
        <v>1016</v>
      </c>
      <c r="B252" t="s">
        <v>1016</v>
      </c>
      <c r="C252" t="s">
        <v>13</v>
      </c>
      <c r="D252" t="s">
        <v>193</v>
      </c>
      <c r="E252" t="s">
        <v>1217</v>
      </c>
    </row>
    <row r="253" spans="1:5" x14ac:dyDescent="0.3">
      <c r="A253" t="s">
        <v>1017</v>
      </c>
      <c r="B253" t="s">
        <v>1017</v>
      </c>
      <c r="C253" t="s">
        <v>13</v>
      </c>
      <c r="D253" t="s">
        <v>193</v>
      </c>
      <c r="E253" t="s">
        <v>1218</v>
      </c>
    </row>
    <row r="254" spans="1:5" x14ac:dyDescent="0.3">
      <c r="A254" t="s">
        <v>1018</v>
      </c>
      <c r="B254" t="s">
        <v>1018</v>
      </c>
      <c r="C254" t="s">
        <v>13</v>
      </c>
      <c r="D254" t="s">
        <v>193</v>
      </c>
      <c r="E254" t="s">
        <v>1219</v>
      </c>
    </row>
    <row r="255" spans="1:5" x14ac:dyDescent="0.3">
      <c r="A255" t="s">
        <v>1019</v>
      </c>
      <c r="B255" t="s">
        <v>1019</v>
      </c>
      <c r="C255" t="s">
        <v>13</v>
      </c>
      <c r="D255" t="s">
        <v>193</v>
      </c>
      <c r="E255" t="s">
        <v>1220</v>
      </c>
    </row>
    <row r="256" spans="1:5" x14ac:dyDescent="0.3">
      <c r="A256" t="s">
        <v>1020</v>
      </c>
      <c r="B256" t="s">
        <v>1020</v>
      </c>
      <c r="C256" t="s">
        <v>13</v>
      </c>
      <c r="D256" t="s">
        <v>193</v>
      </c>
      <c r="E256" t="s">
        <v>1221</v>
      </c>
    </row>
    <row r="257" spans="1:5" x14ac:dyDescent="0.3">
      <c r="A257" t="s">
        <v>1021</v>
      </c>
      <c r="B257" t="s">
        <v>1021</v>
      </c>
      <c r="C257" t="s">
        <v>13</v>
      </c>
      <c r="D257" t="s">
        <v>193</v>
      </c>
      <c r="E257" t="s">
        <v>1222</v>
      </c>
    </row>
    <row r="258" spans="1:5" x14ac:dyDescent="0.3">
      <c r="A258" t="s">
        <v>1022</v>
      </c>
      <c r="B258" t="s">
        <v>1022</v>
      </c>
      <c r="C258" t="s">
        <v>13</v>
      </c>
      <c r="D258" t="s">
        <v>193</v>
      </c>
      <c r="E258" t="s">
        <v>1223</v>
      </c>
    </row>
    <row r="259" spans="1:5" x14ac:dyDescent="0.3">
      <c r="A259" t="s">
        <v>1023</v>
      </c>
      <c r="B259" t="s">
        <v>1023</v>
      </c>
      <c r="C259" t="s">
        <v>13</v>
      </c>
      <c r="D259" t="s">
        <v>193</v>
      </c>
      <c r="E259" t="s">
        <v>1224</v>
      </c>
    </row>
    <row r="260" spans="1:5" x14ac:dyDescent="0.3">
      <c r="A260" t="s">
        <v>1024</v>
      </c>
      <c r="B260" t="s">
        <v>1024</v>
      </c>
      <c r="C260" t="s">
        <v>13</v>
      </c>
      <c r="D260" t="s">
        <v>193</v>
      </c>
      <c r="E260" t="s">
        <v>1225</v>
      </c>
    </row>
    <row r="261" spans="1:5" x14ac:dyDescent="0.3">
      <c r="A261" t="s">
        <v>1025</v>
      </c>
      <c r="B261" t="s">
        <v>1025</v>
      </c>
      <c r="C261" t="s">
        <v>13</v>
      </c>
      <c r="D261" t="s">
        <v>193</v>
      </c>
      <c r="E261" t="s">
        <v>1226</v>
      </c>
    </row>
    <row r="262" spans="1:5" x14ac:dyDescent="0.3">
      <c r="A262" t="s">
        <v>1026</v>
      </c>
      <c r="B262" t="s">
        <v>1026</v>
      </c>
      <c r="C262" t="s">
        <v>13</v>
      </c>
      <c r="D262" t="s">
        <v>193</v>
      </c>
      <c r="E262" t="s">
        <v>1227</v>
      </c>
    </row>
    <row r="263" spans="1:5" x14ac:dyDescent="0.3">
      <c r="A263" t="s">
        <v>1027</v>
      </c>
      <c r="B263" t="s">
        <v>1027</v>
      </c>
      <c r="C263" t="s">
        <v>13</v>
      </c>
      <c r="D263" t="s">
        <v>193</v>
      </c>
      <c r="E263" t="s">
        <v>1228</v>
      </c>
    </row>
    <row r="264" spans="1:5" x14ac:dyDescent="0.3">
      <c r="A264" t="s">
        <v>1028</v>
      </c>
      <c r="B264" t="s">
        <v>1028</v>
      </c>
      <c r="C264" t="s">
        <v>13</v>
      </c>
      <c r="D264" t="s">
        <v>193</v>
      </c>
      <c r="E264" t="s">
        <v>1229</v>
      </c>
    </row>
    <row r="265" spans="1:5" x14ac:dyDescent="0.3">
      <c r="A265" t="s">
        <v>1029</v>
      </c>
      <c r="B265" t="s">
        <v>1029</v>
      </c>
      <c r="C265" t="s">
        <v>13</v>
      </c>
      <c r="D265" t="s">
        <v>193</v>
      </c>
      <c r="E265" t="s">
        <v>1230</v>
      </c>
    </row>
    <row r="266" spans="1:5" x14ac:dyDescent="0.3">
      <c r="A266" t="s">
        <v>1030</v>
      </c>
      <c r="B266" t="s">
        <v>1030</v>
      </c>
      <c r="C266" t="s">
        <v>13</v>
      </c>
      <c r="D266" t="s">
        <v>193</v>
      </c>
      <c r="E266" t="s">
        <v>1231</v>
      </c>
    </row>
    <row r="267" spans="1:5" x14ac:dyDescent="0.3">
      <c r="A267" t="s">
        <v>1031</v>
      </c>
      <c r="B267" t="s">
        <v>1031</v>
      </c>
      <c r="C267" t="s">
        <v>13</v>
      </c>
      <c r="D267" t="s">
        <v>193</v>
      </c>
      <c r="E267" t="s">
        <v>1232</v>
      </c>
    </row>
    <row r="268" spans="1:5" x14ac:dyDescent="0.3">
      <c r="A268" t="s">
        <v>1032</v>
      </c>
      <c r="B268" t="s">
        <v>1032</v>
      </c>
      <c r="C268" t="s">
        <v>13</v>
      </c>
      <c r="D268" t="s">
        <v>193</v>
      </c>
      <c r="E268" t="s">
        <v>1233</v>
      </c>
    </row>
    <row r="269" spans="1:5" x14ac:dyDescent="0.3">
      <c r="A269" t="s">
        <v>593</v>
      </c>
      <c r="B269" t="s">
        <v>594</v>
      </c>
      <c r="C269" t="s">
        <v>10</v>
      </c>
      <c r="D269" t="s">
        <v>193</v>
      </c>
      <c r="E269" t="s">
        <v>595</v>
      </c>
    </row>
    <row r="270" spans="1:5" x14ac:dyDescent="0.3">
      <c r="A270" t="s">
        <v>229</v>
      </c>
      <c r="B270" t="s">
        <v>229</v>
      </c>
      <c r="C270" t="s">
        <v>230</v>
      </c>
      <c r="D270" t="s">
        <v>193</v>
      </c>
      <c r="E270" t="s">
        <v>231</v>
      </c>
    </row>
    <row r="271" spans="1:5" x14ac:dyDescent="0.3">
      <c r="A271" t="s">
        <v>1234</v>
      </c>
      <c r="B271" t="s">
        <v>1234</v>
      </c>
      <c r="C271" t="s">
        <v>10</v>
      </c>
      <c r="D271" t="s">
        <v>193</v>
      </c>
      <c r="E271" t="s">
        <v>415</v>
      </c>
    </row>
    <row r="272" spans="1:5" x14ac:dyDescent="0.3">
      <c r="A272" t="s">
        <v>1235</v>
      </c>
      <c r="B272" t="s">
        <v>1235</v>
      </c>
      <c r="C272" t="s">
        <v>10</v>
      </c>
      <c r="D272" t="s">
        <v>193</v>
      </c>
      <c r="E272" t="s">
        <v>416</v>
      </c>
    </row>
    <row r="273" spans="1:5" x14ac:dyDescent="0.3">
      <c r="A273" t="s">
        <v>1236</v>
      </c>
      <c r="B273" t="s">
        <v>1236</v>
      </c>
      <c r="C273" t="s">
        <v>10</v>
      </c>
      <c r="D273" t="s">
        <v>193</v>
      </c>
      <c r="E273" t="s">
        <v>417</v>
      </c>
    </row>
    <row r="274" spans="1:5" x14ac:dyDescent="0.3">
      <c r="A274" t="s">
        <v>1237</v>
      </c>
      <c r="B274" t="s">
        <v>1237</v>
      </c>
      <c r="C274" t="s">
        <v>10</v>
      </c>
      <c r="D274" t="s">
        <v>193</v>
      </c>
      <c r="E274" t="s">
        <v>418</v>
      </c>
    </row>
    <row r="275" spans="1:5" x14ac:dyDescent="0.3">
      <c r="A275" t="s">
        <v>1238</v>
      </c>
      <c r="B275" t="s">
        <v>1238</v>
      </c>
      <c r="C275" t="s">
        <v>10</v>
      </c>
      <c r="D275" t="s">
        <v>193</v>
      </c>
      <c r="E275" t="s">
        <v>419</v>
      </c>
    </row>
    <row r="276" spans="1:5" x14ac:dyDescent="0.3">
      <c r="A276" t="s">
        <v>1239</v>
      </c>
      <c r="B276" t="s">
        <v>1239</v>
      </c>
      <c r="C276" t="s">
        <v>10</v>
      </c>
      <c r="D276" t="s">
        <v>193</v>
      </c>
      <c r="E276" t="s">
        <v>420</v>
      </c>
    </row>
    <row r="277" spans="1:5" x14ac:dyDescent="0.3">
      <c r="A277" t="s">
        <v>1240</v>
      </c>
      <c r="B277" t="s">
        <v>1240</v>
      </c>
      <c r="C277" t="s">
        <v>10</v>
      </c>
      <c r="D277" t="s">
        <v>193</v>
      </c>
      <c r="E277" t="s">
        <v>421</v>
      </c>
    </row>
    <row r="278" spans="1:5" x14ac:dyDescent="0.3">
      <c r="A278" t="s">
        <v>1241</v>
      </c>
      <c r="B278" t="s">
        <v>1241</v>
      </c>
      <c r="C278" t="s">
        <v>10</v>
      </c>
      <c r="D278" t="s">
        <v>193</v>
      </c>
      <c r="E278" t="s">
        <v>343</v>
      </c>
    </row>
    <row r="279" spans="1:5" x14ac:dyDescent="0.3">
      <c r="A279" t="s">
        <v>1242</v>
      </c>
      <c r="B279" t="s">
        <v>1242</v>
      </c>
      <c r="C279" t="s">
        <v>10</v>
      </c>
      <c r="D279" t="s">
        <v>193</v>
      </c>
      <c r="E279" t="s">
        <v>344</v>
      </c>
    </row>
    <row r="280" spans="1:5" x14ac:dyDescent="0.3">
      <c r="A280" t="s">
        <v>1243</v>
      </c>
      <c r="B280" t="s">
        <v>1243</v>
      </c>
      <c r="C280" t="s">
        <v>10</v>
      </c>
      <c r="D280" t="s">
        <v>193</v>
      </c>
      <c r="E280" t="s">
        <v>345</v>
      </c>
    </row>
    <row r="281" spans="1:5" x14ac:dyDescent="0.3">
      <c r="A281" t="s">
        <v>1244</v>
      </c>
      <c r="B281" t="s">
        <v>1244</v>
      </c>
      <c r="C281" t="s">
        <v>10</v>
      </c>
      <c r="D281" t="s">
        <v>193</v>
      </c>
      <c r="E281" t="s">
        <v>346</v>
      </c>
    </row>
    <row r="282" spans="1:5" x14ac:dyDescent="0.3">
      <c r="A282" t="s">
        <v>1245</v>
      </c>
      <c r="B282" t="s">
        <v>1245</v>
      </c>
      <c r="C282" t="s">
        <v>10</v>
      </c>
      <c r="D282" t="s">
        <v>193</v>
      </c>
      <c r="E282" t="s">
        <v>347</v>
      </c>
    </row>
    <row r="283" spans="1:5" x14ac:dyDescent="0.3">
      <c r="A283" t="s">
        <v>1246</v>
      </c>
      <c r="B283" t="s">
        <v>1246</v>
      </c>
      <c r="C283" t="s">
        <v>10</v>
      </c>
      <c r="D283" t="s">
        <v>193</v>
      </c>
      <c r="E283" t="s">
        <v>348</v>
      </c>
    </row>
    <row r="284" spans="1:5" x14ac:dyDescent="0.3">
      <c r="A284" t="s">
        <v>1247</v>
      </c>
      <c r="B284" t="s">
        <v>1247</v>
      </c>
      <c r="C284" t="s">
        <v>10</v>
      </c>
      <c r="D284" t="s">
        <v>193</v>
      </c>
      <c r="E284" t="s">
        <v>422</v>
      </c>
    </row>
    <row r="285" spans="1:5" x14ac:dyDescent="0.3">
      <c r="A285" t="s">
        <v>1248</v>
      </c>
      <c r="B285" t="s">
        <v>1248</v>
      </c>
      <c r="C285" t="s">
        <v>10</v>
      </c>
      <c r="D285" t="s">
        <v>193</v>
      </c>
      <c r="E285" t="s">
        <v>423</v>
      </c>
    </row>
    <row r="286" spans="1:5" x14ac:dyDescent="0.3">
      <c r="A286" t="s">
        <v>1249</v>
      </c>
      <c r="B286" t="s">
        <v>1249</v>
      </c>
      <c r="C286" t="s">
        <v>10</v>
      </c>
      <c r="D286" t="s">
        <v>193</v>
      </c>
      <c r="E286" t="s">
        <v>424</v>
      </c>
    </row>
    <row r="287" spans="1:5" x14ac:dyDescent="0.3">
      <c r="A287" t="s">
        <v>1250</v>
      </c>
      <c r="B287" t="s">
        <v>1250</v>
      </c>
      <c r="C287" t="s">
        <v>10</v>
      </c>
      <c r="D287" t="s">
        <v>193</v>
      </c>
      <c r="E287" t="s">
        <v>425</v>
      </c>
    </row>
    <row r="288" spans="1:5" x14ac:dyDescent="0.3">
      <c r="A288" t="s">
        <v>1251</v>
      </c>
      <c r="B288" t="s">
        <v>1251</v>
      </c>
      <c r="C288" t="s">
        <v>10</v>
      </c>
      <c r="D288" t="s">
        <v>193</v>
      </c>
      <c r="E288" t="s">
        <v>426</v>
      </c>
    </row>
    <row r="289" spans="1:5" x14ac:dyDescent="0.3">
      <c r="A289" t="s">
        <v>1252</v>
      </c>
      <c r="B289" t="s">
        <v>1252</v>
      </c>
      <c r="C289" t="s">
        <v>10</v>
      </c>
      <c r="D289" t="s">
        <v>193</v>
      </c>
      <c r="E289" t="s">
        <v>427</v>
      </c>
    </row>
    <row r="290" spans="1:5" x14ac:dyDescent="0.3">
      <c r="A290" t="s">
        <v>1253</v>
      </c>
      <c r="B290" t="s">
        <v>1253</v>
      </c>
      <c r="C290" t="s">
        <v>10</v>
      </c>
      <c r="D290" t="s">
        <v>193</v>
      </c>
      <c r="E290" t="s">
        <v>428</v>
      </c>
    </row>
    <row r="291" spans="1:5" x14ac:dyDescent="0.3">
      <c r="A291" t="s">
        <v>1254</v>
      </c>
      <c r="B291" t="s">
        <v>1254</v>
      </c>
      <c r="C291" t="s">
        <v>10</v>
      </c>
      <c r="D291" t="s">
        <v>193</v>
      </c>
      <c r="E291" t="s">
        <v>429</v>
      </c>
    </row>
    <row r="292" spans="1:5" x14ac:dyDescent="0.3">
      <c r="A292" t="s">
        <v>1255</v>
      </c>
      <c r="B292" t="s">
        <v>1255</v>
      </c>
      <c r="C292" t="s">
        <v>10</v>
      </c>
      <c r="D292" t="s">
        <v>193</v>
      </c>
      <c r="E292" t="s">
        <v>430</v>
      </c>
    </row>
    <row r="293" spans="1:5" x14ac:dyDescent="0.3">
      <c r="A293" t="s">
        <v>1256</v>
      </c>
      <c r="B293" t="s">
        <v>1256</v>
      </c>
      <c r="C293" t="s">
        <v>10</v>
      </c>
      <c r="D293" t="s">
        <v>193</v>
      </c>
      <c r="E293" t="s">
        <v>431</v>
      </c>
    </row>
    <row r="294" spans="1:5" x14ac:dyDescent="0.3">
      <c r="A294" t="s">
        <v>1257</v>
      </c>
      <c r="B294" t="s">
        <v>1257</v>
      </c>
      <c r="C294" t="s">
        <v>10</v>
      </c>
      <c r="D294" t="s">
        <v>193</v>
      </c>
      <c r="E294" t="s">
        <v>432</v>
      </c>
    </row>
    <row r="295" spans="1:5" x14ac:dyDescent="0.3">
      <c r="A295" t="s">
        <v>1258</v>
      </c>
      <c r="B295" t="s">
        <v>1258</v>
      </c>
      <c r="C295" t="s">
        <v>10</v>
      </c>
      <c r="D295" t="s">
        <v>193</v>
      </c>
      <c r="E295" t="s">
        <v>433</v>
      </c>
    </row>
    <row r="296" spans="1:5" x14ac:dyDescent="0.3">
      <c r="A296" t="s">
        <v>1259</v>
      </c>
      <c r="B296" t="s">
        <v>1259</v>
      </c>
      <c r="C296" t="s">
        <v>10</v>
      </c>
      <c r="D296" t="s">
        <v>193</v>
      </c>
      <c r="E296" t="s">
        <v>349</v>
      </c>
    </row>
    <row r="297" spans="1:5" x14ac:dyDescent="0.3">
      <c r="A297" t="s">
        <v>1260</v>
      </c>
      <c r="B297" t="s">
        <v>1260</v>
      </c>
      <c r="C297" t="s">
        <v>10</v>
      </c>
      <c r="D297" t="s">
        <v>193</v>
      </c>
      <c r="E297" t="s">
        <v>350</v>
      </c>
    </row>
    <row r="298" spans="1:5" x14ac:dyDescent="0.3">
      <c r="A298" t="s">
        <v>1261</v>
      </c>
      <c r="B298" t="s">
        <v>1261</v>
      </c>
      <c r="C298" t="s">
        <v>10</v>
      </c>
      <c r="D298" t="s">
        <v>193</v>
      </c>
      <c r="E298" t="s">
        <v>351</v>
      </c>
    </row>
    <row r="299" spans="1:5" x14ac:dyDescent="0.3">
      <c r="A299" t="s">
        <v>1262</v>
      </c>
      <c r="B299" t="s">
        <v>1262</v>
      </c>
      <c r="C299" t="s">
        <v>10</v>
      </c>
      <c r="D299" t="s">
        <v>193</v>
      </c>
      <c r="E299" t="s">
        <v>352</v>
      </c>
    </row>
    <row r="300" spans="1:5" x14ac:dyDescent="0.3">
      <c r="A300" t="s">
        <v>1263</v>
      </c>
      <c r="B300" t="s">
        <v>1263</v>
      </c>
      <c r="C300" t="s">
        <v>10</v>
      </c>
      <c r="D300" t="s">
        <v>193</v>
      </c>
      <c r="E300" t="s">
        <v>353</v>
      </c>
    </row>
    <row r="301" spans="1:5" x14ac:dyDescent="0.3">
      <c r="A301" t="s">
        <v>1264</v>
      </c>
      <c r="B301" t="s">
        <v>1264</v>
      </c>
      <c r="C301" t="s">
        <v>10</v>
      </c>
      <c r="D301" t="s">
        <v>193</v>
      </c>
      <c r="E301" t="s">
        <v>354</v>
      </c>
    </row>
    <row r="302" spans="1:5" x14ac:dyDescent="0.3">
      <c r="A302" t="s">
        <v>1265</v>
      </c>
      <c r="B302" t="s">
        <v>1265</v>
      </c>
      <c r="C302" t="s">
        <v>10</v>
      </c>
      <c r="D302" t="s">
        <v>193</v>
      </c>
      <c r="E302" t="s">
        <v>355</v>
      </c>
    </row>
    <row r="303" spans="1:5" x14ac:dyDescent="0.3">
      <c r="A303" t="s">
        <v>1266</v>
      </c>
      <c r="B303" t="s">
        <v>1266</v>
      </c>
      <c r="C303" t="s">
        <v>10</v>
      </c>
      <c r="D303" t="s">
        <v>193</v>
      </c>
      <c r="E303" t="s">
        <v>356</v>
      </c>
    </row>
    <row r="304" spans="1:5" x14ac:dyDescent="0.3">
      <c r="A304" t="s">
        <v>1267</v>
      </c>
      <c r="B304" t="s">
        <v>1267</v>
      </c>
      <c r="C304" t="s">
        <v>10</v>
      </c>
      <c r="D304" t="s">
        <v>193</v>
      </c>
      <c r="E304" t="s">
        <v>357</v>
      </c>
    </row>
    <row r="305" spans="1:5" x14ac:dyDescent="0.3">
      <c r="A305" t="s">
        <v>1268</v>
      </c>
      <c r="B305" t="s">
        <v>1268</v>
      </c>
      <c r="C305" t="s">
        <v>10</v>
      </c>
      <c r="D305" t="s">
        <v>193</v>
      </c>
      <c r="E305" t="s">
        <v>358</v>
      </c>
    </row>
    <row r="306" spans="1:5" x14ac:dyDescent="0.3">
      <c r="A306" t="s">
        <v>1269</v>
      </c>
      <c r="B306" t="s">
        <v>1269</v>
      </c>
      <c r="C306" t="s">
        <v>10</v>
      </c>
      <c r="D306" t="s">
        <v>193</v>
      </c>
      <c r="E306" t="s">
        <v>359</v>
      </c>
    </row>
    <row r="307" spans="1:5" x14ac:dyDescent="0.3">
      <c r="A307" t="s">
        <v>1270</v>
      </c>
      <c r="B307" t="s">
        <v>1270</v>
      </c>
      <c r="C307" t="s">
        <v>10</v>
      </c>
      <c r="D307" t="s">
        <v>193</v>
      </c>
      <c r="E307" t="s">
        <v>360</v>
      </c>
    </row>
    <row r="308" spans="1:5" x14ac:dyDescent="0.3">
      <c r="A308" t="s">
        <v>1271</v>
      </c>
      <c r="B308" t="s">
        <v>1271</v>
      </c>
      <c r="C308" t="s">
        <v>10</v>
      </c>
      <c r="D308" t="s">
        <v>193</v>
      </c>
      <c r="E308" t="s">
        <v>361</v>
      </c>
    </row>
    <row r="309" spans="1:5" x14ac:dyDescent="0.3">
      <c r="A309" t="s">
        <v>1272</v>
      </c>
      <c r="B309" t="s">
        <v>1272</v>
      </c>
      <c r="C309" t="s">
        <v>10</v>
      </c>
      <c r="D309" t="s">
        <v>193</v>
      </c>
      <c r="E309" t="s">
        <v>362</v>
      </c>
    </row>
    <row r="310" spans="1:5" x14ac:dyDescent="0.3">
      <c r="A310" t="s">
        <v>1273</v>
      </c>
      <c r="B310" t="s">
        <v>1273</v>
      </c>
      <c r="C310" t="s">
        <v>10</v>
      </c>
      <c r="D310" t="s">
        <v>193</v>
      </c>
      <c r="E310" t="s">
        <v>363</v>
      </c>
    </row>
    <row r="311" spans="1:5" x14ac:dyDescent="0.3">
      <c r="A311" t="s">
        <v>1274</v>
      </c>
      <c r="B311" t="s">
        <v>1274</v>
      </c>
      <c r="C311" t="s">
        <v>10</v>
      </c>
      <c r="D311" t="s">
        <v>193</v>
      </c>
      <c r="E311" t="s">
        <v>364</v>
      </c>
    </row>
    <row r="312" spans="1:5" x14ac:dyDescent="0.3">
      <c r="A312" t="s">
        <v>1275</v>
      </c>
      <c r="B312" t="s">
        <v>1275</v>
      </c>
      <c r="C312" t="s">
        <v>10</v>
      </c>
      <c r="D312" t="s">
        <v>193</v>
      </c>
      <c r="E312" t="s">
        <v>365</v>
      </c>
    </row>
    <row r="313" spans="1:5" x14ac:dyDescent="0.3">
      <c r="A313" t="s">
        <v>1276</v>
      </c>
      <c r="B313" t="s">
        <v>1276</v>
      </c>
      <c r="C313" t="s">
        <v>10</v>
      </c>
      <c r="D313" t="s">
        <v>193</v>
      </c>
      <c r="E313" t="s">
        <v>366</v>
      </c>
    </row>
    <row r="314" spans="1:5" x14ac:dyDescent="0.3">
      <c r="A314" t="s">
        <v>1277</v>
      </c>
      <c r="B314" t="s">
        <v>1277</v>
      </c>
      <c r="C314" t="s">
        <v>10</v>
      </c>
      <c r="D314" t="s">
        <v>193</v>
      </c>
      <c r="E314" t="s">
        <v>434</v>
      </c>
    </row>
    <row r="315" spans="1:5" x14ac:dyDescent="0.3">
      <c r="A315" t="s">
        <v>1278</v>
      </c>
      <c r="B315" t="s">
        <v>1278</v>
      </c>
      <c r="C315" t="s">
        <v>10</v>
      </c>
      <c r="D315" t="s">
        <v>193</v>
      </c>
      <c r="E315" t="s">
        <v>435</v>
      </c>
    </row>
    <row r="316" spans="1:5" x14ac:dyDescent="0.3">
      <c r="A316" t="s">
        <v>1279</v>
      </c>
      <c r="B316" t="s">
        <v>1279</v>
      </c>
      <c r="C316" t="s">
        <v>10</v>
      </c>
      <c r="D316" t="s">
        <v>193</v>
      </c>
      <c r="E316" t="s">
        <v>436</v>
      </c>
    </row>
    <row r="317" spans="1:5" x14ac:dyDescent="0.3">
      <c r="A317" t="s">
        <v>1280</v>
      </c>
      <c r="B317" t="s">
        <v>1280</v>
      </c>
      <c r="C317" t="s">
        <v>10</v>
      </c>
      <c r="D317" t="s">
        <v>193</v>
      </c>
      <c r="E317" t="s">
        <v>437</v>
      </c>
    </row>
    <row r="318" spans="1:5" x14ac:dyDescent="0.3">
      <c r="A318" t="s">
        <v>1281</v>
      </c>
      <c r="B318" t="s">
        <v>1281</v>
      </c>
      <c r="C318" t="s">
        <v>10</v>
      </c>
      <c r="D318" t="s">
        <v>193</v>
      </c>
      <c r="E318" t="s">
        <v>438</v>
      </c>
    </row>
    <row r="319" spans="1:5" x14ac:dyDescent="0.3">
      <c r="A319" t="s">
        <v>1282</v>
      </c>
      <c r="B319" t="s">
        <v>1282</v>
      </c>
      <c r="C319" t="s">
        <v>10</v>
      </c>
      <c r="D319" t="s">
        <v>193</v>
      </c>
      <c r="E319" t="s">
        <v>439</v>
      </c>
    </row>
    <row r="320" spans="1:5" x14ac:dyDescent="0.3">
      <c r="A320" t="s">
        <v>1283</v>
      </c>
      <c r="B320" t="s">
        <v>1283</v>
      </c>
      <c r="C320" t="s">
        <v>10</v>
      </c>
      <c r="D320" t="s">
        <v>193</v>
      </c>
      <c r="E320" t="s">
        <v>367</v>
      </c>
    </row>
    <row r="321" spans="1:5" x14ac:dyDescent="0.3">
      <c r="A321" t="s">
        <v>1284</v>
      </c>
      <c r="B321" t="s">
        <v>1284</v>
      </c>
      <c r="C321" t="s">
        <v>10</v>
      </c>
      <c r="D321" t="s">
        <v>193</v>
      </c>
      <c r="E321" t="s">
        <v>368</v>
      </c>
    </row>
    <row r="322" spans="1:5" x14ac:dyDescent="0.3">
      <c r="A322" t="s">
        <v>1285</v>
      </c>
      <c r="B322" t="s">
        <v>1285</v>
      </c>
      <c r="C322" t="s">
        <v>10</v>
      </c>
      <c r="D322" t="s">
        <v>193</v>
      </c>
      <c r="E322" t="s">
        <v>369</v>
      </c>
    </row>
    <row r="323" spans="1:5" x14ac:dyDescent="0.3">
      <c r="A323" t="s">
        <v>1286</v>
      </c>
      <c r="B323" t="s">
        <v>1286</v>
      </c>
      <c r="C323" t="s">
        <v>10</v>
      </c>
      <c r="D323" t="s">
        <v>193</v>
      </c>
      <c r="E323" t="s">
        <v>370</v>
      </c>
    </row>
    <row r="324" spans="1:5" x14ac:dyDescent="0.3">
      <c r="A324" t="s">
        <v>1287</v>
      </c>
      <c r="B324" t="s">
        <v>1287</v>
      </c>
      <c r="C324" t="s">
        <v>10</v>
      </c>
      <c r="D324" t="s">
        <v>193</v>
      </c>
      <c r="E324" t="s">
        <v>371</v>
      </c>
    </row>
    <row r="325" spans="1:5" x14ac:dyDescent="0.3">
      <c r="A325" t="s">
        <v>1288</v>
      </c>
      <c r="B325" t="s">
        <v>1288</v>
      </c>
      <c r="C325" t="s">
        <v>10</v>
      </c>
      <c r="D325" t="s">
        <v>193</v>
      </c>
      <c r="E325" t="s">
        <v>372</v>
      </c>
    </row>
    <row r="326" spans="1:5" x14ac:dyDescent="0.3">
      <c r="A326" t="s">
        <v>1289</v>
      </c>
      <c r="B326" t="s">
        <v>1289</v>
      </c>
      <c r="C326" t="s">
        <v>10</v>
      </c>
      <c r="D326" t="s">
        <v>193</v>
      </c>
      <c r="E326" t="s">
        <v>373</v>
      </c>
    </row>
    <row r="327" spans="1:5" x14ac:dyDescent="0.3">
      <c r="A327" t="s">
        <v>1290</v>
      </c>
      <c r="B327" t="s">
        <v>1290</v>
      </c>
      <c r="C327" t="s">
        <v>10</v>
      </c>
      <c r="D327" t="s">
        <v>193</v>
      </c>
      <c r="E327" t="s">
        <v>374</v>
      </c>
    </row>
    <row r="328" spans="1:5" x14ac:dyDescent="0.3">
      <c r="A328" t="s">
        <v>1291</v>
      </c>
      <c r="B328" t="s">
        <v>1291</v>
      </c>
      <c r="C328" t="s">
        <v>10</v>
      </c>
      <c r="D328" t="s">
        <v>193</v>
      </c>
      <c r="E328" t="s">
        <v>375</v>
      </c>
    </row>
    <row r="329" spans="1:5" x14ac:dyDescent="0.3">
      <c r="A329" t="s">
        <v>1292</v>
      </c>
      <c r="B329" t="s">
        <v>1292</v>
      </c>
      <c r="C329" t="s">
        <v>10</v>
      </c>
      <c r="D329" t="s">
        <v>193</v>
      </c>
      <c r="E329" t="s">
        <v>376</v>
      </c>
    </row>
    <row r="330" spans="1:5" x14ac:dyDescent="0.3">
      <c r="A330" t="s">
        <v>1293</v>
      </c>
      <c r="B330" t="s">
        <v>1293</v>
      </c>
      <c r="C330" t="s">
        <v>10</v>
      </c>
      <c r="D330" t="s">
        <v>193</v>
      </c>
      <c r="E330" t="s">
        <v>377</v>
      </c>
    </row>
    <row r="331" spans="1:5" x14ac:dyDescent="0.3">
      <c r="A331" t="s">
        <v>1294</v>
      </c>
      <c r="B331" t="s">
        <v>1294</v>
      </c>
      <c r="C331" t="s">
        <v>10</v>
      </c>
      <c r="D331" t="s">
        <v>193</v>
      </c>
      <c r="E331" t="s">
        <v>378</v>
      </c>
    </row>
    <row r="332" spans="1:5" x14ac:dyDescent="0.3">
      <c r="A332" t="s">
        <v>1295</v>
      </c>
      <c r="B332" t="s">
        <v>1295</v>
      </c>
      <c r="C332" t="s">
        <v>10</v>
      </c>
      <c r="D332" t="s">
        <v>193</v>
      </c>
      <c r="E332" t="s">
        <v>379</v>
      </c>
    </row>
    <row r="333" spans="1:5" x14ac:dyDescent="0.3">
      <c r="A333" t="s">
        <v>1296</v>
      </c>
      <c r="B333" t="s">
        <v>1296</v>
      </c>
      <c r="C333" t="s">
        <v>10</v>
      </c>
      <c r="D333" t="s">
        <v>193</v>
      </c>
      <c r="E333" t="s">
        <v>380</v>
      </c>
    </row>
    <row r="334" spans="1:5" x14ac:dyDescent="0.3">
      <c r="A334" t="s">
        <v>1297</v>
      </c>
      <c r="B334" t="s">
        <v>1297</v>
      </c>
      <c r="C334" t="s">
        <v>10</v>
      </c>
      <c r="D334" t="s">
        <v>193</v>
      </c>
      <c r="E334" t="s">
        <v>381</v>
      </c>
    </row>
    <row r="335" spans="1:5" x14ac:dyDescent="0.3">
      <c r="A335" t="s">
        <v>1298</v>
      </c>
      <c r="B335" t="s">
        <v>1298</v>
      </c>
      <c r="C335" t="s">
        <v>10</v>
      </c>
      <c r="D335" t="s">
        <v>193</v>
      </c>
      <c r="E335" t="s">
        <v>382</v>
      </c>
    </row>
    <row r="336" spans="1:5" x14ac:dyDescent="0.3">
      <c r="A336" t="s">
        <v>1299</v>
      </c>
      <c r="B336" t="s">
        <v>1299</v>
      </c>
      <c r="C336" t="s">
        <v>10</v>
      </c>
      <c r="D336" t="s">
        <v>193</v>
      </c>
      <c r="E336" t="s">
        <v>383</v>
      </c>
    </row>
    <row r="337" spans="1:5" x14ac:dyDescent="0.3">
      <c r="A337" t="s">
        <v>1300</v>
      </c>
      <c r="B337" t="s">
        <v>1300</v>
      </c>
      <c r="C337" t="s">
        <v>10</v>
      </c>
      <c r="D337" t="s">
        <v>193</v>
      </c>
      <c r="E337" t="s">
        <v>384</v>
      </c>
    </row>
    <row r="338" spans="1:5" x14ac:dyDescent="0.3">
      <c r="A338" t="s">
        <v>1301</v>
      </c>
      <c r="B338" t="s">
        <v>1301</v>
      </c>
      <c r="C338" t="s">
        <v>10</v>
      </c>
      <c r="D338" t="s">
        <v>193</v>
      </c>
      <c r="E338" t="s">
        <v>385</v>
      </c>
    </row>
    <row r="339" spans="1:5" x14ac:dyDescent="0.3">
      <c r="A339" t="s">
        <v>1302</v>
      </c>
      <c r="B339" t="s">
        <v>1302</v>
      </c>
      <c r="C339" t="s">
        <v>10</v>
      </c>
      <c r="D339" t="s">
        <v>193</v>
      </c>
      <c r="E339" t="s">
        <v>386</v>
      </c>
    </row>
    <row r="340" spans="1:5" x14ac:dyDescent="0.3">
      <c r="A340" t="s">
        <v>1303</v>
      </c>
      <c r="B340" t="s">
        <v>1303</v>
      </c>
      <c r="C340" t="s">
        <v>10</v>
      </c>
      <c r="D340" t="s">
        <v>193</v>
      </c>
      <c r="E340" t="s">
        <v>387</v>
      </c>
    </row>
    <row r="341" spans="1:5" x14ac:dyDescent="0.3">
      <c r="A341" t="s">
        <v>1304</v>
      </c>
      <c r="B341" t="s">
        <v>1304</v>
      </c>
      <c r="C341" t="s">
        <v>10</v>
      </c>
      <c r="D341" t="s">
        <v>193</v>
      </c>
      <c r="E341" t="s">
        <v>388</v>
      </c>
    </row>
    <row r="342" spans="1:5" x14ac:dyDescent="0.3">
      <c r="A342" t="s">
        <v>1305</v>
      </c>
      <c r="B342" t="s">
        <v>1305</v>
      </c>
      <c r="C342" t="s">
        <v>10</v>
      </c>
      <c r="D342" t="s">
        <v>193</v>
      </c>
      <c r="E342" t="s">
        <v>389</v>
      </c>
    </row>
    <row r="343" spans="1:5" x14ac:dyDescent="0.3">
      <c r="A343" t="s">
        <v>1306</v>
      </c>
      <c r="B343" t="s">
        <v>1306</v>
      </c>
      <c r="C343" t="s">
        <v>10</v>
      </c>
      <c r="D343" t="s">
        <v>193</v>
      </c>
      <c r="E343" t="s">
        <v>390</v>
      </c>
    </row>
    <row r="344" spans="1:5" x14ac:dyDescent="0.3">
      <c r="A344" t="s">
        <v>1307</v>
      </c>
      <c r="B344" t="s">
        <v>1307</v>
      </c>
      <c r="C344" t="s">
        <v>10</v>
      </c>
      <c r="D344" t="s">
        <v>193</v>
      </c>
      <c r="E344" t="s">
        <v>440</v>
      </c>
    </row>
    <row r="345" spans="1:5" x14ac:dyDescent="0.3">
      <c r="A345" t="s">
        <v>1308</v>
      </c>
      <c r="B345" t="s">
        <v>1308</v>
      </c>
      <c r="C345" t="s">
        <v>10</v>
      </c>
      <c r="D345" t="s">
        <v>193</v>
      </c>
      <c r="E345" t="s">
        <v>441</v>
      </c>
    </row>
    <row r="346" spans="1:5" x14ac:dyDescent="0.3">
      <c r="A346" t="s">
        <v>1309</v>
      </c>
      <c r="B346" t="s">
        <v>1309</v>
      </c>
      <c r="C346" t="s">
        <v>10</v>
      </c>
      <c r="D346" t="s">
        <v>193</v>
      </c>
      <c r="E346" t="s">
        <v>442</v>
      </c>
    </row>
    <row r="347" spans="1:5" x14ac:dyDescent="0.3">
      <c r="A347" t="s">
        <v>1310</v>
      </c>
      <c r="B347" t="s">
        <v>1310</v>
      </c>
      <c r="C347" t="s">
        <v>10</v>
      </c>
      <c r="D347" t="s">
        <v>193</v>
      </c>
      <c r="E347" t="s">
        <v>443</v>
      </c>
    </row>
    <row r="348" spans="1:5" x14ac:dyDescent="0.3">
      <c r="A348" t="s">
        <v>1311</v>
      </c>
      <c r="B348" t="s">
        <v>1311</v>
      </c>
      <c r="C348" t="s">
        <v>10</v>
      </c>
      <c r="D348" t="s">
        <v>193</v>
      </c>
      <c r="E348" t="s">
        <v>444</v>
      </c>
    </row>
    <row r="349" spans="1:5" x14ac:dyDescent="0.3">
      <c r="A349" t="s">
        <v>1312</v>
      </c>
      <c r="B349" t="s">
        <v>1312</v>
      </c>
      <c r="C349" t="s">
        <v>10</v>
      </c>
      <c r="D349" t="s">
        <v>193</v>
      </c>
      <c r="E349" t="s">
        <v>445</v>
      </c>
    </row>
    <row r="350" spans="1:5" x14ac:dyDescent="0.3">
      <c r="A350" t="s">
        <v>1313</v>
      </c>
      <c r="B350" t="s">
        <v>1313</v>
      </c>
      <c r="C350" t="s">
        <v>10</v>
      </c>
      <c r="D350" t="s">
        <v>193</v>
      </c>
      <c r="E350" t="s">
        <v>446</v>
      </c>
    </row>
    <row r="351" spans="1:5" x14ac:dyDescent="0.3">
      <c r="A351" t="s">
        <v>1314</v>
      </c>
      <c r="B351" t="s">
        <v>1314</v>
      </c>
      <c r="C351" t="s">
        <v>10</v>
      </c>
      <c r="D351" t="s">
        <v>193</v>
      </c>
      <c r="E351" t="s">
        <v>447</v>
      </c>
    </row>
    <row r="352" spans="1:5" x14ac:dyDescent="0.3">
      <c r="A352" t="s">
        <v>1315</v>
      </c>
      <c r="B352" t="s">
        <v>1315</v>
      </c>
      <c r="C352" t="s">
        <v>10</v>
      </c>
      <c r="D352" t="s">
        <v>193</v>
      </c>
      <c r="E352" t="s">
        <v>391</v>
      </c>
    </row>
    <row r="353" spans="1:5" x14ac:dyDescent="0.3">
      <c r="A353" t="s">
        <v>1316</v>
      </c>
      <c r="B353" t="s">
        <v>1316</v>
      </c>
      <c r="C353" t="s">
        <v>10</v>
      </c>
      <c r="D353" t="s">
        <v>193</v>
      </c>
      <c r="E353" t="s">
        <v>392</v>
      </c>
    </row>
    <row r="354" spans="1:5" x14ac:dyDescent="0.3">
      <c r="A354" t="s">
        <v>1317</v>
      </c>
      <c r="B354" t="s">
        <v>1317</v>
      </c>
      <c r="C354" t="s">
        <v>10</v>
      </c>
      <c r="D354" t="s">
        <v>193</v>
      </c>
      <c r="E354" t="s">
        <v>393</v>
      </c>
    </row>
    <row r="355" spans="1:5" x14ac:dyDescent="0.3">
      <c r="A355" t="s">
        <v>1318</v>
      </c>
      <c r="B355" t="s">
        <v>1318</v>
      </c>
      <c r="C355" t="s">
        <v>10</v>
      </c>
      <c r="D355" t="s">
        <v>193</v>
      </c>
      <c r="E355" t="s">
        <v>394</v>
      </c>
    </row>
    <row r="356" spans="1:5" x14ac:dyDescent="0.3">
      <c r="A356" t="s">
        <v>1319</v>
      </c>
      <c r="B356" t="s">
        <v>1319</v>
      </c>
      <c r="C356" t="s">
        <v>10</v>
      </c>
      <c r="D356" t="s">
        <v>193</v>
      </c>
      <c r="E356" t="s">
        <v>395</v>
      </c>
    </row>
    <row r="357" spans="1:5" x14ac:dyDescent="0.3">
      <c r="A357" t="s">
        <v>1320</v>
      </c>
      <c r="B357" t="s">
        <v>1320</v>
      </c>
      <c r="C357" t="s">
        <v>10</v>
      </c>
      <c r="D357" t="s">
        <v>193</v>
      </c>
      <c r="E357" t="s">
        <v>396</v>
      </c>
    </row>
    <row r="358" spans="1:5" x14ac:dyDescent="0.3">
      <c r="A358" t="s">
        <v>1321</v>
      </c>
      <c r="B358" t="s">
        <v>1321</v>
      </c>
      <c r="C358" t="s">
        <v>10</v>
      </c>
      <c r="D358" t="s">
        <v>193</v>
      </c>
      <c r="E358" t="s">
        <v>397</v>
      </c>
    </row>
    <row r="359" spans="1:5" x14ac:dyDescent="0.3">
      <c r="A359" t="s">
        <v>1322</v>
      </c>
      <c r="B359" t="s">
        <v>1322</v>
      </c>
      <c r="C359" t="s">
        <v>10</v>
      </c>
      <c r="D359" t="s">
        <v>193</v>
      </c>
      <c r="E359" t="s">
        <v>398</v>
      </c>
    </row>
    <row r="360" spans="1:5" x14ac:dyDescent="0.3">
      <c r="A360" t="s">
        <v>1323</v>
      </c>
      <c r="B360" t="s">
        <v>1323</v>
      </c>
      <c r="C360" t="s">
        <v>10</v>
      </c>
      <c r="D360" t="s">
        <v>193</v>
      </c>
      <c r="E360" t="s">
        <v>399</v>
      </c>
    </row>
    <row r="361" spans="1:5" x14ac:dyDescent="0.3">
      <c r="A361" t="s">
        <v>1324</v>
      </c>
      <c r="B361" t="s">
        <v>1324</v>
      </c>
      <c r="C361" t="s">
        <v>10</v>
      </c>
      <c r="D361" t="s">
        <v>193</v>
      </c>
      <c r="E361" t="s">
        <v>400</v>
      </c>
    </row>
    <row r="362" spans="1:5" x14ac:dyDescent="0.3">
      <c r="A362" t="s">
        <v>1325</v>
      </c>
      <c r="B362" t="s">
        <v>1325</v>
      </c>
      <c r="C362" t="s">
        <v>10</v>
      </c>
      <c r="D362" t="s">
        <v>193</v>
      </c>
      <c r="E362" t="s">
        <v>401</v>
      </c>
    </row>
    <row r="363" spans="1:5" x14ac:dyDescent="0.3">
      <c r="A363" t="s">
        <v>1326</v>
      </c>
      <c r="B363" t="s">
        <v>1326</v>
      </c>
      <c r="C363" t="s">
        <v>10</v>
      </c>
      <c r="D363" t="s">
        <v>193</v>
      </c>
      <c r="E363" t="s">
        <v>402</v>
      </c>
    </row>
    <row r="364" spans="1:5" x14ac:dyDescent="0.3">
      <c r="A364" t="s">
        <v>1327</v>
      </c>
      <c r="B364" t="s">
        <v>1327</v>
      </c>
      <c r="C364" t="s">
        <v>10</v>
      </c>
      <c r="D364" t="s">
        <v>193</v>
      </c>
      <c r="E364" t="s">
        <v>403</v>
      </c>
    </row>
    <row r="365" spans="1:5" x14ac:dyDescent="0.3">
      <c r="A365" t="s">
        <v>1328</v>
      </c>
      <c r="B365" t="s">
        <v>1328</v>
      </c>
      <c r="C365" t="s">
        <v>10</v>
      </c>
      <c r="D365" t="s">
        <v>193</v>
      </c>
      <c r="E365" t="s">
        <v>404</v>
      </c>
    </row>
    <row r="366" spans="1:5" x14ac:dyDescent="0.3">
      <c r="A366" t="s">
        <v>1329</v>
      </c>
      <c r="B366" t="s">
        <v>1329</v>
      </c>
      <c r="C366" t="s">
        <v>10</v>
      </c>
      <c r="D366" t="s">
        <v>193</v>
      </c>
      <c r="E366" t="s">
        <v>405</v>
      </c>
    </row>
    <row r="367" spans="1:5" x14ac:dyDescent="0.3">
      <c r="A367" t="s">
        <v>1330</v>
      </c>
      <c r="B367" t="s">
        <v>1330</v>
      </c>
      <c r="C367" t="s">
        <v>10</v>
      </c>
      <c r="D367" t="s">
        <v>193</v>
      </c>
      <c r="E367" t="s">
        <v>406</v>
      </c>
    </row>
    <row r="368" spans="1:5" x14ac:dyDescent="0.3">
      <c r="A368" t="s">
        <v>1331</v>
      </c>
      <c r="B368" t="s">
        <v>1331</v>
      </c>
      <c r="C368" t="s">
        <v>10</v>
      </c>
      <c r="D368" t="s">
        <v>193</v>
      </c>
      <c r="E368" t="s">
        <v>407</v>
      </c>
    </row>
    <row r="369" spans="1:5" x14ac:dyDescent="0.3">
      <c r="A369" t="s">
        <v>1332</v>
      </c>
      <c r="B369" t="s">
        <v>1332</v>
      </c>
      <c r="C369" t="s">
        <v>10</v>
      </c>
      <c r="D369" t="s">
        <v>193</v>
      </c>
      <c r="E369" t="s">
        <v>408</v>
      </c>
    </row>
    <row r="370" spans="1:5" x14ac:dyDescent="0.3">
      <c r="A370" t="s">
        <v>1333</v>
      </c>
      <c r="B370" t="s">
        <v>1333</v>
      </c>
      <c r="C370" t="s">
        <v>10</v>
      </c>
      <c r="D370" t="s">
        <v>193</v>
      </c>
      <c r="E370" t="s">
        <v>409</v>
      </c>
    </row>
    <row r="371" spans="1:5" x14ac:dyDescent="0.3">
      <c r="A371" t="s">
        <v>1334</v>
      </c>
      <c r="B371" t="s">
        <v>1334</v>
      </c>
      <c r="C371" t="s">
        <v>10</v>
      </c>
      <c r="D371" t="s">
        <v>193</v>
      </c>
      <c r="E371" t="s">
        <v>410</v>
      </c>
    </row>
    <row r="372" spans="1:5" x14ac:dyDescent="0.3">
      <c r="A372" t="s">
        <v>1335</v>
      </c>
      <c r="B372" t="s">
        <v>1335</v>
      </c>
      <c r="C372" t="s">
        <v>10</v>
      </c>
      <c r="D372" t="s">
        <v>193</v>
      </c>
      <c r="E372" t="s">
        <v>411</v>
      </c>
    </row>
    <row r="373" spans="1:5" x14ac:dyDescent="0.3">
      <c r="A373" t="s">
        <v>1336</v>
      </c>
      <c r="B373" t="s">
        <v>1336</v>
      </c>
      <c r="C373" t="s">
        <v>10</v>
      </c>
      <c r="D373" t="s">
        <v>193</v>
      </c>
      <c r="E373" t="s">
        <v>412</v>
      </c>
    </row>
    <row r="374" spans="1:5" x14ac:dyDescent="0.3">
      <c r="A374" t="s">
        <v>1337</v>
      </c>
      <c r="B374" t="s">
        <v>1337</v>
      </c>
      <c r="C374" t="s">
        <v>10</v>
      </c>
      <c r="D374" t="s">
        <v>193</v>
      </c>
      <c r="E374" t="s">
        <v>413</v>
      </c>
    </row>
    <row r="375" spans="1:5" x14ac:dyDescent="0.3">
      <c r="A375" t="s">
        <v>1338</v>
      </c>
      <c r="B375" t="s">
        <v>1338</v>
      </c>
      <c r="C375" t="s">
        <v>10</v>
      </c>
      <c r="D375" t="s">
        <v>193</v>
      </c>
      <c r="E375" t="s">
        <v>414</v>
      </c>
    </row>
    <row r="376" spans="1:5" x14ac:dyDescent="0.3">
      <c r="A376" t="s">
        <v>1444</v>
      </c>
      <c r="B376" t="s">
        <v>1444</v>
      </c>
      <c r="C376" t="s">
        <v>10</v>
      </c>
      <c r="D376" t="s">
        <v>193</v>
      </c>
      <c r="E376" t="s">
        <v>1339</v>
      </c>
    </row>
    <row r="377" spans="1:5" x14ac:dyDescent="0.3">
      <c r="A377" t="s">
        <v>1445</v>
      </c>
      <c r="B377" t="s">
        <v>1445</v>
      </c>
      <c r="C377" t="s">
        <v>10</v>
      </c>
      <c r="D377" t="s">
        <v>193</v>
      </c>
      <c r="E377" t="s">
        <v>1340</v>
      </c>
    </row>
    <row r="378" spans="1:5" x14ac:dyDescent="0.3">
      <c r="A378" t="s">
        <v>1446</v>
      </c>
      <c r="B378" t="s">
        <v>1446</v>
      </c>
      <c r="C378" t="s">
        <v>10</v>
      </c>
      <c r="D378" t="s">
        <v>193</v>
      </c>
      <c r="E378" t="s">
        <v>1341</v>
      </c>
    </row>
    <row r="379" spans="1:5" x14ac:dyDescent="0.3">
      <c r="A379" t="s">
        <v>1447</v>
      </c>
      <c r="B379" t="s">
        <v>1447</v>
      </c>
      <c r="C379" t="s">
        <v>10</v>
      </c>
      <c r="D379" t="s">
        <v>193</v>
      </c>
      <c r="E379" t="s">
        <v>1342</v>
      </c>
    </row>
    <row r="380" spans="1:5" x14ac:dyDescent="0.3">
      <c r="A380" t="s">
        <v>1448</v>
      </c>
      <c r="B380" t="s">
        <v>1448</v>
      </c>
      <c r="C380" t="s">
        <v>10</v>
      </c>
      <c r="D380" t="s">
        <v>193</v>
      </c>
      <c r="E380" t="s">
        <v>1343</v>
      </c>
    </row>
    <row r="381" spans="1:5" x14ac:dyDescent="0.3">
      <c r="A381" t="s">
        <v>1449</v>
      </c>
      <c r="B381" t="s">
        <v>1449</v>
      </c>
      <c r="C381" t="s">
        <v>10</v>
      </c>
      <c r="D381" t="s">
        <v>193</v>
      </c>
      <c r="E381" t="s">
        <v>1344</v>
      </c>
    </row>
    <row r="382" spans="1:5" x14ac:dyDescent="0.3">
      <c r="A382" t="s">
        <v>1450</v>
      </c>
      <c r="B382" t="s">
        <v>1450</v>
      </c>
      <c r="C382" t="s">
        <v>10</v>
      </c>
      <c r="D382" t="s">
        <v>193</v>
      </c>
      <c r="E382" t="s">
        <v>1345</v>
      </c>
    </row>
    <row r="383" spans="1:5" x14ac:dyDescent="0.3">
      <c r="A383" t="s">
        <v>1451</v>
      </c>
      <c r="B383" t="s">
        <v>1451</v>
      </c>
      <c r="C383" t="s">
        <v>10</v>
      </c>
      <c r="D383" t="s">
        <v>193</v>
      </c>
      <c r="E383" t="s">
        <v>1346</v>
      </c>
    </row>
    <row r="384" spans="1:5" x14ac:dyDescent="0.3">
      <c r="A384" t="s">
        <v>1452</v>
      </c>
      <c r="B384" t="s">
        <v>1452</v>
      </c>
      <c r="C384" t="s">
        <v>10</v>
      </c>
      <c r="D384" t="s">
        <v>193</v>
      </c>
      <c r="E384" t="s">
        <v>1347</v>
      </c>
    </row>
    <row r="385" spans="1:5" x14ac:dyDescent="0.3">
      <c r="A385" t="s">
        <v>1453</v>
      </c>
      <c r="B385" t="s">
        <v>1453</v>
      </c>
      <c r="C385" t="s">
        <v>10</v>
      </c>
      <c r="D385" t="s">
        <v>193</v>
      </c>
      <c r="E385" t="s">
        <v>1348</v>
      </c>
    </row>
    <row r="386" spans="1:5" x14ac:dyDescent="0.3">
      <c r="A386" t="s">
        <v>1454</v>
      </c>
      <c r="B386" t="s">
        <v>1454</v>
      </c>
      <c r="C386" t="s">
        <v>10</v>
      </c>
      <c r="D386" t="s">
        <v>193</v>
      </c>
      <c r="E386" t="s">
        <v>1349</v>
      </c>
    </row>
    <row r="387" spans="1:5" x14ac:dyDescent="0.3">
      <c r="A387" t="s">
        <v>1455</v>
      </c>
      <c r="B387" t="s">
        <v>1455</v>
      </c>
      <c r="C387" t="s">
        <v>10</v>
      </c>
      <c r="D387" t="s">
        <v>193</v>
      </c>
      <c r="E387" t="s">
        <v>1350</v>
      </c>
    </row>
    <row r="388" spans="1:5" x14ac:dyDescent="0.3">
      <c r="A388" t="s">
        <v>1456</v>
      </c>
      <c r="B388" t="s">
        <v>1456</v>
      </c>
      <c r="C388" t="s">
        <v>10</v>
      </c>
      <c r="D388" t="s">
        <v>193</v>
      </c>
      <c r="E388" t="s">
        <v>1351</v>
      </c>
    </row>
    <row r="389" spans="1:5" x14ac:dyDescent="0.3">
      <c r="A389" t="s">
        <v>1457</v>
      </c>
      <c r="B389" t="s">
        <v>1457</v>
      </c>
      <c r="C389" t="s">
        <v>10</v>
      </c>
      <c r="D389" t="s">
        <v>193</v>
      </c>
      <c r="E389" t="s">
        <v>1352</v>
      </c>
    </row>
    <row r="390" spans="1:5" x14ac:dyDescent="0.3">
      <c r="A390" t="s">
        <v>1458</v>
      </c>
      <c r="B390" t="s">
        <v>1458</v>
      </c>
      <c r="C390" t="s">
        <v>10</v>
      </c>
      <c r="D390" t="s">
        <v>193</v>
      </c>
      <c r="E390" t="s">
        <v>1353</v>
      </c>
    </row>
    <row r="391" spans="1:5" x14ac:dyDescent="0.3">
      <c r="A391" t="s">
        <v>1459</v>
      </c>
      <c r="B391" t="s">
        <v>1459</v>
      </c>
      <c r="C391" t="s">
        <v>10</v>
      </c>
      <c r="D391" t="s">
        <v>193</v>
      </c>
      <c r="E391" t="s">
        <v>1354</v>
      </c>
    </row>
    <row r="392" spans="1:5" x14ac:dyDescent="0.3">
      <c r="A392" t="s">
        <v>1460</v>
      </c>
      <c r="B392" t="s">
        <v>1460</v>
      </c>
      <c r="C392" t="s">
        <v>10</v>
      </c>
      <c r="D392" t="s">
        <v>193</v>
      </c>
      <c r="E392" t="s">
        <v>1355</v>
      </c>
    </row>
    <row r="393" spans="1:5" x14ac:dyDescent="0.3">
      <c r="A393" t="s">
        <v>1461</v>
      </c>
      <c r="B393" t="s">
        <v>1461</v>
      </c>
      <c r="C393" t="s">
        <v>10</v>
      </c>
      <c r="D393" t="s">
        <v>193</v>
      </c>
      <c r="E393" t="s">
        <v>1356</v>
      </c>
    </row>
    <row r="394" spans="1:5" x14ac:dyDescent="0.3">
      <c r="A394" t="s">
        <v>1462</v>
      </c>
      <c r="B394" t="s">
        <v>1462</v>
      </c>
      <c r="C394" t="s">
        <v>10</v>
      </c>
      <c r="D394" t="s">
        <v>193</v>
      </c>
      <c r="E394" t="s">
        <v>1357</v>
      </c>
    </row>
    <row r="395" spans="1:5" x14ac:dyDescent="0.3">
      <c r="A395" t="s">
        <v>1463</v>
      </c>
      <c r="B395" t="s">
        <v>1463</v>
      </c>
      <c r="C395" t="s">
        <v>10</v>
      </c>
      <c r="D395" t="s">
        <v>193</v>
      </c>
      <c r="E395" t="s">
        <v>1358</v>
      </c>
    </row>
    <row r="396" spans="1:5" x14ac:dyDescent="0.3">
      <c r="A396" t="s">
        <v>1464</v>
      </c>
      <c r="B396" t="s">
        <v>1464</v>
      </c>
      <c r="C396" t="s">
        <v>10</v>
      </c>
      <c r="D396" t="s">
        <v>193</v>
      </c>
      <c r="E396" t="s">
        <v>1359</v>
      </c>
    </row>
    <row r="397" spans="1:5" x14ac:dyDescent="0.3">
      <c r="A397" t="s">
        <v>1465</v>
      </c>
      <c r="B397" t="s">
        <v>1465</v>
      </c>
      <c r="C397" t="s">
        <v>10</v>
      </c>
      <c r="D397" t="s">
        <v>193</v>
      </c>
      <c r="E397" t="s">
        <v>1360</v>
      </c>
    </row>
    <row r="398" spans="1:5" x14ac:dyDescent="0.3">
      <c r="A398" t="s">
        <v>1466</v>
      </c>
      <c r="B398" t="s">
        <v>1466</v>
      </c>
      <c r="C398" t="s">
        <v>10</v>
      </c>
      <c r="D398" t="s">
        <v>193</v>
      </c>
      <c r="E398" t="s">
        <v>1361</v>
      </c>
    </row>
    <row r="399" spans="1:5" x14ac:dyDescent="0.3">
      <c r="A399" t="s">
        <v>1467</v>
      </c>
      <c r="B399" t="s">
        <v>1467</v>
      </c>
      <c r="C399" t="s">
        <v>10</v>
      </c>
      <c r="D399" t="s">
        <v>193</v>
      </c>
      <c r="E399" t="s">
        <v>1362</v>
      </c>
    </row>
    <row r="400" spans="1:5" x14ac:dyDescent="0.3">
      <c r="A400" t="s">
        <v>1468</v>
      </c>
      <c r="B400" t="s">
        <v>1468</v>
      </c>
      <c r="C400" t="s">
        <v>10</v>
      </c>
      <c r="D400" t="s">
        <v>193</v>
      </c>
      <c r="E400" t="s">
        <v>1363</v>
      </c>
    </row>
    <row r="401" spans="1:5" x14ac:dyDescent="0.3">
      <c r="A401" t="s">
        <v>1469</v>
      </c>
      <c r="B401" t="s">
        <v>1469</v>
      </c>
      <c r="C401" t="s">
        <v>10</v>
      </c>
      <c r="D401" t="s">
        <v>193</v>
      </c>
      <c r="E401" t="s">
        <v>1364</v>
      </c>
    </row>
    <row r="402" spans="1:5" x14ac:dyDescent="0.3">
      <c r="A402" t="s">
        <v>1470</v>
      </c>
      <c r="B402" t="s">
        <v>1470</v>
      </c>
      <c r="C402" t="s">
        <v>10</v>
      </c>
      <c r="D402" t="s">
        <v>193</v>
      </c>
      <c r="E402" t="s">
        <v>1365</v>
      </c>
    </row>
    <row r="403" spans="1:5" x14ac:dyDescent="0.3">
      <c r="A403" t="s">
        <v>1471</v>
      </c>
      <c r="B403" t="s">
        <v>1471</v>
      </c>
      <c r="C403" t="s">
        <v>10</v>
      </c>
      <c r="D403" t="s">
        <v>193</v>
      </c>
      <c r="E403" t="s">
        <v>1366</v>
      </c>
    </row>
    <row r="404" spans="1:5" x14ac:dyDescent="0.3">
      <c r="A404" t="s">
        <v>1472</v>
      </c>
      <c r="B404" t="s">
        <v>1472</v>
      </c>
      <c r="C404" t="s">
        <v>10</v>
      </c>
      <c r="D404" t="s">
        <v>193</v>
      </c>
      <c r="E404" t="s">
        <v>1367</v>
      </c>
    </row>
    <row r="405" spans="1:5" x14ac:dyDescent="0.3">
      <c r="A405" t="s">
        <v>1473</v>
      </c>
      <c r="B405" t="s">
        <v>1473</v>
      </c>
      <c r="C405" t="s">
        <v>10</v>
      </c>
      <c r="D405" t="s">
        <v>193</v>
      </c>
      <c r="E405" t="s">
        <v>1368</v>
      </c>
    </row>
    <row r="406" spans="1:5" x14ac:dyDescent="0.3">
      <c r="A406" t="s">
        <v>1474</v>
      </c>
      <c r="B406" t="s">
        <v>1474</v>
      </c>
      <c r="C406" t="s">
        <v>10</v>
      </c>
      <c r="D406" t="s">
        <v>193</v>
      </c>
      <c r="E406" t="s">
        <v>1369</v>
      </c>
    </row>
    <row r="407" spans="1:5" x14ac:dyDescent="0.3">
      <c r="A407" t="s">
        <v>1475</v>
      </c>
      <c r="B407" t="s">
        <v>1475</v>
      </c>
      <c r="C407" t="s">
        <v>10</v>
      </c>
      <c r="D407" t="s">
        <v>193</v>
      </c>
      <c r="E407" t="s">
        <v>1370</v>
      </c>
    </row>
    <row r="408" spans="1:5" x14ac:dyDescent="0.3">
      <c r="A408" t="s">
        <v>1476</v>
      </c>
      <c r="B408" t="s">
        <v>1476</v>
      </c>
      <c r="C408" t="s">
        <v>10</v>
      </c>
      <c r="D408" t="s">
        <v>193</v>
      </c>
      <c r="E408" t="s">
        <v>1371</v>
      </c>
    </row>
    <row r="409" spans="1:5" x14ac:dyDescent="0.3">
      <c r="A409" t="s">
        <v>1477</v>
      </c>
      <c r="B409" t="s">
        <v>1477</v>
      </c>
      <c r="C409" t="s">
        <v>10</v>
      </c>
      <c r="D409" t="s">
        <v>193</v>
      </c>
      <c r="E409" t="s">
        <v>1372</v>
      </c>
    </row>
    <row r="410" spans="1:5" x14ac:dyDescent="0.3">
      <c r="A410" t="s">
        <v>1478</v>
      </c>
      <c r="B410" t="s">
        <v>1478</v>
      </c>
      <c r="C410" t="s">
        <v>10</v>
      </c>
      <c r="D410" t="s">
        <v>193</v>
      </c>
      <c r="E410" t="s">
        <v>1373</v>
      </c>
    </row>
    <row r="411" spans="1:5" x14ac:dyDescent="0.3">
      <c r="A411" t="s">
        <v>1479</v>
      </c>
      <c r="B411" t="s">
        <v>1479</v>
      </c>
      <c r="C411" t="s">
        <v>10</v>
      </c>
      <c r="D411" t="s">
        <v>193</v>
      </c>
      <c r="E411" t="s">
        <v>1374</v>
      </c>
    </row>
    <row r="412" spans="1:5" x14ac:dyDescent="0.3">
      <c r="A412" t="s">
        <v>1480</v>
      </c>
      <c r="B412" t="s">
        <v>1480</v>
      </c>
      <c r="C412" t="s">
        <v>10</v>
      </c>
      <c r="D412" t="s">
        <v>193</v>
      </c>
      <c r="E412" t="s">
        <v>1375</v>
      </c>
    </row>
    <row r="413" spans="1:5" x14ac:dyDescent="0.3">
      <c r="A413" t="s">
        <v>1481</v>
      </c>
      <c r="B413" t="s">
        <v>1481</v>
      </c>
      <c r="C413" t="s">
        <v>10</v>
      </c>
      <c r="D413" t="s">
        <v>193</v>
      </c>
      <c r="E413" t="s">
        <v>1376</v>
      </c>
    </row>
    <row r="414" spans="1:5" x14ac:dyDescent="0.3">
      <c r="A414" t="s">
        <v>1482</v>
      </c>
      <c r="B414" t="s">
        <v>1482</v>
      </c>
      <c r="C414" t="s">
        <v>10</v>
      </c>
      <c r="D414" t="s">
        <v>193</v>
      </c>
      <c r="E414" t="s">
        <v>1377</v>
      </c>
    </row>
    <row r="415" spans="1:5" x14ac:dyDescent="0.3">
      <c r="A415" t="s">
        <v>1483</v>
      </c>
      <c r="B415" t="s">
        <v>1483</v>
      </c>
      <c r="C415" t="s">
        <v>10</v>
      </c>
      <c r="D415" t="s">
        <v>193</v>
      </c>
      <c r="E415" t="s">
        <v>1378</v>
      </c>
    </row>
    <row r="416" spans="1:5" x14ac:dyDescent="0.3">
      <c r="A416" t="s">
        <v>1484</v>
      </c>
      <c r="B416" t="s">
        <v>1484</v>
      </c>
      <c r="C416" t="s">
        <v>10</v>
      </c>
      <c r="D416" t="s">
        <v>193</v>
      </c>
      <c r="E416" t="s">
        <v>1379</v>
      </c>
    </row>
    <row r="417" spans="1:5" x14ac:dyDescent="0.3">
      <c r="A417" t="s">
        <v>1485</v>
      </c>
      <c r="B417" t="s">
        <v>1485</v>
      </c>
      <c r="C417" t="s">
        <v>10</v>
      </c>
      <c r="D417" t="s">
        <v>193</v>
      </c>
      <c r="E417" t="s">
        <v>1380</v>
      </c>
    </row>
    <row r="418" spans="1:5" x14ac:dyDescent="0.3">
      <c r="A418" t="s">
        <v>1486</v>
      </c>
      <c r="B418" t="s">
        <v>1486</v>
      </c>
      <c r="C418" t="s">
        <v>10</v>
      </c>
      <c r="D418" t="s">
        <v>193</v>
      </c>
      <c r="E418" t="s">
        <v>1381</v>
      </c>
    </row>
    <row r="419" spans="1:5" x14ac:dyDescent="0.3">
      <c r="A419" t="s">
        <v>1487</v>
      </c>
      <c r="B419" t="s">
        <v>1487</v>
      </c>
      <c r="C419" t="s">
        <v>10</v>
      </c>
      <c r="D419" t="s">
        <v>193</v>
      </c>
      <c r="E419" t="s">
        <v>1382</v>
      </c>
    </row>
    <row r="420" spans="1:5" x14ac:dyDescent="0.3">
      <c r="A420" t="s">
        <v>1488</v>
      </c>
      <c r="B420" t="s">
        <v>1488</v>
      </c>
      <c r="C420" t="s">
        <v>10</v>
      </c>
      <c r="D420" t="s">
        <v>193</v>
      </c>
      <c r="E420" t="s">
        <v>1383</v>
      </c>
    </row>
    <row r="421" spans="1:5" x14ac:dyDescent="0.3">
      <c r="A421" t="s">
        <v>1489</v>
      </c>
      <c r="B421" t="s">
        <v>1489</v>
      </c>
      <c r="C421" t="s">
        <v>10</v>
      </c>
      <c r="D421" t="s">
        <v>193</v>
      </c>
      <c r="E421" t="s">
        <v>1384</v>
      </c>
    </row>
    <row r="422" spans="1:5" x14ac:dyDescent="0.3">
      <c r="A422" t="s">
        <v>1490</v>
      </c>
      <c r="B422" t="s">
        <v>1490</v>
      </c>
      <c r="C422" t="s">
        <v>10</v>
      </c>
      <c r="D422" t="s">
        <v>193</v>
      </c>
      <c r="E422" t="s">
        <v>1385</v>
      </c>
    </row>
    <row r="423" spans="1:5" x14ac:dyDescent="0.3">
      <c r="A423" t="s">
        <v>1491</v>
      </c>
      <c r="B423" t="s">
        <v>1491</v>
      </c>
      <c r="C423" t="s">
        <v>10</v>
      </c>
      <c r="D423" t="s">
        <v>193</v>
      </c>
      <c r="E423" t="s">
        <v>1386</v>
      </c>
    </row>
    <row r="424" spans="1:5" x14ac:dyDescent="0.3">
      <c r="A424" t="s">
        <v>1492</v>
      </c>
      <c r="B424" t="s">
        <v>1492</v>
      </c>
      <c r="C424" t="s">
        <v>10</v>
      </c>
      <c r="D424" t="s">
        <v>193</v>
      </c>
      <c r="E424" t="s">
        <v>1387</v>
      </c>
    </row>
    <row r="425" spans="1:5" x14ac:dyDescent="0.3">
      <c r="A425" t="s">
        <v>1493</v>
      </c>
      <c r="B425" t="s">
        <v>1493</v>
      </c>
      <c r="C425" t="s">
        <v>10</v>
      </c>
      <c r="D425" t="s">
        <v>193</v>
      </c>
      <c r="E425" t="s">
        <v>1388</v>
      </c>
    </row>
    <row r="426" spans="1:5" x14ac:dyDescent="0.3">
      <c r="A426" t="s">
        <v>1494</v>
      </c>
      <c r="B426" t="s">
        <v>1494</v>
      </c>
      <c r="C426" t="s">
        <v>10</v>
      </c>
      <c r="D426" t="s">
        <v>193</v>
      </c>
      <c r="E426" t="s">
        <v>1389</v>
      </c>
    </row>
    <row r="427" spans="1:5" x14ac:dyDescent="0.3">
      <c r="A427" t="s">
        <v>1495</v>
      </c>
      <c r="B427" t="s">
        <v>1495</v>
      </c>
      <c r="C427" t="s">
        <v>10</v>
      </c>
      <c r="D427" t="s">
        <v>193</v>
      </c>
      <c r="E427" t="s">
        <v>1390</v>
      </c>
    </row>
    <row r="428" spans="1:5" x14ac:dyDescent="0.3">
      <c r="A428" t="s">
        <v>1496</v>
      </c>
      <c r="B428" t="s">
        <v>1496</v>
      </c>
      <c r="C428" t="s">
        <v>10</v>
      </c>
      <c r="D428" t="s">
        <v>193</v>
      </c>
      <c r="E428" t="s">
        <v>1391</v>
      </c>
    </row>
    <row r="429" spans="1:5" x14ac:dyDescent="0.3">
      <c r="A429" t="s">
        <v>1497</v>
      </c>
      <c r="B429" t="s">
        <v>1497</v>
      </c>
      <c r="C429" t="s">
        <v>10</v>
      </c>
      <c r="D429" t="s">
        <v>193</v>
      </c>
      <c r="E429" t="s">
        <v>1392</v>
      </c>
    </row>
    <row r="430" spans="1:5" x14ac:dyDescent="0.3">
      <c r="A430" t="s">
        <v>1498</v>
      </c>
      <c r="B430" t="s">
        <v>1498</v>
      </c>
      <c r="C430" t="s">
        <v>10</v>
      </c>
      <c r="D430" t="s">
        <v>193</v>
      </c>
      <c r="E430" t="s">
        <v>1393</v>
      </c>
    </row>
    <row r="431" spans="1:5" x14ac:dyDescent="0.3">
      <c r="A431" t="s">
        <v>1499</v>
      </c>
      <c r="B431" t="s">
        <v>1499</v>
      </c>
      <c r="C431" t="s">
        <v>10</v>
      </c>
      <c r="D431" t="s">
        <v>193</v>
      </c>
      <c r="E431" t="s">
        <v>1394</v>
      </c>
    </row>
    <row r="432" spans="1:5" x14ac:dyDescent="0.3">
      <c r="A432" t="s">
        <v>1500</v>
      </c>
      <c r="B432" t="s">
        <v>1500</v>
      </c>
      <c r="C432" t="s">
        <v>10</v>
      </c>
      <c r="D432" t="s">
        <v>193</v>
      </c>
      <c r="E432" t="s">
        <v>1395</v>
      </c>
    </row>
    <row r="433" spans="1:5" x14ac:dyDescent="0.3">
      <c r="A433" t="s">
        <v>1501</v>
      </c>
      <c r="B433" t="s">
        <v>1501</v>
      </c>
      <c r="C433" t="s">
        <v>10</v>
      </c>
      <c r="D433" t="s">
        <v>193</v>
      </c>
      <c r="E433" t="s">
        <v>1396</v>
      </c>
    </row>
    <row r="434" spans="1:5" x14ac:dyDescent="0.3">
      <c r="A434" t="s">
        <v>1502</v>
      </c>
      <c r="B434" t="s">
        <v>1502</v>
      </c>
      <c r="C434" t="s">
        <v>10</v>
      </c>
      <c r="D434" t="s">
        <v>193</v>
      </c>
      <c r="E434" t="s">
        <v>1397</v>
      </c>
    </row>
    <row r="435" spans="1:5" x14ac:dyDescent="0.3">
      <c r="A435" t="s">
        <v>1503</v>
      </c>
      <c r="B435" t="s">
        <v>1503</v>
      </c>
      <c r="C435" t="s">
        <v>10</v>
      </c>
      <c r="D435" t="s">
        <v>193</v>
      </c>
      <c r="E435" t="s">
        <v>1398</v>
      </c>
    </row>
    <row r="436" spans="1:5" x14ac:dyDescent="0.3">
      <c r="A436" t="s">
        <v>1504</v>
      </c>
      <c r="B436" t="s">
        <v>1504</v>
      </c>
      <c r="C436" t="s">
        <v>10</v>
      </c>
      <c r="D436" t="s">
        <v>193</v>
      </c>
      <c r="E436" t="s">
        <v>1399</v>
      </c>
    </row>
    <row r="437" spans="1:5" x14ac:dyDescent="0.3">
      <c r="A437" t="s">
        <v>1505</v>
      </c>
      <c r="B437" t="s">
        <v>1505</v>
      </c>
      <c r="C437" t="s">
        <v>10</v>
      </c>
      <c r="D437" t="s">
        <v>193</v>
      </c>
      <c r="E437" t="s">
        <v>1400</v>
      </c>
    </row>
    <row r="438" spans="1:5" x14ac:dyDescent="0.3">
      <c r="A438" t="s">
        <v>1506</v>
      </c>
      <c r="B438" t="s">
        <v>1506</v>
      </c>
      <c r="C438" t="s">
        <v>10</v>
      </c>
      <c r="D438" t="s">
        <v>193</v>
      </c>
      <c r="E438" t="s">
        <v>1401</v>
      </c>
    </row>
    <row r="439" spans="1:5" x14ac:dyDescent="0.3">
      <c r="A439" t="s">
        <v>1507</v>
      </c>
      <c r="B439" t="s">
        <v>1507</v>
      </c>
      <c r="C439" t="s">
        <v>10</v>
      </c>
      <c r="D439" t="s">
        <v>193</v>
      </c>
      <c r="E439" t="s">
        <v>1402</v>
      </c>
    </row>
    <row r="440" spans="1:5" x14ac:dyDescent="0.3">
      <c r="A440" t="s">
        <v>1508</v>
      </c>
      <c r="B440" t="s">
        <v>1508</v>
      </c>
      <c r="C440" t="s">
        <v>10</v>
      </c>
      <c r="D440" t="s">
        <v>193</v>
      </c>
      <c r="E440" t="s">
        <v>1403</v>
      </c>
    </row>
    <row r="441" spans="1:5" x14ac:dyDescent="0.3">
      <c r="A441" t="s">
        <v>1509</v>
      </c>
      <c r="B441" t="s">
        <v>1509</v>
      </c>
      <c r="C441" t="s">
        <v>10</v>
      </c>
      <c r="D441" t="s">
        <v>193</v>
      </c>
      <c r="E441" t="s">
        <v>1404</v>
      </c>
    </row>
    <row r="442" spans="1:5" x14ac:dyDescent="0.3">
      <c r="A442" t="s">
        <v>1510</v>
      </c>
      <c r="B442" t="s">
        <v>1510</v>
      </c>
      <c r="C442" t="s">
        <v>10</v>
      </c>
      <c r="D442" t="s">
        <v>193</v>
      </c>
      <c r="E442" t="s">
        <v>1405</v>
      </c>
    </row>
    <row r="443" spans="1:5" x14ac:dyDescent="0.3">
      <c r="A443" t="s">
        <v>1511</v>
      </c>
      <c r="B443" t="s">
        <v>1511</v>
      </c>
      <c r="C443" t="s">
        <v>10</v>
      </c>
      <c r="D443" t="s">
        <v>193</v>
      </c>
      <c r="E443" t="s">
        <v>1406</v>
      </c>
    </row>
    <row r="444" spans="1:5" x14ac:dyDescent="0.3">
      <c r="A444" t="s">
        <v>1512</v>
      </c>
      <c r="B444" t="s">
        <v>1512</v>
      </c>
      <c r="C444" t="s">
        <v>10</v>
      </c>
      <c r="D444" t="s">
        <v>193</v>
      </c>
      <c r="E444" t="s">
        <v>1407</v>
      </c>
    </row>
    <row r="445" spans="1:5" x14ac:dyDescent="0.3">
      <c r="A445" t="s">
        <v>1513</v>
      </c>
      <c r="B445" t="s">
        <v>1513</v>
      </c>
      <c r="C445" t="s">
        <v>10</v>
      </c>
      <c r="D445" t="s">
        <v>193</v>
      </c>
      <c r="E445" t="s">
        <v>1408</v>
      </c>
    </row>
    <row r="446" spans="1:5" x14ac:dyDescent="0.3">
      <c r="A446" t="s">
        <v>1514</v>
      </c>
      <c r="B446" t="s">
        <v>1514</v>
      </c>
      <c r="C446" t="s">
        <v>10</v>
      </c>
      <c r="D446" t="s">
        <v>193</v>
      </c>
      <c r="E446" t="s">
        <v>1409</v>
      </c>
    </row>
    <row r="447" spans="1:5" x14ac:dyDescent="0.3">
      <c r="A447" t="s">
        <v>1515</v>
      </c>
      <c r="B447" t="s">
        <v>1515</v>
      </c>
      <c r="C447" t="s">
        <v>10</v>
      </c>
      <c r="D447" t="s">
        <v>193</v>
      </c>
      <c r="E447" t="s">
        <v>1410</v>
      </c>
    </row>
    <row r="448" spans="1:5" x14ac:dyDescent="0.3">
      <c r="A448" t="s">
        <v>1516</v>
      </c>
      <c r="B448" t="s">
        <v>1516</v>
      </c>
      <c r="C448" t="s">
        <v>10</v>
      </c>
      <c r="D448" t="s">
        <v>193</v>
      </c>
      <c r="E448" t="s">
        <v>1411</v>
      </c>
    </row>
    <row r="449" spans="1:5" x14ac:dyDescent="0.3">
      <c r="A449" t="s">
        <v>1517</v>
      </c>
      <c r="B449" t="s">
        <v>1517</v>
      </c>
      <c r="C449" t="s">
        <v>10</v>
      </c>
      <c r="D449" t="s">
        <v>193</v>
      </c>
      <c r="E449" t="s">
        <v>1412</v>
      </c>
    </row>
    <row r="450" spans="1:5" x14ac:dyDescent="0.3">
      <c r="A450" t="s">
        <v>1518</v>
      </c>
      <c r="B450" t="s">
        <v>1518</v>
      </c>
      <c r="C450" t="s">
        <v>10</v>
      </c>
      <c r="D450" t="s">
        <v>193</v>
      </c>
      <c r="E450" t="s">
        <v>1413</v>
      </c>
    </row>
    <row r="451" spans="1:5" x14ac:dyDescent="0.3">
      <c r="A451" t="s">
        <v>1519</v>
      </c>
      <c r="B451" t="s">
        <v>1519</v>
      </c>
      <c r="C451" t="s">
        <v>10</v>
      </c>
      <c r="D451" t="s">
        <v>193</v>
      </c>
      <c r="E451" t="s">
        <v>1414</v>
      </c>
    </row>
    <row r="452" spans="1:5" x14ac:dyDescent="0.3">
      <c r="A452" t="s">
        <v>1520</v>
      </c>
      <c r="B452" t="s">
        <v>1520</v>
      </c>
      <c r="C452" t="s">
        <v>10</v>
      </c>
      <c r="D452" t="s">
        <v>193</v>
      </c>
      <c r="E452" t="s">
        <v>1415</v>
      </c>
    </row>
    <row r="453" spans="1:5" x14ac:dyDescent="0.3">
      <c r="A453" t="s">
        <v>1521</v>
      </c>
      <c r="B453" t="s">
        <v>1521</v>
      </c>
      <c r="C453" t="s">
        <v>10</v>
      </c>
      <c r="D453" t="s">
        <v>193</v>
      </c>
      <c r="E453" t="s">
        <v>1416</v>
      </c>
    </row>
    <row r="454" spans="1:5" x14ac:dyDescent="0.3">
      <c r="A454" t="s">
        <v>1522</v>
      </c>
      <c r="B454" t="s">
        <v>1522</v>
      </c>
      <c r="C454" t="s">
        <v>10</v>
      </c>
      <c r="D454" t="s">
        <v>193</v>
      </c>
      <c r="E454" t="s">
        <v>1417</v>
      </c>
    </row>
    <row r="455" spans="1:5" x14ac:dyDescent="0.3">
      <c r="A455" t="s">
        <v>1523</v>
      </c>
      <c r="B455" t="s">
        <v>1523</v>
      </c>
      <c r="C455" t="s">
        <v>10</v>
      </c>
      <c r="D455" t="s">
        <v>193</v>
      </c>
      <c r="E455" t="s">
        <v>1418</v>
      </c>
    </row>
    <row r="456" spans="1:5" x14ac:dyDescent="0.3">
      <c r="A456" t="s">
        <v>1524</v>
      </c>
      <c r="B456" t="s">
        <v>1524</v>
      </c>
      <c r="C456" t="s">
        <v>10</v>
      </c>
      <c r="D456" t="s">
        <v>193</v>
      </c>
      <c r="E456" t="s">
        <v>1419</v>
      </c>
    </row>
    <row r="457" spans="1:5" x14ac:dyDescent="0.3">
      <c r="A457" t="s">
        <v>1525</v>
      </c>
      <c r="B457" t="s">
        <v>1525</v>
      </c>
      <c r="C457" t="s">
        <v>10</v>
      </c>
      <c r="D457" t="s">
        <v>193</v>
      </c>
      <c r="E457" t="s">
        <v>1420</v>
      </c>
    </row>
    <row r="458" spans="1:5" x14ac:dyDescent="0.3">
      <c r="A458" t="s">
        <v>1526</v>
      </c>
      <c r="B458" t="s">
        <v>1526</v>
      </c>
      <c r="C458" t="s">
        <v>10</v>
      </c>
      <c r="D458" t="s">
        <v>193</v>
      </c>
      <c r="E458" t="s">
        <v>1421</v>
      </c>
    </row>
    <row r="459" spans="1:5" x14ac:dyDescent="0.3">
      <c r="A459" t="s">
        <v>1527</v>
      </c>
      <c r="B459" t="s">
        <v>1527</v>
      </c>
      <c r="C459" t="s">
        <v>10</v>
      </c>
      <c r="D459" t="s">
        <v>193</v>
      </c>
      <c r="E459" t="s">
        <v>1422</v>
      </c>
    </row>
    <row r="460" spans="1:5" x14ac:dyDescent="0.3">
      <c r="A460" t="s">
        <v>1528</v>
      </c>
      <c r="B460" t="s">
        <v>1528</v>
      </c>
      <c r="C460" t="s">
        <v>10</v>
      </c>
      <c r="D460" t="s">
        <v>193</v>
      </c>
      <c r="E460" t="s">
        <v>1423</v>
      </c>
    </row>
    <row r="461" spans="1:5" x14ac:dyDescent="0.3">
      <c r="A461" t="s">
        <v>1529</v>
      </c>
      <c r="B461" t="s">
        <v>1529</v>
      </c>
      <c r="C461" t="s">
        <v>10</v>
      </c>
      <c r="D461" t="s">
        <v>193</v>
      </c>
      <c r="E461" t="s">
        <v>1424</v>
      </c>
    </row>
    <row r="462" spans="1:5" x14ac:dyDescent="0.3">
      <c r="A462" t="s">
        <v>1530</v>
      </c>
      <c r="B462" t="s">
        <v>1530</v>
      </c>
      <c r="C462" t="s">
        <v>10</v>
      </c>
      <c r="D462" t="s">
        <v>193</v>
      </c>
      <c r="E462" t="s">
        <v>1425</v>
      </c>
    </row>
    <row r="463" spans="1:5" x14ac:dyDescent="0.3">
      <c r="A463" t="s">
        <v>1531</v>
      </c>
      <c r="B463" t="s">
        <v>1531</v>
      </c>
      <c r="C463" t="s">
        <v>10</v>
      </c>
      <c r="D463" t="s">
        <v>193</v>
      </c>
      <c r="E463" t="s">
        <v>1426</v>
      </c>
    </row>
    <row r="464" spans="1:5" x14ac:dyDescent="0.3">
      <c r="A464" t="s">
        <v>1532</v>
      </c>
      <c r="B464" t="s">
        <v>1532</v>
      </c>
      <c r="C464" t="s">
        <v>10</v>
      </c>
      <c r="D464" t="s">
        <v>193</v>
      </c>
      <c r="E464" t="s">
        <v>1427</v>
      </c>
    </row>
    <row r="465" spans="1:5" x14ac:dyDescent="0.3">
      <c r="A465" t="s">
        <v>1533</v>
      </c>
      <c r="B465" t="s">
        <v>1533</v>
      </c>
      <c r="C465" t="s">
        <v>10</v>
      </c>
      <c r="D465" t="s">
        <v>193</v>
      </c>
      <c r="E465" t="s">
        <v>1428</v>
      </c>
    </row>
    <row r="466" spans="1:5" x14ac:dyDescent="0.3">
      <c r="A466" t="s">
        <v>1534</v>
      </c>
      <c r="B466" t="s">
        <v>1534</v>
      </c>
      <c r="C466" t="s">
        <v>10</v>
      </c>
      <c r="D466" t="s">
        <v>193</v>
      </c>
      <c r="E466" t="s">
        <v>1429</v>
      </c>
    </row>
    <row r="467" spans="1:5" x14ac:dyDescent="0.3">
      <c r="A467" t="s">
        <v>1535</v>
      </c>
      <c r="B467" t="s">
        <v>1535</v>
      </c>
      <c r="C467" t="s">
        <v>10</v>
      </c>
      <c r="D467" t="s">
        <v>193</v>
      </c>
      <c r="E467" t="s">
        <v>1430</v>
      </c>
    </row>
    <row r="468" spans="1:5" x14ac:dyDescent="0.3">
      <c r="A468" t="s">
        <v>1536</v>
      </c>
      <c r="B468" t="s">
        <v>1536</v>
      </c>
      <c r="C468" t="s">
        <v>10</v>
      </c>
      <c r="D468" t="s">
        <v>193</v>
      </c>
      <c r="E468" t="s">
        <v>1431</v>
      </c>
    </row>
    <row r="469" spans="1:5" x14ac:dyDescent="0.3">
      <c r="A469" t="s">
        <v>1537</v>
      </c>
      <c r="B469" t="s">
        <v>1537</v>
      </c>
      <c r="C469" t="s">
        <v>10</v>
      </c>
      <c r="D469" t="s">
        <v>193</v>
      </c>
      <c r="E469" t="s">
        <v>1432</v>
      </c>
    </row>
    <row r="470" spans="1:5" x14ac:dyDescent="0.3">
      <c r="A470" t="s">
        <v>1538</v>
      </c>
      <c r="B470" t="s">
        <v>1538</v>
      </c>
      <c r="C470" t="s">
        <v>10</v>
      </c>
      <c r="D470" t="s">
        <v>193</v>
      </c>
      <c r="E470" t="s">
        <v>1433</v>
      </c>
    </row>
    <row r="471" spans="1:5" x14ac:dyDescent="0.3">
      <c r="A471" t="s">
        <v>1539</v>
      </c>
      <c r="B471" t="s">
        <v>1539</v>
      </c>
      <c r="C471" t="s">
        <v>10</v>
      </c>
      <c r="D471" t="s">
        <v>193</v>
      </c>
      <c r="E471" t="s">
        <v>1434</v>
      </c>
    </row>
    <row r="472" spans="1:5" x14ac:dyDescent="0.3">
      <c r="A472" t="s">
        <v>1540</v>
      </c>
      <c r="B472" t="s">
        <v>1540</v>
      </c>
      <c r="C472" t="s">
        <v>10</v>
      </c>
      <c r="D472" t="s">
        <v>193</v>
      </c>
      <c r="E472" t="s">
        <v>1435</v>
      </c>
    </row>
    <row r="473" spans="1:5" x14ac:dyDescent="0.3">
      <c r="A473" t="s">
        <v>1541</v>
      </c>
      <c r="B473" t="s">
        <v>1541</v>
      </c>
      <c r="C473" t="s">
        <v>10</v>
      </c>
      <c r="D473" t="s">
        <v>193</v>
      </c>
      <c r="E473" t="s">
        <v>1436</v>
      </c>
    </row>
    <row r="474" spans="1:5" x14ac:dyDescent="0.3">
      <c r="A474" t="s">
        <v>1542</v>
      </c>
      <c r="B474" t="s">
        <v>1542</v>
      </c>
      <c r="C474" t="s">
        <v>10</v>
      </c>
      <c r="D474" t="s">
        <v>193</v>
      </c>
      <c r="E474" t="s">
        <v>1437</v>
      </c>
    </row>
    <row r="475" spans="1:5" x14ac:dyDescent="0.3">
      <c r="A475" t="s">
        <v>1543</v>
      </c>
      <c r="B475" t="s">
        <v>1543</v>
      </c>
      <c r="C475" t="s">
        <v>10</v>
      </c>
      <c r="D475" t="s">
        <v>193</v>
      </c>
      <c r="E475" t="s">
        <v>1438</v>
      </c>
    </row>
    <row r="476" spans="1:5" x14ac:dyDescent="0.3">
      <c r="A476" t="s">
        <v>1544</v>
      </c>
      <c r="B476" t="s">
        <v>1544</v>
      </c>
      <c r="C476" t="s">
        <v>10</v>
      </c>
      <c r="D476" t="s">
        <v>193</v>
      </c>
      <c r="E476" t="s">
        <v>1439</v>
      </c>
    </row>
    <row r="477" spans="1:5" x14ac:dyDescent="0.3">
      <c r="A477" t="s">
        <v>1545</v>
      </c>
      <c r="B477" t="s">
        <v>1545</v>
      </c>
      <c r="C477" t="s">
        <v>10</v>
      </c>
      <c r="D477" t="s">
        <v>193</v>
      </c>
      <c r="E477" t="s">
        <v>1440</v>
      </c>
    </row>
    <row r="478" spans="1:5" x14ac:dyDescent="0.3">
      <c r="A478" t="s">
        <v>1546</v>
      </c>
      <c r="B478" t="s">
        <v>1546</v>
      </c>
      <c r="C478" t="s">
        <v>10</v>
      </c>
      <c r="D478" t="s">
        <v>193</v>
      </c>
      <c r="E478" t="s">
        <v>1441</v>
      </c>
    </row>
    <row r="479" spans="1:5" x14ac:dyDescent="0.3">
      <c r="A479" t="s">
        <v>1547</v>
      </c>
      <c r="B479" t="s">
        <v>1547</v>
      </c>
      <c r="C479" t="s">
        <v>10</v>
      </c>
      <c r="D479" t="s">
        <v>193</v>
      </c>
      <c r="E479" t="s">
        <v>1442</v>
      </c>
    </row>
    <row r="480" spans="1:5" x14ac:dyDescent="0.3">
      <c r="A480" t="s">
        <v>1548</v>
      </c>
      <c r="B480" t="s">
        <v>1548</v>
      </c>
      <c r="C480" t="s">
        <v>10</v>
      </c>
      <c r="D480" t="s">
        <v>193</v>
      </c>
      <c r="E480" t="s">
        <v>1443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78F8-DD9B-43B8-94B5-6C05617F5DEC}">
  <dimension ref="A1:E268"/>
  <sheetViews>
    <sheetView workbookViewId="0">
      <selection activeCell="I11" sqref="I11"/>
    </sheetView>
  </sheetViews>
  <sheetFormatPr defaultRowHeight="14.4" x14ac:dyDescent="0.3"/>
  <sheetData>
    <row r="1" spans="1:5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5" x14ac:dyDescent="0.3">
      <c r="A2" t="s">
        <v>111</v>
      </c>
      <c r="B2" t="s">
        <v>112</v>
      </c>
      <c r="C2" t="s">
        <v>10</v>
      </c>
      <c r="D2" t="s">
        <v>113</v>
      </c>
      <c r="E2" t="s">
        <v>114</v>
      </c>
    </row>
    <row r="3" spans="1:5" x14ac:dyDescent="0.3">
      <c r="A3" t="s">
        <v>115</v>
      </c>
      <c r="B3" t="s">
        <v>116</v>
      </c>
      <c r="C3" t="s">
        <v>10</v>
      </c>
      <c r="D3" t="s">
        <v>113</v>
      </c>
      <c r="E3" t="s">
        <v>117</v>
      </c>
    </row>
    <row r="4" spans="1:5" x14ac:dyDescent="0.3">
      <c r="A4" t="s">
        <v>118</v>
      </c>
      <c r="B4" t="s">
        <v>119</v>
      </c>
      <c r="C4" t="s">
        <v>10</v>
      </c>
      <c r="D4" t="s">
        <v>113</v>
      </c>
      <c r="E4" t="s">
        <v>120</v>
      </c>
    </row>
    <row r="5" spans="1:5" x14ac:dyDescent="0.3">
      <c r="A5" t="s">
        <v>121</v>
      </c>
      <c r="B5" t="s">
        <v>122</v>
      </c>
      <c r="C5" t="s">
        <v>10</v>
      </c>
      <c r="D5" t="s">
        <v>113</v>
      </c>
      <c r="E5" t="s">
        <v>123</v>
      </c>
    </row>
    <row r="6" spans="1:5" x14ac:dyDescent="0.3">
      <c r="A6" t="s">
        <v>124</v>
      </c>
      <c r="B6" t="s">
        <v>125</v>
      </c>
      <c r="C6" t="s">
        <v>10</v>
      </c>
      <c r="D6" t="s">
        <v>113</v>
      </c>
      <c r="E6" t="s">
        <v>126</v>
      </c>
    </row>
    <row r="7" spans="1:5" x14ac:dyDescent="0.3">
      <c r="A7" t="s">
        <v>127</v>
      </c>
      <c r="B7" t="s">
        <v>128</v>
      </c>
      <c r="C7" t="s">
        <v>10</v>
      </c>
      <c r="D7" t="s">
        <v>113</v>
      </c>
      <c r="E7" t="s">
        <v>129</v>
      </c>
    </row>
    <row r="8" spans="1:5" x14ac:dyDescent="0.3">
      <c r="A8" t="s">
        <v>130</v>
      </c>
      <c r="B8" t="s">
        <v>131</v>
      </c>
      <c r="C8" t="s">
        <v>10</v>
      </c>
      <c r="D8" t="s">
        <v>113</v>
      </c>
      <c r="E8" t="s">
        <v>132</v>
      </c>
    </row>
    <row r="9" spans="1:5" x14ac:dyDescent="0.3">
      <c r="A9" t="s">
        <v>133</v>
      </c>
      <c r="B9" t="s">
        <v>134</v>
      </c>
      <c r="C9" t="s">
        <v>10</v>
      </c>
      <c r="D9" t="s">
        <v>113</v>
      </c>
      <c r="E9" t="s">
        <v>135</v>
      </c>
    </row>
    <row r="10" spans="1:5" x14ac:dyDescent="0.3">
      <c r="A10" t="s">
        <v>596</v>
      </c>
      <c r="B10" t="s">
        <v>597</v>
      </c>
      <c r="C10" t="s">
        <v>10</v>
      </c>
      <c r="D10" t="s">
        <v>113</v>
      </c>
      <c r="E10" t="s">
        <v>598</v>
      </c>
    </row>
    <row r="11" spans="1:5" x14ac:dyDescent="0.3">
      <c r="A11" t="s">
        <v>136</v>
      </c>
      <c r="B11" t="s">
        <v>137</v>
      </c>
      <c r="C11" t="s">
        <v>10</v>
      </c>
      <c r="D11" t="s">
        <v>138</v>
      </c>
      <c r="E11" t="s">
        <v>139</v>
      </c>
    </row>
    <row r="12" spans="1:5" x14ac:dyDescent="0.3">
      <c r="A12" t="s">
        <v>140</v>
      </c>
      <c r="B12" t="s">
        <v>141</v>
      </c>
      <c r="C12" t="s">
        <v>10</v>
      </c>
      <c r="D12" t="s">
        <v>138</v>
      </c>
      <c r="E12" t="s">
        <v>142</v>
      </c>
    </row>
    <row r="13" spans="1:5" x14ac:dyDescent="0.3">
      <c r="A13" t="s">
        <v>143</v>
      </c>
      <c r="B13" t="s">
        <v>144</v>
      </c>
      <c r="C13" t="s">
        <v>10</v>
      </c>
      <c r="D13" t="s">
        <v>138</v>
      </c>
      <c r="E13" t="s">
        <v>145</v>
      </c>
    </row>
    <row r="14" spans="1:5" x14ac:dyDescent="0.3">
      <c r="A14" t="s">
        <v>146</v>
      </c>
      <c r="B14" t="s">
        <v>147</v>
      </c>
      <c r="C14" t="s">
        <v>10</v>
      </c>
      <c r="D14" t="s">
        <v>138</v>
      </c>
      <c r="E14" t="s">
        <v>148</v>
      </c>
    </row>
    <row r="15" spans="1:5" x14ac:dyDescent="0.3">
      <c r="A15" t="s">
        <v>149</v>
      </c>
      <c r="B15" t="s">
        <v>150</v>
      </c>
      <c r="C15" t="s">
        <v>10</v>
      </c>
      <c r="D15" t="s">
        <v>138</v>
      </c>
      <c r="E15" t="s">
        <v>151</v>
      </c>
    </row>
    <row r="16" spans="1:5" x14ac:dyDescent="0.3">
      <c r="A16" t="s">
        <v>152</v>
      </c>
      <c r="B16" t="s">
        <v>153</v>
      </c>
      <c r="C16" t="s">
        <v>10</v>
      </c>
      <c r="D16" t="s">
        <v>138</v>
      </c>
      <c r="E16" t="s">
        <v>154</v>
      </c>
    </row>
    <row r="17" spans="1:5" x14ac:dyDescent="0.3">
      <c r="A17" t="s">
        <v>602</v>
      </c>
      <c r="B17" t="s">
        <v>603</v>
      </c>
      <c r="C17" t="s">
        <v>10</v>
      </c>
      <c r="D17" t="s">
        <v>138</v>
      </c>
      <c r="E17" t="str">
        <f>E11&amp;", "&amp;E12&amp;", "&amp;E13&amp;", "&amp;E16</f>
        <v>COG-X-BVM-T1Sc, COG-X-BVM-T2Sc, COG-X-BVM-T3Sc, COG-X-BVM-TDSc</v>
      </c>
    </row>
    <row r="18" spans="1:5" x14ac:dyDescent="0.3">
      <c r="A18" t="s">
        <v>155</v>
      </c>
      <c r="B18" t="s">
        <v>156</v>
      </c>
      <c r="C18" t="s">
        <v>10</v>
      </c>
      <c r="D18" t="s">
        <v>138</v>
      </c>
      <c r="E18" t="s">
        <v>157</v>
      </c>
    </row>
    <row r="19" spans="1:5" x14ac:dyDescent="0.3">
      <c r="A19" t="s">
        <v>158</v>
      </c>
      <c r="B19" t="s">
        <v>159</v>
      </c>
      <c r="C19" t="s">
        <v>10</v>
      </c>
      <c r="D19" t="s">
        <v>138</v>
      </c>
      <c r="E19" t="s">
        <v>160</v>
      </c>
    </row>
    <row r="20" spans="1:5" x14ac:dyDescent="0.3">
      <c r="A20" t="s">
        <v>161</v>
      </c>
      <c r="B20" t="s">
        <v>162</v>
      </c>
      <c r="C20" t="s">
        <v>10</v>
      </c>
      <c r="D20" t="s">
        <v>138</v>
      </c>
      <c r="E20" t="s">
        <v>163</v>
      </c>
    </row>
    <row r="21" spans="1:5" x14ac:dyDescent="0.3">
      <c r="A21" t="s">
        <v>164</v>
      </c>
      <c r="B21" t="s">
        <v>165</v>
      </c>
      <c r="C21" t="s">
        <v>10</v>
      </c>
      <c r="D21" t="s">
        <v>138</v>
      </c>
      <c r="E21" t="s">
        <v>166</v>
      </c>
    </row>
    <row r="22" spans="1:5" x14ac:dyDescent="0.3">
      <c r="A22" t="s">
        <v>167</v>
      </c>
      <c r="B22" t="s">
        <v>168</v>
      </c>
      <c r="C22" t="s">
        <v>10</v>
      </c>
      <c r="D22" t="s">
        <v>138</v>
      </c>
      <c r="E22" t="s">
        <v>169</v>
      </c>
    </row>
    <row r="23" spans="1:5" x14ac:dyDescent="0.3">
      <c r="A23" t="s">
        <v>170</v>
      </c>
      <c r="B23" t="s">
        <v>171</v>
      </c>
      <c r="C23" t="s">
        <v>10</v>
      </c>
      <c r="D23" t="s">
        <v>138</v>
      </c>
      <c r="E23" t="s">
        <v>172</v>
      </c>
    </row>
    <row r="24" spans="1:5" x14ac:dyDescent="0.3">
      <c r="A24" t="s">
        <v>173</v>
      </c>
      <c r="B24" t="s">
        <v>174</v>
      </c>
      <c r="C24" t="s">
        <v>10</v>
      </c>
      <c r="D24" t="s">
        <v>138</v>
      </c>
      <c r="E24" t="s">
        <v>175</v>
      </c>
    </row>
    <row r="25" spans="1:5" x14ac:dyDescent="0.3">
      <c r="A25" t="s">
        <v>176</v>
      </c>
      <c r="B25" t="s">
        <v>177</v>
      </c>
      <c r="C25" t="s">
        <v>10</v>
      </c>
      <c r="D25" t="s">
        <v>138</v>
      </c>
      <c r="E25" t="s">
        <v>178</v>
      </c>
    </row>
    <row r="26" spans="1:5" x14ac:dyDescent="0.3">
      <c r="A26" t="s">
        <v>179</v>
      </c>
      <c r="B26" t="s">
        <v>180</v>
      </c>
      <c r="C26" t="s">
        <v>10</v>
      </c>
      <c r="D26" t="s">
        <v>138</v>
      </c>
      <c r="E26" t="s">
        <v>181</v>
      </c>
    </row>
    <row r="27" spans="1:5" x14ac:dyDescent="0.3">
      <c r="A27" t="s">
        <v>600</v>
      </c>
      <c r="B27" t="s">
        <v>599</v>
      </c>
      <c r="C27" t="s">
        <v>10</v>
      </c>
      <c r="D27" t="s">
        <v>138</v>
      </c>
      <c r="E27" t="s">
        <v>601</v>
      </c>
    </row>
    <row r="28" spans="1:5" x14ac:dyDescent="0.3">
      <c r="A28" t="s">
        <v>182</v>
      </c>
      <c r="B28" t="s">
        <v>183</v>
      </c>
      <c r="C28" t="s">
        <v>10</v>
      </c>
      <c r="D28" t="s">
        <v>138</v>
      </c>
      <c r="E28" t="s">
        <v>184</v>
      </c>
    </row>
    <row r="29" spans="1:5" x14ac:dyDescent="0.3">
      <c r="A29" t="s">
        <v>185</v>
      </c>
      <c r="B29" t="s">
        <v>186</v>
      </c>
      <c r="C29" t="s">
        <v>10</v>
      </c>
      <c r="D29" t="s">
        <v>138</v>
      </c>
      <c r="E29" t="s">
        <v>187</v>
      </c>
    </row>
    <row r="30" spans="1:5" x14ac:dyDescent="0.3">
      <c r="A30" t="s">
        <v>188</v>
      </c>
      <c r="B30" t="s">
        <v>189</v>
      </c>
      <c r="C30" t="s">
        <v>10</v>
      </c>
      <c r="D30" t="s">
        <v>138</v>
      </c>
      <c r="E30" t="s">
        <v>190</v>
      </c>
    </row>
    <row r="31" spans="1:5" x14ac:dyDescent="0.3">
      <c r="A31" t="s">
        <v>604</v>
      </c>
      <c r="B31" t="s">
        <v>605</v>
      </c>
      <c r="C31" t="s">
        <v>13</v>
      </c>
      <c r="D31" t="s">
        <v>138</v>
      </c>
      <c r="E31" t="s">
        <v>606</v>
      </c>
    </row>
    <row r="32" spans="1:5" x14ac:dyDescent="0.3">
      <c r="A32" t="s">
        <v>623</v>
      </c>
      <c r="B32" t="s">
        <v>625</v>
      </c>
      <c r="C32" t="s">
        <v>13</v>
      </c>
      <c r="D32" t="s">
        <v>138</v>
      </c>
      <c r="E32" t="s">
        <v>627</v>
      </c>
    </row>
    <row r="33" spans="1:5" x14ac:dyDescent="0.3">
      <c r="A33" t="s">
        <v>624</v>
      </c>
      <c r="B33" t="s">
        <v>626</v>
      </c>
      <c r="C33" t="s">
        <v>13</v>
      </c>
      <c r="D33" t="s">
        <v>138</v>
      </c>
      <c r="E33" t="s">
        <v>628</v>
      </c>
    </row>
    <row r="34" spans="1:5" x14ac:dyDescent="0.3">
      <c r="A34" t="s">
        <v>593</v>
      </c>
      <c r="B34" t="s">
        <v>594</v>
      </c>
      <c r="C34" t="s">
        <v>10</v>
      </c>
      <c r="D34" t="s">
        <v>193</v>
      </c>
      <c r="E34" t="s">
        <v>595</v>
      </c>
    </row>
    <row r="35" spans="1:5" x14ac:dyDescent="0.3">
      <c r="A35" t="s">
        <v>191</v>
      </c>
      <c r="B35" t="s">
        <v>192</v>
      </c>
      <c r="C35" t="s">
        <v>10</v>
      </c>
      <c r="D35" t="s">
        <v>193</v>
      </c>
      <c r="E35" t="s">
        <v>194</v>
      </c>
    </row>
    <row r="36" spans="1:5" x14ac:dyDescent="0.3">
      <c r="A36" t="s">
        <v>195</v>
      </c>
      <c r="B36" t="s">
        <v>196</v>
      </c>
      <c r="C36" t="s">
        <v>10</v>
      </c>
      <c r="D36" t="s">
        <v>193</v>
      </c>
      <c r="E36" t="s">
        <v>197</v>
      </c>
    </row>
    <row r="37" spans="1:5" x14ac:dyDescent="0.3">
      <c r="A37" t="s">
        <v>198</v>
      </c>
      <c r="B37" t="s">
        <v>199</v>
      </c>
      <c r="C37" t="s">
        <v>10</v>
      </c>
      <c r="D37" t="s">
        <v>193</v>
      </c>
      <c r="E37" t="s">
        <v>607</v>
      </c>
    </row>
    <row r="38" spans="1:5" x14ac:dyDescent="0.3">
      <c r="A38" t="s">
        <v>200</v>
      </c>
      <c r="B38" t="s">
        <v>201</v>
      </c>
      <c r="C38" t="s">
        <v>10</v>
      </c>
      <c r="D38" t="s">
        <v>193</v>
      </c>
      <c r="E38" t="s">
        <v>202</v>
      </c>
    </row>
    <row r="39" spans="1:5" x14ac:dyDescent="0.3">
      <c r="A39" t="s">
        <v>203</v>
      </c>
      <c r="B39" t="s">
        <v>204</v>
      </c>
      <c r="C39" t="s">
        <v>10</v>
      </c>
      <c r="D39" t="s">
        <v>193</v>
      </c>
      <c r="E39" t="s">
        <v>205</v>
      </c>
    </row>
    <row r="40" spans="1:5" x14ac:dyDescent="0.3">
      <c r="A40" t="s">
        <v>206</v>
      </c>
      <c r="B40" t="s">
        <v>207</v>
      </c>
      <c r="C40" t="s">
        <v>10</v>
      </c>
      <c r="D40" t="s">
        <v>193</v>
      </c>
      <c r="E40" t="s">
        <v>208</v>
      </c>
    </row>
    <row r="41" spans="1:5" x14ac:dyDescent="0.3">
      <c r="A41" t="s">
        <v>209</v>
      </c>
      <c r="B41" t="s">
        <v>210</v>
      </c>
      <c r="C41" t="s">
        <v>10</v>
      </c>
      <c r="D41" t="s">
        <v>193</v>
      </c>
      <c r="E41" t="s">
        <v>211</v>
      </c>
    </row>
    <row r="42" spans="1:5" x14ac:dyDescent="0.3">
      <c r="A42" t="s">
        <v>212</v>
      </c>
      <c r="B42" t="s">
        <v>70</v>
      </c>
      <c r="C42" t="s">
        <v>10</v>
      </c>
      <c r="D42" t="s">
        <v>193</v>
      </c>
      <c r="E42" t="s">
        <v>213</v>
      </c>
    </row>
    <row r="43" spans="1:5" x14ac:dyDescent="0.3">
      <c r="A43" t="s">
        <v>608</v>
      </c>
      <c r="B43" t="s">
        <v>610</v>
      </c>
      <c r="C43" t="s">
        <v>10</v>
      </c>
      <c r="D43" t="s">
        <v>193</v>
      </c>
      <c r="E43" t="s">
        <v>618</v>
      </c>
    </row>
    <row r="44" spans="1:5" x14ac:dyDescent="0.3">
      <c r="A44" t="s">
        <v>609</v>
      </c>
      <c r="B44" t="s">
        <v>611</v>
      </c>
      <c r="C44" t="s">
        <v>10</v>
      </c>
      <c r="D44" t="s">
        <v>193</v>
      </c>
      <c r="E44" t="s">
        <v>619</v>
      </c>
    </row>
    <row r="45" spans="1:5" x14ac:dyDescent="0.3">
      <c r="A45" t="s">
        <v>612</v>
      </c>
      <c r="B45" t="s">
        <v>613</v>
      </c>
      <c r="C45" t="s">
        <v>10</v>
      </c>
      <c r="D45" t="s">
        <v>193</v>
      </c>
      <c r="E45" t="s">
        <v>620</v>
      </c>
    </row>
    <row r="46" spans="1:5" x14ac:dyDescent="0.3">
      <c r="A46" t="s">
        <v>614</v>
      </c>
      <c r="B46" t="s">
        <v>615</v>
      </c>
      <c r="C46" t="s">
        <v>10</v>
      </c>
      <c r="D46" t="s">
        <v>193</v>
      </c>
      <c r="E46" t="s">
        <v>621</v>
      </c>
    </row>
    <row r="47" spans="1:5" x14ac:dyDescent="0.3">
      <c r="A47" t="s">
        <v>616</v>
      </c>
      <c r="B47" t="s">
        <v>617</v>
      </c>
      <c r="C47" t="s">
        <v>10</v>
      </c>
      <c r="D47" t="s">
        <v>193</v>
      </c>
      <c r="E47" t="s">
        <v>622</v>
      </c>
    </row>
    <row r="48" spans="1:5" x14ac:dyDescent="0.3">
      <c r="A48" t="s">
        <v>228</v>
      </c>
      <c r="B48" t="s">
        <v>229</v>
      </c>
      <c r="C48" t="s">
        <v>230</v>
      </c>
      <c r="D48" t="s">
        <v>193</v>
      </c>
      <c r="E48" t="s">
        <v>231</v>
      </c>
    </row>
    <row r="49" spans="1:5" x14ac:dyDescent="0.3">
      <c r="A49" t="s">
        <v>214</v>
      </c>
      <c r="B49" t="s">
        <v>215</v>
      </c>
      <c r="C49" t="s">
        <v>13</v>
      </c>
      <c r="D49" t="s">
        <v>193</v>
      </c>
      <c r="E49" t="s">
        <v>14</v>
      </c>
    </row>
    <row r="50" spans="1:5" x14ac:dyDescent="0.3">
      <c r="A50" t="s">
        <v>743</v>
      </c>
      <c r="B50" t="s">
        <v>567</v>
      </c>
      <c r="C50" t="s">
        <v>13</v>
      </c>
      <c r="D50" t="s">
        <v>193</v>
      </c>
      <c r="E50" t="s">
        <v>568</v>
      </c>
    </row>
    <row r="51" spans="1:5" x14ac:dyDescent="0.3">
      <c r="A51" t="s">
        <v>216</v>
      </c>
      <c r="B51" t="s">
        <v>217</v>
      </c>
      <c r="C51" t="s">
        <v>13</v>
      </c>
      <c r="D51" t="s">
        <v>193</v>
      </c>
      <c r="E51" t="s">
        <v>218</v>
      </c>
    </row>
    <row r="52" spans="1:5" x14ac:dyDescent="0.3">
      <c r="A52" t="s">
        <v>219</v>
      </c>
      <c r="B52" t="s">
        <v>220</v>
      </c>
      <c r="C52" t="s">
        <v>13</v>
      </c>
      <c r="D52" t="s">
        <v>193</v>
      </c>
      <c r="E52" t="s">
        <v>221</v>
      </c>
    </row>
    <row r="53" spans="1:5" x14ac:dyDescent="0.3">
      <c r="A53" t="s">
        <v>222</v>
      </c>
      <c r="B53" t="s">
        <v>223</v>
      </c>
      <c r="C53" t="s">
        <v>13</v>
      </c>
      <c r="D53" t="s">
        <v>193</v>
      </c>
      <c r="E53" t="s">
        <v>224</v>
      </c>
    </row>
    <row r="54" spans="1:5" x14ac:dyDescent="0.3">
      <c r="A54" t="s">
        <v>735</v>
      </c>
      <c r="B54" t="s">
        <v>737</v>
      </c>
      <c r="C54" t="s">
        <v>13</v>
      </c>
      <c r="D54" t="s">
        <v>193</v>
      </c>
      <c r="E54" t="s">
        <v>744</v>
      </c>
    </row>
    <row r="55" spans="1:5" x14ac:dyDescent="0.3">
      <c r="A55" t="s">
        <v>736</v>
      </c>
      <c r="B55" t="s">
        <v>738</v>
      </c>
      <c r="C55" t="s">
        <v>13</v>
      </c>
      <c r="D55" t="s">
        <v>193</v>
      </c>
      <c r="E55" t="s">
        <v>745</v>
      </c>
    </row>
    <row r="56" spans="1:5" x14ac:dyDescent="0.3">
      <c r="A56" t="s">
        <v>739</v>
      </c>
      <c r="B56" t="s">
        <v>741</v>
      </c>
      <c r="C56" t="s">
        <v>13</v>
      </c>
      <c r="D56" t="s">
        <v>193</v>
      </c>
      <c r="E56" t="s">
        <v>746</v>
      </c>
    </row>
    <row r="57" spans="1:5" x14ac:dyDescent="0.3">
      <c r="A57" t="s">
        <v>740</v>
      </c>
      <c r="B57" t="s">
        <v>742</v>
      </c>
      <c r="C57" t="s">
        <v>13</v>
      </c>
      <c r="D57" t="s">
        <v>193</v>
      </c>
      <c r="E57" t="s">
        <v>747</v>
      </c>
    </row>
    <row r="58" spans="1:5" x14ac:dyDescent="0.3">
      <c r="A58" t="s">
        <v>554</v>
      </c>
      <c r="B58" t="s">
        <v>563</v>
      </c>
      <c r="C58" t="s">
        <v>13</v>
      </c>
      <c r="D58" t="s">
        <v>193</v>
      </c>
      <c r="E58" t="s">
        <v>557</v>
      </c>
    </row>
    <row r="59" spans="1:5" x14ac:dyDescent="0.3">
      <c r="A59" t="s">
        <v>225</v>
      </c>
      <c r="B59" t="s">
        <v>564</v>
      </c>
      <c r="C59" t="s">
        <v>13</v>
      </c>
      <c r="D59" t="s">
        <v>193</v>
      </c>
      <c r="E59" t="s">
        <v>558</v>
      </c>
    </row>
    <row r="60" spans="1:5" x14ac:dyDescent="0.3">
      <c r="A60" t="s">
        <v>555</v>
      </c>
      <c r="B60" t="s">
        <v>565</v>
      </c>
      <c r="C60" t="s">
        <v>13</v>
      </c>
      <c r="D60" t="s">
        <v>193</v>
      </c>
      <c r="E60" t="s">
        <v>559</v>
      </c>
    </row>
    <row r="61" spans="1:5" x14ac:dyDescent="0.3">
      <c r="A61" t="s">
        <v>226</v>
      </c>
      <c r="B61" t="s">
        <v>566</v>
      </c>
      <c r="C61" t="s">
        <v>13</v>
      </c>
      <c r="D61" t="s">
        <v>193</v>
      </c>
      <c r="E61" t="s">
        <v>560</v>
      </c>
    </row>
    <row r="62" spans="1:5" x14ac:dyDescent="0.3">
      <c r="A62" t="s">
        <v>556</v>
      </c>
      <c r="B62" t="s">
        <v>552</v>
      </c>
      <c r="C62" t="s">
        <v>13</v>
      </c>
      <c r="D62" t="s">
        <v>193</v>
      </c>
      <c r="E62" t="s">
        <v>553</v>
      </c>
    </row>
    <row r="63" spans="1:5" x14ac:dyDescent="0.3">
      <c r="A63" t="s">
        <v>227</v>
      </c>
      <c r="B63" t="s">
        <v>562</v>
      </c>
      <c r="C63" t="s">
        <v>13</v>
      </c>
      <c r="D63" t="s">
        <v>193</v>
      </c>
      <c r="E63" t="s">
        <v>561</v>
      </c>
    </row>
    <row r="64" spans="1:5" x14ac:dyDescent="0.3">
      <c r="A64" t="s">
        <v>569</v>
      </c>
      <c r="B64" t="s">
        <v>573</v>
      </c>
      <c r="C64" t="s">
        <v>230</v>
      </c>
      <c r="D64" t="s">
        <v>113</v>
      </c>
      <c r="E64" t="s">
        <v>577</v>
      </c>
    </row>
    <row r="65" spans="1:5" x14ac:dyDescent="0.3">
      <c r="A65" t="s">
        <v>570</v>
      </c>
      <c r="B65" t="s">
        <v>574</v>
      </c>
      <c r="C65" t="s">
        <v>230</v>
      </c>
      <c r="D65" t="s">
        <v>113</v>
      </c>
      <c r="E65" t="s">
        <v>578</v>
      </c>
    </row>
    <row r="66" spans="1:5" x14ac:dyDescent="0.3">
      <c r="A66" t="s">
        <v>571</v>
      </c>
      <c r="B66" t="s">
        <v>575</v>
      </c>
      <c r="C66" t="s">
        <v>230</v>
      </c>
      <c r="D66" t="s">
        <v>113</v>
      </c>
      <c r="E66" t="s">
        <v>579</v>
      </c>
    </row>
    <row r="67" spans="1:5" x14ac:dyDescent="0.3">
      <c r="A67" t="s">
        <v>572</v>
      </c>
      <c r="B67" t="s">
        <v>576</v>
      </c>
      <c r="C67" t="s">
        <v>230</v>
      </c>
      <c r="D67" t="s">
        <v>113</v>
      </c>
      <c r="E67" t="s">
        <v>580</v>
      </c>
    </row>
    <row r="68" spans="1:5" x14ac:dyDescent="0.3">
      <c r="A68" t="s">
        <v>581</v>
      </c>
      <c r="B68" t="s">
        <v>585</v>
      </c>
      <c r="C68" t="s">
        <v>13</v>
      </c>
      <c r="D68" t="s">
        <v>193</v>
      </c>
      <c r="E68" t="s">
        <v>589</v>
      </c>
    </row>
    <row r="69" spans="1:5" x14ac:dyDescent="0.3">
      <c r="A69" t="s">
        <v>582</v>
      </c>
      <c r="B69" t="s">
        <v>586</v>
      </c>
      <c r="C69" t="s">
        <v>13</v>
      </c>
      <c r="D69" t="s">
        <v>193</v>
      </c>
      <c r="E69" t="s">
        <v>590</v>
      </c>
    </row>
    <row r="70" spans="1:5" x14ac:dyDescent="0.3">
      <c r="A70" t="s">
        <v>583</v>
      </c>
      <c r="B70" t="s">
        <v>587</v>
      </c>
      <c r="C70" t="s">
        <v>13</v>
      </c>
      <c r="D70" t="s">
        <v>193</v>
      </c>
      <c r="E70" t="s">
        <v>591</v>
      </c>
    </row>
    <row r="71" spans="1:5" x14ac:dyDescent="0.3">
      <c r="A71" t="s">
        <v>584</v>
      </c>
      <c r="B71" t="s">
        <v>588</v>
      </c>
      <c r="C71" t="s">
        <v>13</v>
      </c>
      <c r="D71" t="s">
        <v>193</v>
      </c>
      <c r="E71" t="s">
        <v>592</v>
      </c>
    </row>
    <row r="72" spans="1:5" x14ac:dyDescent="0.3">
      <c r="A72" t="s">
        <v>748</v>
      </c>
      <c r="B72" t="s">
        <v>753</v>
      </c>
      <c r="C72" t="s">
        <v>13</v>
      </c>
      <c r="D72" t="s">
        <v>193</v>
      </c>
      <c r="E72" t="s">
        <v>758</v>
      </c>
    </row>
    <row r="73" spans="1:5" x14ac:dyDescent="0.3">
      <c r="A73" t="s">
        <v>749</v>
      </c>
      <c r="B73" t="s">
        <v>754</v>
      </c>
      <c r="C73" t="s">
        <v>13</v>
      </c>
      <c r="D73" t="s">
        <v>193</v>
      </c>
      <c r="E73" t="s">
        <v>759</v>
      </c>
    </row>
    <row r="74" spans="1:5" x14ac:dyDescent="0.3">
      <c r="A74" t="s">
        <v>750</v>
      </c>
      <c r="B74" t="s">
        <v>755</v>
      </c>
      <c r="C74" t="s">
        <v>13</v>
      </c>
      <c r="D74" t="s">
        <v>193</v>
      </c>
      <c r="E74" t="s">
        <v>760</v>
      </c>
    </row>
    <row r="75" spans="1:5" x14ac:dyDescent="0.3">
      <c r="A75" t="s">
        <v>751</v>
      </c>
      <c r="B75" t="s">
        <v>756</v>
      </c>
      <c r="C75" t="s">
        <v>13</v>
      </c>
      <c r="D75" t="s">
        <v>193</v>
      </c>
      <c r="E75" t="s">
        <v>761</v>
      </c>
    </row>
    <row r="76" spans="1:5" x14ac:dyDescent="0.3">
      <c r="A76" t="s">
        <v>752</v>
      </c>
      <c r="B76" t="s">
        <v>757</v>
      </c>
      <c r="C76" t="s">
        <v>13</v>
      </c>
      <c r="D76" t="s">
        <v>193</v>
      </c>
      <c r="E76" t="s">
        <v>762</v>
      </c>
    </row>
    <row r="77" spans="1:5" x14ac:dyDescent="0.3">
      <c r="A77" t="s">
        <v>841</v>
      </c>
      <c r="B77" t="s">
        <v>841</v>
      </c>
      <c r="C77" t="s">
        <v>13</v>
      </c>
      <c r="D77" t="s">
        <v>193</v>
      </c>
      <c r="E77" t="s">
        <v>1042</v>
      </c>
    </row>
    <row r="78" spans="1:5" x14ac:dyDescent="0.3">
      <c r="A78" t="s">
        <v>842</v>
      </c>
      <c r="B78" t="s">
        <v>842</v>
      </c>
      <c r="C78" t="s">
        <v>13</v>
      </c>
      <c r="D78" t="s">
        <v>193</v>
      </c>
      <c r="E78" t="s">
        <v>1043</v>
      </c>
    </row>
    <row r="79" spans="1:5" x14ac:dyDescent="0.3">
      <c r="A79" t="s">
        <v>843</v>
      </c>
      <c r="B79" t="s">
        <v>843</v>
      </c>
      <c r="C79" t="s">
        <v>13</v>
      </c>
      <c r="D79" t="s">
        <v>193</v>
      </c>
      <c r="E79" t="s">
        <v>1044</v>
      </c>
    </row>
    <row r="80" spans="1:5" x14ac:dyDescent="0.3">
      <c r="A80" t="s">
        <v>844</v>
      </c>
      <c r="B80" t="s">
        <v>844</v>
      </c>
      <c r="C80" t="s">
        <v>13</v>
      </c>
      <c r="D80" t="s">
        <v>193</v>
      </c>
      <c r="E80" t="s">
        <v>1045</v>
      </c>
    </row>
    <row r="81" spans="1:5" x14ac:dyDescent="0.3">
      <c r="A81" t="s">
        <v>845</v>
      </c>
      <c r="B81" t="s">
        <v>845</v>
      </c>
      <c r="C81" t="s">
        <v>13</v>
      </c>
      <c r="D81" t="s">
        <v>193</v>
      </c>
      <c r="E81" t="s">
        <v>1046</v>
      </c>
    </row>
    <row r="82" spans="1:5" x14ac:dyDescent="0.3">
      <c r="A82" t="s">
        <v>846</v>
      </c>
      <c r="B82" t="s">
        <v>846</v>
      </c>
      <c r="C82" t="s">
        <v>13</v>
      </c>
      <c r="D82" t="s">
        <v>193</v>
      </c>
      <c r="E82" t="s">
        <v>1047</v>
      </c>
    </row>
    <row r="83" spans="1:5" x14ac:dyDescent="0.3">
      <c r="A83" t="s">
        <v>847</v>
      </c>
      <c r="B83" t="s">
        <v>847</v>
      </c>
      <c r="C83" t="s">
        <v>13</v>
      </c>
      <c r="D83" t="s">
        <v>193</v>
      </c>
      <c r="E83" t="s">
        <v>1048</v>
      </c>
    </row>
    <row r="84" spans="1:5" x14ac:dyDescent="0.3">
      <c r="A84" t="s">
        <v>848</v>
      </c>
      <c r="B84" t="s">
        <v>848</v>
      </c>
      <c r="C84" t="s">
        <v>13</v>
      </c>
      <c r="D84" t="s">
        <v>193</v>
      </c>
      <c r="E84" t="s">
        <v>1049</v>
      </c>
    </row>
    <row r="85" spans="1:5" x14ac:dyDescent="0.3">
      <c r="A85" t="s">
        <v>849</v>
      </c>
      <c r="B85" t="s">
        <v>849</v>
      </c>
      <c r="C85" t="s">
        <v>13</v>
      </c>
      <c r="D85" t="s">
        <v>193</v>
      </c>
      <c r="E85" t="s">
        <v>1050</v>
      </c>
    </row>
    <row r="86" spans="1:5" x14ac:dyDescent="0.3">
      <c r="A86" t="s">
        <v>850</v>
      </c>
      <c r="B86" t="s">
        <v>850</v>
      </c>
      <c r="C86" t="s">
        <v>13</v>
      </c>
      <c r="D86" t="s">
        <v>193</v>
      </c>
      <c r="E86" t="s">
        <v>1051</v>
      </c>
    </row>
    <row r="87" spans="1:5" x14ac:dyDescent="0.3">
      <c r="A87" t="s">
        <v>851</v>
      </c>
      <c r="B87" t="s">
        <v>851</v>
      </c>
      <c r="C87" t="s">
        <v>13</v>
      </c>
      <c r="D87" t="s">
        <v>193</v>
      </c>
      <c r="E87" t="s">
        <v>1052</v>
      </c>
    </row>
    <row r="88" spans="1:5" x14ac:dyDescent="0.3">
      <c r="A88" t="s">
        <v>852</v>
      </c>
      <c r="B88" t="s">
        <v>852</v>
      </c>
      <c r="C88" t="s">
        <v>13</v>
      </c>
      <c r="D88" t="s">
        <v>193</v>
      </c>
      <c r="E88" t="s">
        <v>1053</v>
      </c>
    </row>
    <row r="89" spans="1:5" x14ac:dyDescent="0.3">
      <c r="A89" t="s">
        <v>853</v>
      </c>
      <c r="B89" t="s">
        <v>853</v>
      </c>
      <c r="C89" t="s">
        <v>13</v>
      </c>
      <c r="D89" t="s">
        <v>193</v>
      </c>
      <c r="E89" t="s">
        <v>1054</v>
      </c>
    </row>
    <row r="90" spans="1:5" x14ac:dyDescent="0.3">
      <c r="A90" t="s">
        <v>854</v>
      </c>
      <c r="B90" t="s">
        <v>854</v>
      </c>
      <c r="C90" t="s">
        <v>13</v>
      </c>
      <c r="D90" t="s">
        <v>193</v>
      </c>
      <c r="E90" t="s">
        <v>1055</v>
      </c>
    </row>
    <row r="91" spans="1:5" x14ac:dyDescent="0.3">
      <c r="A91" t="s">
        <v>855</v>
      </c>
      <c r="B91" t="s">
        <v>855</v>
      </c>
      <c r="C91" t="s">
        <v>13</v>
      </c>
      <c r="D91" t="s">
        <v>193</v>
      </c>
      <c r="E91" t="s">
        <v>1056</v>
      </c>
    </row>
    <row r="92" spans="1:5" x14ac:dyDescent="0.3">
      <c r="A92" t="s">
        <v>856</v>
      </c>
      <c r="B92" t="s">
        <v>856</v>
      </c>
      <c r="C92" t="s">
        <v>13</v>
      </c>
      <c r="D92" t="s">
        <v>193</v>
      </c>
      <c r="E92" t="s">
        <v>1057</v>
      </c>
    </row>
    <row r="93" spans="1:5" x14ac:dyDescent="0.3">
      <c r="A93" t="s">
        <v>857</v>
      </c>
      <c r="B93" t="s">
        <v>857</v>
      </c>
      <c r="C93" t="s">
        <v>13</v>
      </c>
      <c r="D93" t="s">
        <v>193</v>
      </c>
      <c r="E93" t="s">
        <v>1058</v>
      </c>
    </row>
    <row r="94" spans="1:5" x14ac:dyDescent="0.3">
      <c r="A94" t="s">
        <v>858</v>
      </c>
      <c r="B94" t="s">
        <v>858</v>
      </c>
      <c r="C94" t="s">
        <v>13</v>
      </c>
      <c r="D94" t="s">
        <v>193</v>
      </c>
      <c r="E94" t="s">
        <v>1059</v>
      </c>
    </row>
    <row r="95" spans="1:5" x14ac:dyDescent="0.3">
      <c r="A95" t="s">
        <v>859</v>
      </c>
      <c r="B95" t="s">
        <v>859</v>
      </c>
      <c r="C95" t="s">
        <v>13</v>
      </c>
      <c r="D95" t="s">
        <v>193</v>
      </c>
      <c r="E95" t="s">
        <v>1060</v>
      </c>
    </row>
    <row r="96" spans="1:5" x14ac:dyDescent="0.3">
      <c r="A96" t="s">
        <v>860</v>
      </c>
      <c r="B96" t="s">
        <v>860</v>
      </c>
      <c r="C96" t="s">
        <v>13</v>
      </c>
      <c r="D96" t="s">
        <v>193</v>
      </c>
      <c r="E96" t="s">
        <v>1061</v>
      </c>
    </row>
    <row r="97" spans="1:5" x14ac:dyDescent="0.3">
      <c r="A97" t="s">
        <v>861</v>
      </c>
      <c r="B97" t="s">
        <v>861</v>
      </c>
      <c r="C97" t="s">
        <v>13</v>
      </c>
      <c r="D97" t="s">
        <v>193</v>
      </c>
      <c r="E97" t="s">
        <v>1062</v>
      </c>
    </row>
    <row r="98" spans="1:5" x14ac:dyDescent="0.3">
      <c r="A98" t="s">
        <v>862</v>
      </c>
      <c r="B98" t="s">
        <v>862</v>
      </c>
      <c r="C98" t="s">
        <v>13</v>
      </c>
      <c r="D98" t="s">
        <v>193</v>
      </c>
      <c r="E98" t="s">
        <v>1063</v>
      </c>
    </row>
    <row r="99" spans="1:5" x14ac:dyDescent="0.3">
      <c r="A99" t="s">
        <v>863</v>
      </c>
      <c r="B99" t="s">
        <v>863</v>
      </c>
      <c r="C99" t="s">
        <v>13</v>
      </c>
      <c r="D99" t="s">
        <v>193</v>
      </c>
      <c r="E99" t="s">
        <v>1064</v>
      </c>
    </row>
    <row r="100" spans="1:5" x14ac:dyDescent="0.3">
      <c r="A100" t="s">
        <v>864</v>
      </c>
      <c r="B100" t="s">
        <v>864</v>
      </c>
      <c r="C100" t="s">
        <v>13</v>
      </c>
      <c r="D100" t="s">
        <v>193</v>
      </c>
      <c r="E100" t="s">
        <v>1065</v>
      </c>
    </row>
    <row r="101" spans="1:5" x14ac:dyDescent="0.3">
      <c r="A101" t="s">
        <v>865</v>
      </c>
      <c r="B101" t="s">
        <v>865</v>
      </c>
      <c r="C101" t="s">
        <v>13</v>
      </c>
      <c r="D101" t="s">
        <v>193</v>
      </c>
      <c r="E101" t="s">
        <v>1066</v>
      </c>
    </row>
    <row r="102" spans="1:5" x14ac:dyDescent="0.3">
      <c r="A102" t="s">
        <v>866</v>
      </c>
      <c r="B102" t="s">
        <v>866</v>
      </c>
      <c r="C102" t="s">
        <v>13</v>
      </c>
      <c r="D102" t="s">
        <v>193</v>
      </c>
      <c r="E102" t="s">
        <v>1067</v>
      </c>
    </row>
    <row r="103" spans="1:5" x14ac:dyDescent="0.3">
      <c r="A103" t="s">
        <v>867</v>
      </c>
      <c r="B103" t="s">
        <v>867</v>
      </c>
      <c r="C103" t="s">
        <v>13</v>
      </c>
      <c r="D103" t="s">
        <v>193</v>
      </c>
      <c r="E103" t="s">
        <v>1068</v>
      </c>
    </row>
    <row r="104" spans="1:5" x14ac:dyDescent="0.3">
      <c r="A104" t="s">
        <v>868</v>
      </c>
      <c r="B104" t="s">
        <v>868</v>
      </c>
      <c r="C104" t="s">
        <v>13</v>
      </c>
      <c r="D104" t="s">
        <v>193</v>
      </c>
      <c r="E104" t="s">
        <v>1069</v>
      </c>
    </row>
    <row r="105" spans="1:5" x14ac:dyDescent="0.3">
      <c r="A105" t="s">
        <v>869</v>
      </c>
      <c r="B105" t="s">
        <v>869</v>
      </c>
      <c r="C105" t="s">
        <v>13</v>
      </c>
      <c r="D105" t="s">
        <v>193</v>
      </c>
      <c r="E105" t="s">
        <v>1070</v>
      </c>
    </row>
    <row r="106" spans="1:5" x14ac:dyDescent="0.3">
      <c r="A106" t="s">
        <v>870</v>
      </c>
      <c r="B106" t="s">
        <v>870</v>
      </c>
      <c r="C106" t="s">
        <v>13</v>
      </c>
      <c r="D106" t="s">
        <v>193</v>
      </c>
      <c r="E106" t="s">
        <v>1071</v>
      </c>
    </row>
    <row r="107" spans="1:5" x14ac:dyDescent="0.3">
      <c r="A107" t="s">
        <v>871</v>
      </c>
      <c r="B107" t="s">
        <v>871</v>
      </c>
      <c r="C107" t="s">
        <v>13</v>
      </c>
      <c r="D107" t="s">
        <v>193</v>
      </c>
      <c r="E107" t="s">
        <v>1072</v>
      </c>
    </row>
    <row r="108" spans="1:5" x14ac:dyDescent="0.3">
      <c r="A108" t="s">
        <v>872</v>
      </c>
      <c r="B108" t="s">
        <v>872</v>
      </c>
      <c r="C108" t="s">
        <v>13</v>
      </c>
      <c r="D108" t="s">
        <v>193</v>
      </c>
      <c r="E108" t="s">
        <v>1073</v>
      </c>
    </row>
    <row r="109" spans="1:5" x14ac:dyDescent="0.3">
      <c r="A109" t="s">
        <v>873</v>
      </c>
      <c r="B109" t="s">
        <v>873</v>
      </c>
      <c r="C109" t="s">
        <v>13</v>
      </c>
      <c r="D109" t="s">
        <v>193</v>
      </c>
      <c r="E109" t="s">
        <v>1074</v>
      </c>
    </row>
    <row r="110" spans="1:5" x14ac:dyDescent="0.3">
      <c r="A110" t="s">
        <v>874</v>
      </c>
      <c r="B110" t="s">
        <v>874</v>
      </c>
      <c r="C110" t="s">
        <v>13</v>
      </c>
      <c r="D110" t="s">
        <v>193</v>
      </c>
      <c r="E110" t="s">
        <v>1075</v>
      </c>
    </row>
    <row r="111" spans="1:5" x14ac:dyDescent="0.3">
      <c r="A111" t="s">
        <v>875</v>
      </c>
      <c r="B111" t="s">
        <v>875</v>
      </c>
      <c r="C111" t="s">
        <v>13</v>
      </c>
      <c r="D111" t="s">
        <v>193</v>
      </c>
      <c r="E111" t="s">
        <v>1076</v>
      </c>
    </row>
    <row r="112" spans="1:5" x14ac:dyDescent="0.3">
      <c r="A112" t="s">
        <v>876</v>
      </c>
      <c r="B112" t="s">
        <v>876</v>
      </c>
      <c r="C112" t="s">
        <v>13</v>
      </c>
      <c r="D112" t="s">
        <v>193</v>
      </c>
      <c r="E112" t="s">
        <v>1077</v>
      </c>
    </row>
    <row r="113" spans="1:5" x14ac:dyDescent="0.3">
      <c r="A113" t="s">
        <v>877</v>
      </c>
      <c r="B113" t="s">
        <v>877</v>
      </c>
      <c r="C113" t="s">
        <v>13</v>
      </c>
      <c r="D113" t="s">
        <v>193</v>
      </c>
      <c r="E113" t="s">
        <v>1078</v>
      </c>
    </row>
    <row r="114" spans="1:5" x14ac:dyDescent="0.3">
      <c r="A114" t="s">
        <v>878</v>
      </c>
      <c r="B114" t="s">
        <v>878</v>
      </c>
      <c r="C114" t="s">
        <v>13</v>
      </c>
      <c r="D114" t="s">
        <v>193</v>
      </c>
      <c r="E114" t="s">
        <v>1079</v>
      </c>
    </row>
    <row r="115" spans="1:5" x14ac:dyDescent="0.3">
      <c r="A115" t="s">
        <v>879</v>
      </c>
      <c r="B115" t="s">
        <v>879</v>
      </c>
      <c r="C115" t="s">
        <v>13</v>
      </c>
      <c r="D115" t="s">
        <v>193</v>
      </c>
      <c r="E115" t="s">
        <v>1080</v>
      </c>
    </row>
    <row r="116" spans="1:5" x14ac:dyDescent="0.3">
      <c r="A116" t="s">
        <v>880</v>
      </c>
      <c r="B116" t="s">
        <v>880</v>
      </c>
      <c r="C116" t="s">
        <v>13</v>
      </c>
      <c r="D116" t="s">
        <v>193</v>
      </c>
      <c r="E116" t="s">
        <v>1081</v>
      </c>
    </row>
    <row r="117" spans="1:5" x14ac:dyDescent="0.3">
      <c r="A117" t="s">
        <v>881</v>
      </c>
      <c r="B117" t="s">
        <v>881</v>
      </c>
      <c r="C117" t="s">
        <v>13</v>
      </c>
      <c r="D117" t="s">
        <v>193</v>
      </c>
      <c r="E117" t="s">
        <v>1082</v>
      </c>
    </row>
    <row r="118" spans="1:5" x14ac:dyDescent="0.3">
      <c r="A118" t="s">
        <v>882</v>
      </c>
      <c r="B118" t="s">
        <v>882</v>
      </c>
      <c r="C118" t="s">
        <v>13</v>
      </c>
      <c r="D118" t="s">
        <v>193</v>
      </c>
      <c r="E118" t="s">
        <v>1083</v>
      </c>
    </row>
    <row r="119" spans="1:5" x14ac:dyDescent="0.3">
      <c r="A119" t="s">
        <v>883</v>
      </c>
      <c r="B119" t="s">
        <v>883</v>
      </c>
      <c r="C119" t="s">
        <v>13</v>
      </c>
      <c r="D119" t="s">
        <v>193</v>
      </c>
      <c r="E119" t="s">
        <v>1084</v>
      </c>
    </row>
    <row r="120" spans="1:5" x14ac:dyDescent="0.3">
      <c r="A120" t="s">
        <v>884</v>
      </c>
      <c r="B120" t="s">
        <v>884</v>
      </c>
      <c r="C120" t="s">
        <v>13</v>
      </c>
      <c r="D120" t="s">
        <v>193</v>
      </c>
      <c r="E120" t="s">
        <v>1085</v>
      </c>
    </row>
    <row r="121" spans="1:5" x14ac:dyDescent="0.3">
      <c r="A121" t="s">
        <v>885</v>
      </c>
      <c r="B121" t="s">
        <v>885</v>
      </c>
      <c r="C121" t="s">
        <v>13</v>
      </c>
      <c r="D121" t="s">
        <v>193</v>
      </c>
      <c r="E121" t="s">
        <v>1086</v>
      </c>
    </row>
    <row r="122" spans="1:5" x14ac:dyDescent="0.3">
      <c r="A122" t="s">
        <v>886</v>
      </c>
      <c r="B122" t="s">
        <v>886</v>
      </c>
      <c r="C122" t="s">
        <v>13</v>
      </c>
      <c r="D122" t="s">
        <v>193</v>
      </c>
      <c r="E122" t="s">
        <v>1087</v>
      </c>
    </row>
    <row r="123" spans="1:5" x14ac:dyDescent="0.3">
      <c r="A123" t="s">
        <v>887</v>
      </c>
      <c r="B123" t="s">
        <v>887</v>
      </c>
      <c r="C123" t="s">
        <v>13</v>
      </c>
      <c r="D123" t="s">
        <v>193</v>
      </c>
      <c r="E123" t="s">
        <v>1088</v>
      </c>
    </row>
    <row r="124" spans="1:5" x14ac:dyDescent="0.3">
      <c r="A124" t="s">
        <v>888</v>
      </c>
      <c r="B124" t="s">
        <v>888</v>
      </c>
      <c r="C124" t="s">
        <v>13</v>
      </c>
      <c r="D124" t="s">
        <v>193</v>
      </c>
      <c r="E124" t="s">
        <v>1089</v>
      </c>
    </row>
    <row r="125" spans="1:5" x14ac:dyDescent="0.3">
      <c r="A125" t="s">
        <v>889</v>
      </c>
      <c r="B125" t="s">
        <v>889</v>
      </c>
      <c r="C125" t="s">
        <v>13</v>
      </c>
      <c r="D125" t="s">
        <v>193</v>
      </c>
      <c r="E125" t="s">
        <v>1090</v>
      </c>
    </row>
    <row r="126" spans="1:5" x14ac:dyDescent="0.3">
      <c r="A126" t="s">
        <v>890</v>
      </c>
      <c r="B126" t="s">
        <v>890</v>
      </c>
      <c r="C126" t="s">
        <v>13</v>
      </c>
      <c r="D126" t="s">
        <v>193</v>
      </c>
      <c r="E126" t="s">
        <v>1091</v>
      </c>
    </row>
    <row r="127" spans="1:5" x14ac:dyDescent="0.3">
      <c r="A127" t="s">
        <v>891</v>
      </c>
      <c r="B127" t="s">
        <v>891</v>
      </c>
      <c r="C127" t="s">
        <v>13</v>
      </c>
      <c r="D127" t="s">
        <v>193</v>
      </c>
      <c r="E127" t="s">
        <v>1092</v>
      </c>
    </row>
    <row r="128" spans="1:5" x14ac:dyDescent="0.3">
      <c r="A128" t="s">
        <v>892</v>
      </c>
      <c r="B128" t="s">
        <v>892</v>
      </c>
      <c r="C128" t="s">
        <v>13</v>
      </c>
      <c r="D128" t="s">
        <v>193</v>
      </c>
      <c r="E128" t="s">
        <v>1093</v>
      </c>
    </row>
    <row r="129" spans="1:5" x14ac:dyDescent="0.3">
      <c r="A129" t="s">
        <v>893</v>
      </c>
      <c r="B129" t="s">
        <v>893</v>
      </c>
      <c r="C129" t="s">
        <v>13</v>
      </c>
      <c r="D129" t="s">
        <v>193</v>
      </c>
      <c r="E129" t="s">
        <v>1094</v>
      </c>
    </row>
    <row r="130" spans="1:5" x14ac:dyDescent="0.3">
      <c r="A130" t="s">
        <v>894</v>
      </c>
      <c r="B130" t="s">
        <v>894</v>
      </c>
      <c r="C130" t="s">
        <v>13</v>
      </c>
      <c r="D130" t="s">
        <v>193</v>
      </c>
      <c r="E130" t="s">
        <v>1095</v>
      </c>
    </row>
    <row r="131" spans="1:5" x14ac:dyDescent="0.3">
      <c r="A131" t="s">
        <v>895</v>
      </c>
      <c r="B131" t="s">
        <v>895</v>
      </c>
      <c r="C131" t="s">
        <v>13</v>
      </c>
      <c r="D131" t="s">
        <v>193</v>
      </c>
      <c r="E131" t="s">
        <v>1096</v>
      </c>
    </row>
    <row r="132" spans="1:5" x14ac:dyDescent="0.3">
      <c r="A132" t="s">
        <v>896</v>
      </c>
      <c r="B132" t="s">
        <v>896</v>
      </c>
      <c r="C132" t="s">
        <v>13</v>
      </c>
      <c r="D132" t="s">
        <v>193</v>
      </c>
      <c r="E132" t="s">
        <v>1097</v>
      </c>
    </row>
    <row r="133" spans="1:5" x14ac:dyDescent="0.3">
      <c r="A133" t="s">
        <v>897</v>
      </c>
      <c r="B133" t="s">
        <v>897</v>
      </c>
      <c r="C133" t="s">
        <v>13</v>
      </c>
      <c r="D133" t="s">
        <v>193</v>
      </c>
      <c r="E133" t="s">
        <v>1098</v>
      </c>
    </row>
    <row r="134" spans="1:5" x14ac:dyDescent="0.3">
      <c r="A134" t="s">
        <v>898</v>
      </c>
      <c r="B134" t="s">
        <v>898</v>
      </c>
      <c r="C134" t="s">
        <v>13</v>
      </c>
      <c r="D134" t="s">
        <v>193</v>
      </c>
      <c r="E134" t="s">
        <v>1099</v>
      </c>
    </row>
    <row r="135" spans="1:5" x14ac:dyDescent="0.3">
      <c r="A135" t="s">
        <v>899</v>
      </c>
      <c r="B135" t="s">
        <v>899</v>
      </c>
      <c r="C135" t="s">
        <v>13</v>
      </c>
      <c r="D135" t="s">
        <v>193</v>
      </c>
      <c r="E135" t="s">
        <v>1100</v>
      </c>
    </row>
    <row r="136" spans="1:5" x14ac:dyDescent="0.3">
      <c r="A136" t="s">
        <v>900</v>
      </c>
      <c r="B136" t="s">
        <v>900</v>
      </c>
      <c r="C136" t="s">
        <v>13</v>
      </c>
      <c r="D136" t="s">
        <v>193</v>
      </c>
      <c r="E136" t="s">
        <v>1101</v>
      </c>
    </row>
    <row r="137" spans="1:5" x14ac:dyDescent="0.3">
      <c r="A137" t="s">
        <v>901</v>
      </c>
      <c r="B137" t="s">
        <v>901</v>
      </c>
      <c r="C137" t="s">
        <v>13</v>
      </c>
      <c r="D137" t="s">
        <v>193</v>
      </c>
      <c r="E137" t="s">
        <v>1102</v>
      </c>
    </row>
    <row r="138" spans="1:5" x14ac:dyDescent="0.3">
      <c r="A138" t="s">
        <v>902</v>
      </c>
      <c r="B138" t="s">
        <v>902</v>
      </c>
      <c r="C138" t="s">
        <v>13</v>
      </c>
      <c r="D138" t="s">
        <v>193</v>
      </c>
      <c r="E138" t="s">
        <v>1103</v>
      </c>
    </row>
    <row r="139" spans="1:5" x14ac:dyDescent="0.3">
      <c r="A139" t="s">
        <v>903</v>
      </c>
      <c r="B139" t="s">
        <v>903</v>
      </c>
      <c r="C139" t="s">
        <v>13</v>
      </c>
      <c r="D139" t="s">
        <v>193</v>
      </c>
      <c r="E139" t="s">
        <v>1104</v>
      </c>
    </row>
    <row r="140" spans="1:5" x14ac:dyDescent="0.3">
      <c r="A140" t="s">
        <v>904</v>
      </c>
      <c r="B140" t="s">
        <v>904</v>
      </c>
      <c r="C140" t="s">
        <v>13</v>
      </c>
      <c r="D140" t="s">
        <v>193</v>
      </c>
      <c r="E140" t="s">
        <v>1105</v>
      </c>
    </row>
    <row r="141" spans="1:5" x14ac:dyDescent="0.3">
      <c r="A141" t="s">
        <v>905</v>
      </c>
      <c r="B141" t="s">
        <v>905</v>
      </c>
      <c r="C141" t="s">
        <v>13</v>
      </c>
      <c r="D141" t="s">
        <v>193</v>
      </c>
      <c r="E141" t="s">
        <v>1106</v>
      </c>
    </row>
    <row r="142" spans="1:5" x14ac:dyDescent="0.3">
      <c r="A142" t="s">
        <v>906</v>
      </c>
      <c r="B142" t="s">
        <v>906</v>
      </c>
      <c r="C142" t="s">
        <v>13</v>
      </c>
      <c r="D142" t="s">
        <v>193</v>
      </c>
      <c r="E142" t="s">
        <v>1107</v>
      </c>
    </row>
    <row r="143" spans="1:5" x14ac:dyDescent="0.3">
      <c r="A143" t="s">
        <v>907</v>
      </c>
      <c r="B143" t="s">
        <v>907</v>
      </c>
      <c r="C143" t="s">
        <v>13</v>
      </c>
      <c r="D143" t="s">
        <v>193</v>
      </c>
      <c r="E143" t="s">
        <v>1108</v>
      </c>
    </row>
    <row r="144" spans="1:5" x14ac:dyDescent="0.3">
      <c r="A144" t="s">
        <v>908</v>
      </c>
      <c r="B144" t="s">
        <v>908</v>
      </c>
      <c r="C144" t="s">
        <v>13</v>
      </c>
      <c r="D144" t="s">
        <v>193</v>
      </c>
      <c r="E144" t="s">
        <v>1109</v>
      </c>
    </row>
    <row r="145" spans="1:5" x14ac:dyDescent="0.3">
      <c r="A145" t="s">
        <v>909</v>
      </c>
      <c r="B145" t="s">
        <v>909</v>
      </c>
      <c r="C145" t="s">
        <v>13</v>
      </c>
      <c r="D145" t="s">
        <v>193</v>
      </c>
      <c r="E145" t="s">
        <v>1110</v>
      </c>
    </row>
    <row r="146" spans="1:5" x14ac:dyDescent="0.3">
      <c r="A146" t="s">
        <v>910</v>
      </c>
      <c r="B146" t="s">
        <v>910</v>
      </c>
      <c r="C146" t="s">
        <v>13</v>
      </c>
      <c r="D146" t="s">
        <v>193</v>
      </c>
      <c r="E146" t="s">
        <v>1111</v>
      </c>
    </row>
    <row r="147" spans="1:5" x14ac:dyDescent="0.3">
      <c r="A147" t="s">
        <v>911</v>
      </c>
      <c r="B147" t="s">
        <v>911</v>
      </c>
      <c r="C147" t="s">
        <v>13</v>
      </c>
      <c r="D147" t="s">
        <v>193</v>
      </c>
      <c r="E147" t="s">
        <v>1112</v>
      </c>
    </row>
    <row r="148" spans="1:5" x14ac:dyDescent="0.3">
      <c r="A148" t="s">
        <v>912</v>
      </c>
      <c r="B148" t="s">
        <v>912</v>
      </c>
      <c r="C148" t="s">
        <v>13</v>
      </c>
      <c r="D148" t="s">
        <v>193</v>
      </c>
      <c r="E148" t="s">
        <v>1113</v>
      </c>
    </row>
    <row r="149" spans="1:5" x14ac:dyDescent="0.3">
      <c r="A149" t="s">
        <v>913</v>
      </c>
      <c r="B149" t="s">
        <v>913</v>
      </c>
      <c r="C149" t="s">
        <v>13</v>
      </c>
      <c r="D149" t="s">
        <v>193</v>
      </c>
      <c r="E149" t="s">
        <v>1114</v>
      </c>
    </row>
    <row r="150" spans="1:5" x14ac:dyDescent="0.3">
      <c r="A150" t="s">
        <v>914</v>
      </c>
      <c r="B150" t="s">
        <v>914</v>
      </c>
      <c r="C150" t="s">
        <v>13</v>
      </c>
      <c r="D150" t="s">
        <v>193</v>
      </c>
      <c r="E150" t="s">
        <v>1115</v>
      </c>
    </row>
    <row r="151" spans="1:5" x14ac:dyDescent="0.3">
      <c r="A151" t="s">
        <v>915</v>
      </c>
      <c r="B151" t="s">
        <v>915</v>
      </c>
      <c r="C151" t="s">
        <v>13</v>
      </c>
      <c r="D151" t="s">
        <v>193</v>
      </c>
      <c r="E151" t="s">
        <v>1116</v>
      </c>
    </row>
    <row r="152" spans="1:5" x14ac:dyDescent="0.3">
      <c r="A152" t="s">
        <v>916</v>
      </c>
      <c r="B152" t="s">
        <v>916</v>
      </c>
      <c r="C152" t="s">
        <v>13</v>
      </c>
      <c r="D152" t="s">
        <v>193</v>
      </c>
      <c r="E152" t="s">
        <v>1117</v>
      </c>
    </row>
    <row r="153" spans="1:5" x14ac:dyDescent="0.3">
      <c r="A153" t="s">
        <v>917</v>
      </c>
      <c r="B153" t="s">
        <v>917</v>
      </c>
      <c r="C153" t="s">
        <v>13</v>
      </c>
      <c r="D153" t="s">
        <v>193</v>
      </c>
      <c r="E153" t="s">
        <v>1118</v>
      </c>
    </row>
    <row r="154" spans="1:5" x14ac:dyDescent="0.3">
      <c r="A154" t="s">
        <v>918</v>
      </c>
      <c r="B154" t="s">
        <v>918</v>
      </c>
      <c r="C154" t="s">
        <v>13</v>
      </c>
      <c r="D154" t="s">
        <v>193</v>
      </c>
      <c r="E154" t="s">
        <v>1119</v>
      </c>
    </row>
    <row r="155" spans="1:5" x14ac:dyDescent="0.3">
      <c r="A155" t="s">
        <v>919</v>
      </c>
      <c r="B155" t="s">
        <v>919</v>
      </c>
      <c r="C155" t="s">
        <v>13</v>
      </c>
      <c r="D155" t="s">
        <v>193</v>
      </c>
      <c r="E155" t="s">
        <v>1120</v>
      </c>
    </row>
    <row r="156" spans="1:5" x14ac:dyDescent="0.3">
      <c r="A156" t="s">
        <v>920</v>
      </c>
      <c r="B156" t="s">
        <v>920</v>
      </c>
      <c r="C156" t="s">
        <v>13</v>
      </c>
      <c r="D156" t="s">
        <v>193</v>
      </c>
      <c r="E156" t="s">
        <v>1121</v>
      </c>
    </row>
    <row r="157" spans="1:5" x14ac:dyDescent="0.3">
      <c r="A157" t="s">
        <v>921</v>
      </c>
      <c r="B157" t="s">
        <v>921</v>
      </c>
      <c r="C157" t="s">
        <v>13</v>
      </c>
      <c r="D157" t="s">
        <v>193</v>
      </c>
      <c r="E157" t="s">
        <v>1122</v>
      </c>
    </row>
    <row r="158" spans="1:5" x14ac:dyDescent="0.3">
      <c r="A158" t="s">
        <v>922</v>
      </c>
      <c r="B158" t="s">
        <v>922</v>
      </c>
      <c r="C158" t="s">
        <v>13</v>
      </c>
      <c r="D158" t="s">
        <v>193</v>
      </c>
      <c r="E158" t="s">
        <v>1123</v>
      </c>
    </row>
    <row r="159" spans="1:5" x14ac:dyDescent="0.3">
      <c r="A159" t="s">
        <v>923</v>
      </c>
      <c r="B159" t="s">
        <v>923</v>
      </c>
      <c r="C159" t="s">
        <v>13</v>
      </c>
      <c r="D159" t="s">
        <v>193</v>
      </c>
      <c r="E159" t="s">
        <v>1124</v>
      </c>
    </row>
    <row r="160" spans="1:5" x14ac:dyDescent="0.3">
      <c r="A160" t="s">
        <v>924</v>
      </c>
      <c r="B160" t="s">
        <v>924</v>
      </c>
      <c r="C160" t="s">
        <v>13</v>
      </c>
      <c r="D160" t="s">
        <v>193</v>
      </c>
      <c r="E160" t="s">
        <v>1125</v>
      </c>
    </row>
    <row r="161" spans="1:5" x14ac:dyDescent="0.3">
      <c r="A161" t="s">
        <v>925</v>
      </c>
      <c r="B161" t="s">
        <v>925</v>
      </c>
      <c r="C161" t="s">
        <v>13</v>
      </c>
      <c r="D161" t="s">
        <v>193</v>
      </c>
      <c r="E161" t="s">
        <v>1126</v>
      </c>
    </row>
    <row r="162" spans="1:5" x14ac:dyDescent="0.3">
      <c r="A162" t="s">
        <v>926</v>
      </c>
      <c r="B162" t="s">
        <v>926</v>
      </c>
      <c r="C162" t="s">
        <v>13</v>
      </c>
      <c r="D162" t="s">
        <v>193</v>
      </c>
      <c r="E162" t="s">
        <v>1127</v>
      </c>
    </row>
    <row r="163" spans="1:5" x14ac:dyDescent="0.3">
      <c r="A163" t="s">
        <v>927</v>
      </c>
      <c r="B163" t="s">
        <v>927</v>
      </c>
      <c r="C163" t="s">
        <v>13</v>
      </c>
      <c r="D163" t="s">
        <v>193</v>
      </c>
      <c r="E163" t="s">
        <v>1128</v>
      </c>
    </row>
    <row r="164" spans="1:5" x14ac:dyDescent="0.3">
      <c r="A164" t="s">
        <v>928</v>
      </c>
      <c r="B164" t="s">
        <v>928</v>
      </c>
      <c r="C164" t="s">
        <v>13</v>
      </c>
      <c r="D164" t="s">
        <v>193</v>
      </c>
      <c r="E164" t="s">
        <v>1129</v>
      </c>
    </row>
    <row r="165" spans="1:5" x14ac:dyDescent="0.3">
      <c r="A165" t="s">
        <v>929</v>
      </c>
      <c r="B165" t="s">
        <v>929</v>
      </c>
      <c r="C165" t="s">
        <v>13</v>
      </c>
      <c r="D165" t="s">
        <v>193</v>
      </c>
      <c r="E165" t="s">
        <v>1130</v>
      </c>
    </row>
    <row r="166" spans="1:5" x14ac:dyDescent="0.3">
      <c r="A166" t="s">
        <v>930</v>
      </c>
      <c r="B166" t="s">
        <v>930</v>
      </c>
      <c r="C166" t="s">
        <v>13</v>
      </c>
      <c r="D166" t="s">
        <v>193</v>
      </c>
      <c r="E166" t="s">
        <v>1131</v>
      </c>
    </row>
    <row r="167" spans="1:5" x14ac:dyDescent="0.3">
      <c r="A167" t="s">
        <v>931</v>
      </c>
      <c r="B167" t="s">
        <v>931</v>
      </c>
      <c r="C167" t="s">
        <v>13</v>
      </c>
      <c r="D167" t="s">
        <v>193</v>
      </c>
      <c r="E167" t="s">
        <v>1132</v>
      </c>
    </row>
    <row r="168" spans="1:5" x14ac:dyDescent="0.3">
      <c r="A168" t="s">
        <v>932</v>
      </c>
      <c r="B168" t="s">
        <v>932</v>
      </c>
      <c r="C168" t="s">
        <v>13</v>
      </c>
      <c r="D168" t="s">
        <v>193</v>
      </c>
      <c r="E168" t="s">
        <v>1133</v>
      </c>
    </row>
    <row r="169" spans="1:5" x14ac:dyDescent="0.3">
      <c r="A169" t="s">
        <v>933</v>
      </c>
      <c r="B169" t="s">
        <v>933</v>
      </c>
      <c r="C169" t="s">
        <v>13</v>
      </c>
      <c r="D169" t="s">
        <v>193</v>
      </c>
      <c r="E169" t="s">
        <v>1134</v>
      </c>
    </row>
    <row r="170" spans="1:5" x14ac:dyDescent="0.3">
      <c r="A170" t="s">
        <v>934</v>
      </c>
      <c r="B170" t="s">
        <v>934</v>
      </c>
      <c r="C170" t="s">
        <v>13</v>
      </c>
      <c r="D170" t="s">
        <v>193</v>
      </c>
      <c r="E170" t="s">
        <v>1135</v>
      </c>
    </row>
    <row r="171" spans="1:5" x14ac:dyDescent="0.3">
      <c r="A171" t="s">
        <v>935</v>
      </c>
      <c r="B171" t="s">
        <v>935</v>
      </c>
      <c r="C171" t="s">
        <v>13</v>
      </c>
      <c r="D171" t="s">
        <v>193</v>
      </c>
      <c r="E171" t="s">
        <v>1136</v>
      </c>
    </row>
    <row r="172" spans="1:5" x14ac:dyDescent="0.3">
      <c r="A172" t="s">
        <v>936</v>
      </c>
      <c r="B172" t="s">
        <v>936</v>
      </c>
      <c r="C172" t="s">
        <v>13</v>
      </c>
      <c r="D172" t="s">
        <v>193</v>
      </c>
      <c r="E172" t="s">
        <v>1137</v>
      </c>
    </row>
    <row r="173" spans="1:5" x14ac:dyDescent="0.3">
      <c r="A173" t="s">
        <v>937</v>
      </c>
      <c r="B173" t="s">
        <v>937</v>
      </c>
      <c r="C173" t="s">
        <v>13</v>
      </c>
      <c r="D173" t="s">
        <v>193</v>
      </c>
      <c r="E173" t="s">
        <v>1138</v>
      </c>
    </row>
    <row r="174" spans="1:5" x14ac:dyDescent="0.3">
      <c r="A174" t="s">
        <v>938</v>
      </c>
      <c r="B174" t="s">
        <v>938</v>
      </c>
      <c r="C174" t="s">
        <v>13</v>
      </c>
      <c r="D174" t="s">
        <v>193</v>
      </c>
      <c r="E174" t="s">
        <v>1139</v>
      </c>
    </row>
    <row r="175" spans="1:5" x14ac:dyDescent="0.3">
      <c r="A175" t="s">
        <v>939</v>
      </c>
      <c r="B175" t="s">
        <v>939</v>
      </c>
      <c r="C175" t="s">
        <v>13</v>
      </c>
      <c r="D175" t="s">
        <v>193</v>
      </c>
      <c r="E175" t="s">
        <v>1140</v>
      </c>
    </row>
    <row r="176" spans="1:5" x14ac:dyDescent="0.3">
      <c r="A176" t="s">
        <v>940</v>
      </c>
      <c r="B176" t="s">
        <v>940</v>
      </c>
      <c r="C176" t="s">
        <v>13</v>
      </c>
      <c r="D176" t="s">
        <v>193</v>
      </c>
      <c r="E176" t="s">
        <v>1141</v>
      </c>
    </row>
    <row r="177" spans="1:5" x14ac:dyDescent="0.3">
      <c r="A177" t="s">
        <v>941</v>
      </c>
      <c r="B177" t="s">
        <v>941</v>
      </c>
      <c r="C177" t="s">
        <v>13</v>
      </c>
      <c r="D177" t="s">
        <v>193</v>
      </c>
      <c r="E177" t="s">
        <v>1142</v>
      </c>
    </row>
    <row r="178" spans="1:5" x14ac:dyDescent="0.3">
      <c r="A178" t="s">
        <v>942</v>
      </c>
      <c r="B178" t="s">
        <v>942</v>
      </c>
      <c r="C178" t="s">
        <v>13</v>
      </c>
      <c r="D178" t="s">
        <v>193</v>
      </c>
      <c r="E178" t="s">
        <v>1143</v>
      </c>
    </row>
    <row r="179" spans="1:5" x14ac:dyDescent="0.3">
      <c r="A179" t="s">
        <v>943</v>
      </c>
      <c r="B179" t="s">
        <v>943</v>
      </c>
      <c r="C179" t="s">
        <v>13</v>
      </c>
      <c r="D179" t="s">
        <v>193</v>
      </c>
      <c r="E179" t="s">
        <v>1144</v>
      </c>
    </row>
    <row r="180" spans="1:5" x14ac:dyDescent="0.3">
      <c r="A180" t="s">
        <v>944</v>
      </c>
      <c r="B180" t="s">
        <v>944</v>
      </c>
      <c r="C180" t="s">
        <v>13</v>
      </c>
      <c r="D180" t="s">
        <v>193</v>
      </c>
      <c r="E180" t="s">
        <v>1145</v>
      </c>
    </row>
    <row r="181" spans="1:5" x14ac:dyDescent="0.3">
      <c r="A181" t="s">
        <v>945</v>
      </c>
      <c r="B181" t="s">
        <v>945</v>
      </c>
      <c r="C181" t="s">
        <v>13</v>
      </c>
      <c r="D181" t="s">
        <v>193</v>
      </c>
      <c r="E181" t="s">
        <v>1146</v>
      </c>
    </row>
    <row r="182" spans="1:5" x14ac:dyDescent="0.3">
      <c r="A182" t="s">
        <v>946</v>
      </c>
      <c r="B182" t="s">
        <v>946</v>
      </c>
      <c r="C182" t="s">
        <v>13</v>
      </c>
      <c r="D182" t="s">
        <v>193</v>
      </c>
      <c r="E182" t="s">
        <v>1147</v>
      </c>
    </row>
    <row r="183" spans="1:5" x14ac:dyDescent="0.3">
      <c r="A183" t="s">
        <v>947</v>
      </c>
      <c r="B183" t="s">
        <v>947</v>
      </c>
      <c r="C183" t="s">
        <v>13</v>
      </c>
      <c r="D183" t="s">
        <v>193</v>
      </c>
      <c r="E183" t="s">
        <v>1148</v>
      </c>
    </row>
    <row r="184" spans="1:5" x14ac:dyDescent="0.3">
      <c r="A184" t="s">
        <v>948</v>
      </c>
      <c r="B184" t="s">
        <v>948</v>
      </c>
      <c r="C184" t="s">
        <v>13</v>
      </c>
      <c r="D184" t="s">
        <v>193</v>
      </c>
      <c r="E184" t="s">
        <v>1149</v>
      </c>
    </row>
    <row r="185" spans="1:5" x14ac:dyDescent="0.3">
      <c r="A185" t="s">
        <v>949</v>
      </c>
      <c r="B185" t="s">
        <v>949</v>
      </c>
      <c r="C185" t="s">
        <v>13</v>
      </c>
      <c r="D185" t="s">
        <v>193</v>
      </c>
      <c r="E185" t="s">
        <v>1150</v>
      </c>
    </row>
    <row r="186" spans="1:5" x14ac:dyDescent="0.3">
      <c r="A186" t="s">
        <v>950</v>
      </c>
      <c r="B186" t="s">
        <v>950</v>
      </c>
      <c r="C186" t="s">
        <v>13</v>
      </c>
      <c r="D186" t="s">
        <v>193</v>
      </c>
      <c r="E186" t="s">
        <v>1151</v>
      </c>
    </row>
    <row r="187" spans="1:5" x14ac:dyDescent="0.3">
      <c r="A187" t="s">
        <v>951</v>
      </c>
      <c r="B187" t="s">
        <v>951</v>
      </c>
      <c r="C187" t="s">
        <v>13</v>
      </c>
      <c r="D187" t="s">
        <v>193</v>
      </c>
      <c r="E187" t="s">
        <v>1152</v>
      </c>
    </row>
    <row r="188" spans="1:5" x14ac:dyDescent="0.3">
      <c r="A188" t="s">
        <v>952</v>
      </c>
      <c r="B188" t="s">
        <v>952</v>
      </c>
      <c r="C188" t="s">
        <v>13</v>
      </c>
      <c r="D188" t="s">
        <v>193</v>
      </c>
      <c r="E188" t="s">
        <v>1153</v>
      </c>
    </row>
    <row r="189" spans="1:5" x14ac:dyDescent="0.3">
      <c r="A189" t="s">
        <v>953</v>
      </c>
      <c r="B189" t="s">
        <v>953</v>
      </c>
      <c r="C189" t="s">
        <v>13</v>
      </c>
      <c r="D189" t="s">
        <v>193</v>
      </c>
      <c r="E189" t="s">
        <v>1154</v>
      </c>
    </row>
    <row r="190" spans="1:5" x14ac:dyDescent="0.3">
      <c r="A190" t="s">
        <v>954</v>
      </c>
      <c r="B190" t="s">
        <v>954</v>
      </c>
      <c r="C190" t="s">
        <v>13</v>
      </c>
      <c r="D190" t="s">
        <v>193</v>
      </c>
      <c r="E190" t="s">
        <v>1155</v>
      </c>
    </row>
    <row r="191" spans="1:5" x14ac:dyDescent="0.3">
      <c r="A191" t="s">
        <v>955</v>
      </c>
      <c r="B191" t="s">
        <v>955</v>
      </c>
      <c r="C191" t="s">
        <v>13</v>
      </c>
      <c r="D191" t="s">
        <v>193</v>
      </c>
      <c r="E191" t="s">
        <v>1156</v>
      </c>
    </row>
    <row r="192" spans="1:5" x14ac:dyDescent="0.3">
      <c r="A192" t="s">
        <v>956</v>
      </c>
      <c r="B192" t="s">
        <v>956</v>
      </c>
      <c r="C192" t="s">
        <v>13</v>
      </c>
      <c r="D192" t="s">
        <v>193</v>
      </c>
      <c r="E192" t="s">
        <v>1157</v>
      </c>
    </row>
    <row r="193" spans="1:5" x14ac:dyDescent="0.3">
      <c r="A193" t="s">
        <v>957</v>
      </c>
      <c r="B193" t="s">
        <v>957</v>
      </c>
      <c r="C193" t="s">
        <v>13</v>
      </c>
      <c r="D193" t="s">
        <v>193</v>
      </c>
      <c r="E193" t="s">
        <v>1158</v>
      </c>
    </row>
    <row r="194" spans="1:5" x14ac:dyDescent="0.3">
      <c r="A194" t="s">
        <v>958</v>
      </c>
      <c r="B194" t="s">
        <v>958</v>
      </c>
      <c r="C194" t="s">
        <v>13</v>
      </c>
      <c r="D194" t="s">
        <v>193</v>
      </c>
      <c r="E194" t="s">
        <v>1159</v>
      </c>
    </row>
    <row r="195" spans="1:5" x14ac:dyDescent="0.3">
      <c r="A195" t="s">
        <v>959</v>
      </c>
      <c r="B195" t="s">
        <v>959</v>
      </c>
      <c r="C195" t="s">
        <v>13</v>
      </c>
      <c r="D195" t="s">
        <v>193</v>
      </c>
      <c r="E195" t="s">
        <v>1160</v>
      </c>
    </row>
    <row r="196" spans="1:5" x14ac:dyDescent="0.3">
      <c r="A196" t="s">
        <v>960</v>
      </c>
      <c r="B196" t="s">
        <v>960</v>
      </c>
      <c r="C196" t="s">
        <v>13</v>
      </c>
      <c r="D196" t="s">
        <v>193</v>
      </c>
      <c r="E196" t="s">
        <v>1161</v>
      </c>
    </row>
    <row r="197" spans="1:5" x14ac:dyDescent="0.3">
      <c r="A197" t="s">
        <v>961</v>
      </c>
      <c r="B197" t="s">
        <v>961</v>
      </c>
      <c r="C197" t="s">
        <v>13</v>
      </c>
      <c r="D197" t="s">
        <v>193</v>
      </c>
      <c r="E197" t="s">
        <v>1162</v>
      </c>
    </row>
    <row r="198" spans="1:5" x14ac:dyDescent="0.3">
      <c r="A198" t="s">
        <v>962</v>
      </c>
      <c r="B198" t="s">
        <v>962</v>
      </c>
      <c r="C198" t="s">
        <v>13</v>
      </c>
      <c r="D198" t="s">
        <v>193</v>
      </c>
      <c r="E198" t="s">
        <v>1163</v>
      </c>
    </row>
    <row r="199" spans="1:5" x14ac:dyDescent="0.3">
      <c r="A199" t="s">
        <v>963</v>
      </c>
      <c r="B199" t="s">
        <v>963</v>
      </c>
      <c r="C199" t="s">
        <v>13</v>
      </c>
      <c r="D199" t="s">
        <v>193</v>
      </c>
      <c r="E199" t="s">
        <v>1164</v>
      </c>
    </row>
    <row r="200" spans="1:5" x14ac:dyDescent="0.3">
      <c r="A200" t="s">
        <v>964</v>
      </c>
      <c r="B200" t="s">
        <v>964</v>
      </c>
      <c r="C200" t="s">
        <v>13</v>
      </c>
      <c r="D200" t="s">
        <v>193</v>
      </c>
      <c r="E200" t="s">
        <v>1165</v>
      </c>
    </row>
    <row r="201" spans="1:5" x14ac:dyDescent="0.3">
      <c r="A201" t="s">
        <v>965</v>
      </c>
      <c r="B201" t="s">
        <v>965</v>
      </c>
      <c r="C201" t="s">
        <v>13</v>
      </c>
      <c r="D201" t="s">
        <v>193</v>
      </c>
      <c r="E201" t="s">
        <v>1166</v>
      </c>
    </row>
    <row r="202" spans="1:5" x14ac:dyDescent="0.3">
      <c r="A202" t="s">
        <v>966</v>
      </c>
      <c r="B202" t="s">
        <v>966</v>
      </c>
      <c r="C202" t="s">
        <v>13</v>
      </c>
      <c r="D202" t="s">
        <v>193</v>
      </c>
      <c r="E202" t="s">
        <v>1167</v>
      </c>
    </row>
    <row r="203" spans="1:5" x14ac:dyDescent="0.3">
      <c r="A203" t="s">
        <v>967</v>
      </c>
      <c r="B203" t="s">
        <v>967</v>
      </c>
      <c r="C203" t="s">
        <v>13</v>
      </c>
      <c r="D203" t="s">
        <v>193</v>
      </c>
      <c r="E203" t="s">
        <v>1168</v>
      </c>
    </row>
    <row r="204" spans="1:5" x14ac:dyDescent="0.3">
      <c r="A204" t="s">
        <v>968</v>
      </c>
      <c r="B204" t="s">
        <v>968</v>
      </c>
      <c r="C204" t="s">
        <v>13</v>
      </c>
      <c r="D204" t="s">
        <v>193</v>
      </c>
      <c r="E204" t="s">
        <v>1169</v>
      </c>
    </row>
    <row r="205" spans="1:5" x14ac:dyDescent="0.3">
      <c r="A205" t="s">
        <v>969</v>
      </c>
      <c r="B205" t="s">
        <v>969</v>
      </c>
      <c r="C205" t="s">
        <v>13</v>
      </c>
      <c r="D205" t="s">
        <v>193</v>
      </c>
      <c r="E205" t="s">
        <v>1170</v>
      </c>
    </row>
    <row r="206" spans="1:5" x14ac:dyDescent="0.3">
      <c r="A206" t="s">
        <v>970</v>
      </c>
      <c r="B206" t="s">
        <v>970</v>
      </c>
      <c r="C206" t="s">
        <v>13</v>
      </c>
      <c r="D206" t="s">
        <v>193</v>
      </c>
      <c r="E206" t="s">
        <v>1171</v>
      </c>
    </row>
    <row r="207" spans="1:5" x14ac:dyDescent="0.3">
      <c r="A207" t="s">
        <v>971</v>
      </c>
      <c r="B207" t="s">
        <v>971</v>
      </c>
      <c r="C207" t="s">
        <v>13</v>
      </c>
      <c r="D207" t="s">
        <v>193</v>
      </c>
      <c r="E207" t="s">
        <v>1172</v>
      </c>
    </row>
    <row r="208" spans="1:5" x14ac:dyDescent="0.3">
      <c r="A208" t="s">
        <v>972</v>
      </c>
      <c r="B208" t="s">
        <v>972</v>
      </c>
      <c r="C208" t="s">
        <v>13</v>
      </c>
      <c r="D208" t="s">
        <v>193</v>
      </c>
      <c r="E208" t="s">
        <v>1173</v>
      </c>
    </row>
    <row r="209" spans="1:5" x14ac:dyDescent="0.3">
      <c r="A209" t="s">
        <v>973</v>
      </c>
      <c r="B209" t="s">
        <v>973</v>
      </c>
      <c r="C209" t="s">
        <v>13</v>
      </c>
      <c r="D209" t="s">
        <v>193</v>
      </c>
      <c r="E209" t="s">
        <v>1174</v>
      </c>
    </row>
    <row r="210" spans="1:5" x14ac:dyDescent="0.3">
      <c r="A210" t="s">
        <v>974</v>
      </c>
      <c r="B210" t="s">
        <v>974</v>
      </c>
      <c r="C210" t="s">
        <v>13</v>
      </c>
      <c r="D210" t="s">
        <v>193</v>
      </c>
      <c r="E210" t="s">
        <v>1175</v>
      </c>
    </row>
    <row r="211" spans="1:5" x14ac:dyDescent="0.3">
      <c r="A211" t="s">
        <v>975</v>
      </c>
      <c r="B211" t="s">
        <v>975</v>
      </c>
      <c r="C211" t="s">
        <v>13</v>
      </c>
      <c r="D211" t="s">
        <v>193</v>
      </c>
      <c r="E211" t="s">
        <v>1176</v>
      </c>
    </row>
    <row r="212" spans="1:5" x14ac:dyDescent="0.3">
      <c r="A212" t="s">
        <v>976</v>
      </c>
      <c r="B212" t="s">
        <v>976</v>
      </c>
      <c r="C212" t="s">
        <v>13</v>
      </c>
      <c r="D212" t="s">
        <v>193</v>
      </c>
      <c r="E212" t="s">
        <v>1177</v>
      </c>
    </row>
    <row r="213" spans="1:5" x14ac:dyDescent="0.3">
      <c r="A213" t="s">
        <v>977</v>
      </c>
      <c r="B213" t="s">
        <v>977</v>
      </c>
      <c r="C213" t="s">
        <v>13</v>
      </c>
      <c r="D213" t="s">
        <v>193</v>
      </c>
      <c r="E213" t="s">
        <v>1178</v>
      </c>
    </row>
    <row r="214" spans="1:5" x14ac:dyDescent="0.3">
      <c r="A214" t="s">
        <v>978</v>
      </c>
      <c r="B214" t="s">
        <v>978</v>
      </c>
      <c r="C214" t="s">
        <v>13</v>
      </c>
      <c r="D214" t="s">
        <v>193</v>
      </c>
      <c r="E214" t="s">
        <v>1179</v>
      </c>
    </row>
    <row r="215" spans="1:5" x14ac:dyDescent="0.3">
      <c r="A215" t="s">
        <v>979</v>
      </c>
      <c r="B215" t="s">
        <v>979</v>
      </c>
      <c r="C215" t="s">
        <v>13</v>
      </c>
      <c r="D215" t="s">
        <v>193</v>
      </c>
      <c r="E215" t="s">
        <v>1180</v>
      </c>
    </row>
    <row r="216" spans="1:5" x14ac:dyDescent="0.3">
      <c r="A216" t="s">
        <v>980</v>
      </c>
      <c r="B216" t="s">
        <v>980</v>
      </c>
      <c r="C216" t="s">
        <v>13</v>
      </c>
      <c r="D216" t="s">
        <v>193</v>
      </c>
      <c r="E216" t="s">
        <v>1181</v>
      </c>
    </row>
    <row r="217" spans="1:5" x14ac:dyDescent="0.3">
      <c r="A217" t="s">
        <v>981</v>
      </c>
      <c r="B217" t="s">
        <v>981</v>
      </c>
      <c r="C217" t="s">
        <v>13</v>
      </c>
      <c r="D217" t="s">
        <v>193</v>
      </c>
      <c r="E217" t="s">
        <v>1182</v>
      </c>
    </row>
    <row r="218" spans="1:5" x14ac:dyDescent="0.3">
      <c r="A218" t="s">
        <v>982</v>
      </c>
      <c r="B218" t="s">
        <v>982</v>
      </c>
      <c r="C218" t="s">
        <v>13</v>
      </c>
      <c r="D218" t="s">
        <v>193</v>
      </c>
      <c r="E218" t="s">
        <v>1183</v>
      </c>
    </row>
    <row r="219" spans="1:5" x14ac:dyDescent="0.3">
      <c r="A219" t="s">
        <v>983</v>
      </c>
      <c r="B219" t="s">
        <v>983</v>
      </c>
      <c r="C219" t="s">
        <v>13</v>
      </c>
      <c r="D219" t="s">
        <v>193</v>
      </c>
      <c r="E219" t="s">
        <v>1184</v>
      </c>
    </row>
    <row r="220" spans="1:5" x14ac:dyDescent="0.3">
      <c r="A220" t="s">
        <v>984</v>
      </c>
      <c r="B220" t="s">
        <v>984</v>
      </c>
      <c r="C220" t="s">
        <v>13</v>
      </c>
      <c r="D220" t="s">
        <v>193</v>
      </c>
      <c r="E220" t="s">
        <v>1185</v>
      </c>
    </row>
    <row r="221" spans="1:5" x14ac:dyDescent="0.3">
      <c r="A221" t="s">
        <v>985</v>
      </c>
      <c r="B221" t="s">
        <v>985</v>
      </c>
      <c r="C221" t="s">
        <v>13</v>
      </c>
      <c r="D221" t="s">
        <v>193</v>
      </c>
      <c r="E221" t="s">
        <v>1186</v>
      </c>
    </row>
    <row r="222" spans="1:5" x14ac:dyDescent="0.3">
      <c r="A222" t="s">
        <v>986</v>
      </c>
      <c r="B222" t="s">
        <v>986</v>
      </c>
      <c r="C222" t="s">
        <v>13</v>
      </c>
      <c r="D222" t="s">
        <v>193</v>
      </c>
      <c r="E222" t="s">
        <v>1187</v>
      </c>
    </row>
    <row r="223" spans="1:5" x14ac:dyDescent="0.3">
      <c r="A223" t="s">
        <v>987</v>
      </c>
      <c r="B223" t="s">
        <v>987</v>
      </c>
      <c r="C223" t="s">
        <v>13</v>
      </c>
      <c r="D223" t="s">
        <v>193</v>
      </c>
      <c r="E223" t="s">
        <v>1188</v>
      </c>
    </row>
    <row r="224" spans="1:5" x14ac:dyDescent="0.3">
      <c r="A224" t="s">
        <v>988</v>
      </c>
      <c r="B224" t="s">
        <v>988</v>
      </c>
      <c r="C224" t="s">
        <v>13</v>
      </c>
      <c r="D224" t="s">
        <v>193</v>
      </c>
      <c r="E224" t="s">
        <v>1189</v>
      </c>
    </row>
    <row r="225" spans="1:5" x14ac:dyDescent="0.3">
      <c r="A225" t="s">
        <v>989</v>
      </c>
      <c r="B225" t="s">
        <v>989</v>
      </c>
      <c r="C225" t="s">
        <v>13</v>
      </c>
      <c r="D225" t="s">
        <v>193</v>
      </c>
      <c r="E225" t="s">
        <v>1190</v>
      </c>
    </row>
    <row r="226" spans="1:5" x14ac:dyDescent="0.3">
      <c r="A226" t="s">
        <v>990</v>
      </c>
      <c r="B226" t="s">
        <v>990</v>
      </c>
      <c r="C226" t="s">
        <v>13</v>
      </c>
      <c r="D226" t="s">
        <v>193</v>
      </c>
      <c r="E226" t="s">
        <v>1191</v>
      </c>
    </row>
    <row r="227" spans="1:5" x14ac:dyDescent="0.3">
      <c r="A227" t="s">
        <v>991</v>
      </c>
      <c r="B227" t="s">
        <v>991</v>
      </c>
      <c r="C227" t="s">
        <v>13</v>
      </c>
      <c r="D227" t="s">
        <v>193</v>
      </c>
      <c r="E227" t="s">
        <v>1192</v>
      </c>
    </row>
    <row r="228" spans="1:5" x14ac:dyDescent="0.3">
      <c r="A228" t="s">
        <v>992</v>
      </c>
      <c r="B228" t="s">
        <v>992</v>
      </c>
      <c r="C228" t="s">
        <v>13</v>
      </c>
      <c r="D228" t="s">
        <v>193</v>
      </c>
      <c r="E228" t="s">
        <v>1193</v>
      </c>
    </row>
    <row r="229" spans="1:5" x14ac:dyDescent="0.3">
      <c r="A229" t="s">
        <v>993</v>
      </c>
      <c r="B229" t="s">
        <v>993</v>
      </c>
      <c r="C229" t="s">
        <v>13</v>
      </c>
      <c r="D229" t="s">
        <v>193</v>
      </c>
      <c r="E229" t="s">
        <v>1194</v>
      </c>
    </row>
    <row r="230" spans="1:5" x14ac:dyDescent="0.3">
      <c r="A230" t="s">
        <v>994</v>
      </c>
      <c r="B230" t="s">
        <v>994</v>
      </c>
      <c r="C230" t="s">
        <v>13</v>
      </c>
      <c r="D230" t="s">
        <v>193</v>
      </c>
      <c r="E230" t="s">
        <v>1195</v>
      </c>
    </row>
    <row r="231" spans="1:5" x14ac:dyDescent="0.3">
      <c r="A231" t="s">
        <v>995</v>
      </c>
      <c r="B231" t="s">
        <v>995</v>
      </c>
      <c r="C231" t="s">
        <v>13</v>
      </c>
      <c r="D231" t="s">
        <v>193</v>
      </c>
      <c r="E231" t="s">
        <v>1196</v>
      </c>
    </row>
    <row r="232" spans="1:5" x14ac:dyDescent="0.3">
      <c r="A232" t="s">
        <v>996</v>
      </c>
      <c r="B232" t="s">
        <v>996</v>
      </c>
      <c r="C232" t="s">
        <v>13</v>
      </c>
      <c r="D232" t="s">
        <v>193</v>
      </c>
      <c r="E232" t="s">
        <v>1197</v>
      </c>
    </row>
    <row r="233" spans="1:5" x14ac:dyDescent="0.3">
      <c r="A233" t="s">
        <v>997</v>
      </c>
      <c r="B233" t="s">
        <v>997</v>
      </c>
      <c r="C233" t="s">
        <v>13</v>
      </c>
      <c r="D233" t="s">
        <v>193</v>
      </c>
      <c r="E233" t="s">
        <v>1198</v>
      </c>
    </row>
    <row r="234" spans="1:5" x14ac:dyDescent="0.3">
      <c r="A234" t="s">
        <v>998</v>
      </c>
      <c r="B234" t="s">
        <v>998</v>
      </c>
      <c r="C234" t="s">
        <v>13</v>
      </c>
      <c r="D234" t="s">
        <v>193</v>
      </c>
      <c r="E234" t="s">
        <v>1199</v>
      </c>
    </row>
    <row r="235" spans="1:5" x14ac:dyDescent="0.3">
      <c r="A235" t="s">
        <v>999</v>
      </c>
      <c r="B235" t="s">
        <v>999</v>
      </c>
      <c r="C235" t="s">
        <v>13</v>
      </c>
      <c r="D235" t="s">
        <v>193</v>
      </c>
      <c r="E235" t="s">
        <v>1200</v>
      </c>
    </row>
    <row r="236" spans="1:5" x14ac:dyDescent="0.3">
      <c r="A236" t="s">
        <v>1000</v>
      </c>
      <c r="B236" t="s">
        <v>1000</v>
      </c>
      <c r="C236" t="s">
        <v>13</v>
      </c>
      <c r="D236" t="s">
        <v>193</v>
      </c>
      <c r="E236" t="s">
        <v>1201</v>
      </c>
    </row>
    <row r="237" spans="1:5" x14ac:dyDescent="0.3">
      <c r="A237" t="s">
        <v>1001</v>
      </c>
      <c r="B237" t="s">
        <v>1001</v>
      </c>
      <c r="C237" t="s">
        <v>13</v>
      </c>
      <c r="D237" t="s">
        <v>193</v>
      </c>
      <c r="E237" t="s">
        <v>1202</v>
      </c>
    </row>
    <row r="238" spans="1:5" x14ac:dyDescent="0.3">
      <c r="A238" t="s">
        <v>1002</v>
      </c>
      <c r="B238" t="s">
        <v>1002</v>
      </c>
      <c r="C238" t="s">
        <v>13</v>
      </c>
      <c r="D238" t="s">
        <v>193</v>
      </c>
      <c r="E238" t="s">
        <v>1203</v>
      </c>
    </row>
    <row r="239" spans="1:5" x14ac:dyDescent="0.3">
      <c r="A239" t="s">
        <v>1003</v>
      </c>
      <c r="B239" t="s">
        <v>1003</v>
      </c>
      <c r="C239" t="s">
        <v>13</v>
      </c>
      <c r="D239" t="s">
        <v>193</v>
      </c>
      <c r="E239" t="s">
        <v>1204</v>
      </c>
    </row>
    <row r="240" spans="1:5" x14ac:dyDescent="0.3">
      <c r="A240" t="s">
        <v>1004</v>
      </c>
      <c r="B240" t="s">
        <v>1004</v>
      </c>
      <c r="C240" t="s">
        <v>13</v>
      </c>
      <c r="D240" t="s">
        <v>193</v>
      </c>
      <c r="E240" t="s">
        <v>1205</v>
      </c>
    </row>
    <row r="241" spans="1:5" x14ac:dyDescent="0.3">
      <c r="A241" t="s">
        <v>1005</v>
      </c>
      <c r="B241" t="s">
        <v>1005</v>
      </c>
      <c r="C241" t="s">
        <v>13</v>
      </c>
      <c r="D241" t="s">
        <v>193</v>
      </c>
      <c r="E241" t="s">
        <v>1206</v>
      </c>
    </row>
    <row r="242" spans="1:5" x14ac:dyDescent="0.3">
      <c r="A242" t="s">
        <v>1006</v>
      </c>
      <c r="B242" t="s">
        <v>1006</v>
      </c>
      <c r="C242" t="s">
        <v>13</v>
      </c>
      <c r="D242" t="s">
        <v>193</v>
      </c>
      <c r="E242" t="s">
        <v>1207</v>
      </c>
    </row>
    <row r="243" spans="1:5" x14ac:dyDescent="0.3">
      <c r="A243" t="s">
        <v>1007</v>
      </c>
      <c r="B243" t="s">
        <v>1007</v>
      </c>
      <c r="C243" t="s">
        <v>13</v>
      </c>
      <c r="D243" t="s">
        <v>193</v>
      </c>
      <c r="E243" t="s">
        <v>1208</v>
      </c>
    </row>
    <row r="244" spans="1:5" x14ac:dyDescent="0.3">
      <c r="A244" t="s">
        <v>1008</v>
      </c>
      <c r="B244" t="s">
        <v>1008</v>
      </c>
      <c r="C244" t="s">
        <v>13</v>
      </c>
      <c r="D244" t="s">
        <v>193</v>
      </c>
      <c r="E244" t="s">
        <v>1209</v>
      </c>
    </row>
    <row r="245" spans="1:5" x14ac:dyDescent="0.3">
      <c r="A245" t="s">
        <v>1009</v>
      </c>
      <c r="B245" t="s">
        <v>1009</v>
      </c>
      <c r="C245" t="s">
        <v>13</v>
      </c>
      <c r="D245" t="s">
        <v>193</v>
      </c>
      <c r="E245" t="s">
        <v>1210</v>
      </c>
    </row>
    <row r="246" spans="1:5" x14ac:dyDescent="0.3">
      <c r="A246" t="s">
        <v>1010</v>
      </c>
      <c r="B246" t="s">
        <v>1010</v>
      </c>
      <c r="C246" t="s">
        <v>13</v>
      </c>
      <c r="D246" t="s">
        <v>193</v>
      </c>
      <c r="E246" t="s">
        <v>1211</v>
      </c>
    </row>
    <row r="247" spans="1:5" x14ac:dyDescent="0.3">
      <c r="A247" t="s">
        <v>1011</v>
      </c>
      <c r="B247" t="s">
        <v>1011</v>
      </c>
      <c r="C247" t="s">
        <v>13</v>
      </c>
      <c r="D247" t="s">
        <v>193</v>
      </c>
      <c r="E247" t="s">
        <v>1212</v>
      </c>
    </row>
    <row r="248" spans="1:5" x14ac:dyDescent="0.3">
      <c r="A248" t="s">
        <v>1012</v>
      </c>
      <c r="B248" t="s">
        <v>1012</v>
      </c>
      <c r="C248" t="s">
        <v>13</v>
      </c>
      <c r="D248" t="s">
        <v>193</v>
      </c>
      <c r="E248" t="s">
        <v>1213</v>
      </c>
    </row>
    <row r="249" spans="1:5" x14ac:dyDescent="0.3">
      <c r="A249" t="s">
        <v>1013</v>
      </c>
      <c r="B249" t="s">
        <v>1013</v>
      </c>
      <c r="C249" t="s">
        <v>13</v>
      </c>
      <c r="D249" t="s">
        <v>193</v>
      </c>
      <c r="E249" t="s">
        <v>1214</v>
      </c>
    </row>
    <row r="250" spans="1:5" x14ac:dyDescent="0.3">
      <c r="A250" t="s">
        <v>1014</v>
      </c>
      <c r="B250" t="s">
        <v>1014</v>
      </c>
      <c r="C250" t="s">
        <v>13</v>
      </c>
      <c r="D250" t="s">
        <v>193</v>
      </c>
      <c r="E250" t="s">
        <v>1215</v>
      </c>
    </row>
    <row r="251" spans="1:5" x14ac:dyDescent="0.3">
      <c r="A251" t="s">
        <v>1015</v>
      </c>
      <c r="B251" t="s">
        <v>1015</v>
      </c>
      <c r="C251" t="s">
        <v>13</v>
      </c>
      <c r="D251" t="s">
        <v>193</v>
      </c>
      <c r="E251" t="s">
        <v>1216</v>
      </c>
    </row>
    <row r="252" spans="1:5" x14ac:dyDescent="0.3">
      <c r="A252" t="s">
        <v>1016</v>
      </c>
      <c r="B252" t="s">
        <v>1016</v>
      </c>
      <c r="C252" t="s">
        <v>13</v>
      </c>
      <c r="D252" t="s">
        <v>193</v>
      </c>
      <c r="E252" t="s">
        <v>1217</v>
      </c>
    </row>
    <row r="253" spans="1:5" x14ac:dyDescent="0.3">
      <c r="A253" t="s">
        <v>1017</v>
      </c>
      <c r="B253" t="s">
        <v>1017</v>
      </c>
      <c r="C253" t="s">
        <v>13</v>
      </c>
      <c r="D253" t="s">
        <v>193</v>
      </c>
      <c r="E253" t="s">
        <v>1218</v>
      </c>
    </row>
    <row r="254" spans="1:5" x14ac:dyDescent="0.3">
      <c r="A254" t="s">
        <v>1018</v>
      </c>
      <c r="B254" t="s">
        <v>1018</v>
      </c>
      <c r="C254" t="s">
        <v>13</v>
      </c>
      <c r="D254" t="s">
        <v>193</v>
      </c>
      <c r="E254" t="s">
        <v>1219</v>
      </c>
    </row>
    <row r="255" spans="1:5" x14ac:dyDescent="0.3">
      <c r="A255" t="s">
        <v>1019</v>
      </c>
      <c r="B255" t="s">
        <v>1019</v>
      </c>
      <c r="C255" t="s">
        <v>13</v>
      </c>
      <c r="D255" t="s">
        <v>193</v>
      </c>
      <c r="E255" t="s">
        <v>1220</v>
      </c>
    </row>
    <row r="256" spans="1:5" x14ac:dyDescent="0.3">
      <c r="A256" t="s">
        <v>1020</v>
      </c>
      <c r="B256" t="s">
        <v>1020</v>
      </c>
      <c r="C256" t="s">
        <v>13</v>
      </c>
      <c r="D256" t="s">
        <v>193</v>
      </c>
      <c r="E256" t="s">
        <v>1221</v>
      </c>
    </row>
    <row r="257" spans="1:5" x14ac:dyDescent="0.3">
      <c r="A257" t="s">
        <v>1021</v>
      </c>
      <c r="B257" t="s">
        <v>1021</v>
      </c>
      <c r="C257" t="s">
        <v>13</v>
      </c>
      <c r="D257" t="s">
        <v>193</v>
      </c>
      <c r="E257" t="s">
        <v>1222</v>
      </c>
    </row>
    <row r="258" spans="1:5" x14ac:dyDescent="0.3">
      <c r="A258" t="s">
        <v>1022</v>
      </c>
      <c r="B258" t="s">
        <v>1022</v>
      </c>
      <c r="C258" t="s">
        <v>13</v>
      </c>
      <c r="D258" t="s">
        <v>193</v>
      </c>
      <c r="E258" t="s">
        <v>1223</v>
      </c>
    </row>
    <row r="259" spans="1:5" x14ac:dyDescent="0.3">
      <c r="A259" t="s">
        <v>1023</v>
      </c>
      <c r="B259" t="s">
        <v>1023</v>
      </c>
      <c r="C259" t="s">
        <v>13</v>
      </c>
      <c r="D259" t="s">
        <v>193</v>
      </c>
      <c r="E259" t="s">
        <v>1224</v>
      </c>
    </row>
    <row r="260" spans="1:5" x14ac:dyDescent="0.3">
      <c r="A260" t="s">
        <v>1024</v>
      </c>
      <c r="B260" t="s">
        <v>1024</v>
      </c>
      <c r="C260" t="s">
        <v>13</v>
      </c>
      <c r="D260" t="s">
        <v>193</v>
      </c>
      <c r="E260" t="s">
        <v>1225</v>
      </c>
    </row>
    <row r="261" spans="1:5" x14ac:dyDescent="0.3">
      <c r="A261" t="s">
        <v>1025</v>
      </c>
      <c r="B261" t="s">
        <v>1025</v>
      </c>
      <c r="C261" t="s">
        <v>13</v>
      </c>
      <c r="D261" t="s">
        <v>193</v>
      </c>
      <c r="E261" t="s">
        <v>1226</v>
      </c>
    </row>
    <row r="262" spans="1:5" x14ac:dyDescent="0.3">
      <c r="A262" t="s">
        <v>1026</v>
      </c>
      <c r="B262" t="s">
        <v>1026</v>
      </c>
      <c r="C262" t="s">
        <v>13</v>
      </c>
      <c r="D262" t="s">
        <v>193</v>
      </c>
      <c r="E262" t="s">
        <v>1227</v>
      </c>
    </row>
    <row r="263" spans="1:5" x14ac:dyDescent="0.3">
      <c r="A263" t="s">
        <v>1027</v>
      </c>
      <c r="B263" t="s">
        <v>1027</v>
      </c>
      <c r="C263" t="s">
        <v>13</v>
      </c>
      <c r="D263" t="s">
        <v>193</v>
      </c>
      <c r="E263" t="s">
        <v>1228</v>
      </c>
    </row>
    <row r="264" spans="1:5" x14ac:dyDescent="0.3">
      <c r="A264" t="s">
        <v>1028</v>
      </c>
      <c r="B264" t="s">
        <v>1028</v>
      </c>
      <c r="C264" t="s">
        <v>13</v>
      </c>
      <c r="D264" t="s">
        <v>193</v>
      </c>
      <c r="E264" t="s">
        <v>1229</v>
      </c>
    </row>
    <row r="265" spans="1:5" x14ac:dyDescent="0.3">
      <c r="A265" t="s">
        <v>1029</v>
      </c>
      <c r="B265" t="s">
        <v>1029</v>
      </c>
      <c r="C265" t="s">
        <v>13</v>
      </c>
      <c r="D265" t="s">
        <v>193</v>
      </c>
      <c r="E265" t="s">
        <v>1230</v>
      </c>
    </row>
    <row r="266" spans="1:5" x14ac:dyDescent="0.3">
      <c r="A266" t="s">
        <v>1030</v>
      </c>
      <c r="B266" t="s">
        <v>1030</v>
      </c>
      <c r="C266" t="s">
        <v>13</v>
      </c>
      <c r="D266" t="s">
        <v>193</v>
      </c>
      <c r="E266" t="s">
        <v>1231</v>
      </c>
    </row>
    <row r="267" spans="1:5" x14ac:dyDescent="0.3">
      <c r="A267" t="s">
        <v>1031</v>
      </c>
      <c r="B267" t="s">
        <v>1031</v>
      </c>
      <c r="C267" t="s">
        <v>13</v>
      </c>
      <c r="D267" t="s">
        <v>193</v>
      </c>
      <c r="E267" t="s">
        <v>1232</v>
      </c>
    </row>
    <row r="268" spans="1:5" x14ac:dyDescent="0.3">
      <c r="A268" t="s">
        <v>1032</v>
      </c>
      <c r="B268" t="s">
        <v>1032</v>
      </c>
      <c r="C268" t="s">
        <v>13</v>
      </c>
      <c r="D268" t="s">
        <v>193</v>
      </c>
      <c r="E268" t="s">
        <v>1233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27D-88BE-4443-B95F-15F7450E536A}">
  <dimension ref="A1:E108"/>
  <sheetViews>
    <sheetView workbookViewId="0">
      <selection activeCell="I96" sqref="I96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8.88671875" bestFit="1" customWidth="1"/>
    <col min="4" max="4" width="5.33203125" bestFit="1" customWidth="1"/>
    <col min="5" max="5" width="17.33203125" bestFit="1" customWidth="1"/>
    <col min="7" max="7" width="12.109375" bestFit="1" customWidth="1"/>
    <col min="9" max="9" width="17.5546875" bestFit="1" customWidth="1"/>
  </cols>
  <sheetData>
    <row r="1" spans="1:5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5" x14ac:dyDescent="0.3">
      <c r="A2" t="s">
        <v>593</v>
      </c>
      <c r="B2" t="s">
        <v>594</v>
      </c>
      <c r="C2" t="s">
        <v>10</v>
      </c>
      <c r="D2" t="s">
        <v>193</v>
      </c>
      <c r="E2" t="s">
        <v>595</v>
      </c>
    </row>
    <row r="3" spans="1:5" x14ac:dyDescent="0.3">
      <c r="A3" t="s">
        <v>229</v>
      </c>
      <c r="B3" t="s">
        <v>229</v>
      </c>
      <c r="C3" t="s">
        <v>230</v>
      </c>
      <c r="D3" t="s">
        <v>193</v>
      </c>
      <c r="E3" t="s">
        <v>231</v>
      </c>
    </row>
    <row r="4" spans="1:5" x14ac:dyDescent="0.3">
      <c r="A4" t="s">
        <v>232</v>
      </c>
      <c r="B4" t="s">
        <v>415</v>
      </c>
      <c r="C4" t="s">
        <v>734</v>
      </c>
      <c r="D4" t="s">
        <v>193</v>
      </c>
      <c r="E4" t="s">
        <v>629</v>
      </c>
    </row>
    <row r="5" spans="1:5" x14ac:dyDescent="0.3">
      <c r="A5" t="s">
        <v>448</v>
      </c>
      <c r="B5" t="s">
        <v>416</v>
      </c>
      <c r="C5" t="s">
        <v>734</v>
      </c>
      <c r="D5" t="s">
        <v>193</v>
      </c>
      <c r="E5" t="s">
        <v>630</v>
      </c>
    </row>
    <row r="6" spans="1:5" x14ac:dyDescent="0.3">
      <c r="A6" t="s">
        <v>449</v>
      </c>
      <c r="B6" t="s">
        <v>417</v>
      </c>
      <c r="C6" t="s">
        <v>734</v>
      </c>
      <c r="D6" t="s">
        <v>193</v>
      </c>
      <c r="E6" t="s">
        <v>631</v>
      </c>
    </row>
    <row r="7" spans="1:5" x14ac:dyDescent="0.3">
      <c r="A7" t="s">
        <v>450</v>
      </c>
      <c r="B7" t="s">
        <v>418</v>
      </c>
      <c r="C7" t="s">
        <v>734</v>
      </c>
      <c r="D7" t="s">
        <v>193</v>
      </c>
      <c r="E7" t="s">
        <v>632</v>
      </c>
    </row>
    <row r="8" spans="1:5" x14ac:dyDescent="0.3">
      <c r="A8" t="s">
        <v>451</v>
      </c>
      <c r="B8" t="s">
        <v>419</v>
      </c>
      <c r="C8" t="s">
        <v>734</v>
      </c>
      <c r="D8" t="s">
        <v>193</v>
      </c>
      <c r="E8" t="s">
        <v>633</v>
      </c>
    </row>
    <row r="9" spans="1:5" x14ac:dyDescent="0.3">
      <c r="A9" t="s">
        <v>452</v>
      </c>
      <c r="B9" t="s">
        <v>420</v>
      </c>
      <c r="C9" t="s">
        <v>734</v>
      </c>
      <c r="D9" t="s">
        <v>193</v>
      </c>
      <c r="E9" t="s">
        <v>634</v>
      </c>
    </row>
    <row r="10" spans="1:5" x14ac:dyDescent="0.3">
      <c r="A10" t="s">
        <v>453</v>
      </c>
      <c r="B10" t="s">
        <v>421</v>
      </c>
      <c r="C10" t="s">
        <v>734</v>
      </c>
      <c r="D10" t="s">
        <v>193</v>
      </c>
      <c r="E10" t="s">
        <v>635</v>
      </c>
    </row>
    <row r="11" spans="1:5" x14ac:dyDescent="0.3">
      <c r="A11" t="s">
        <v>454</v>
      </c>
      <c r="B11" t="s">
        <v>343</v>
      </c>
      <c r="C11" t="s">
        <v>734</v>
      </c>
      <c r="D11" t="s">
        <v>193</v>
      </c>
      <c r="E11" t="s">
        <v>636</v>
      </c>
    </row>
    <row r="12" spans="1:5" x14ac:dyDescent="0.3">
      <c r="A12" t="s">
        <v>455</v>
      </c>
      <c r="B12" t="s">
        <v>344</v>
      </c>
      <c r="C12" t="s">
        <v>734</v>
      </c>
      <c r="D12" t="s">
        <v>193</v>
      </c>
      <c r="E12" t="s">
        <v>637</v>
      </c>
    </row>
    <row r="13" spans="1:5" x14ac:dyDescent="0.3">
      <c r="A13" t="s">
        <v>456</v>
      </c>
      <c r="B13" t="s">
        <v>345</v>
      </c>
      <c r="C13" t="s">
        <v>734</v>
      </c>
      <c r="D13" t="s">
        <v>193</v>
      </c>
      <c r="E13" t="s">
        <v>638</v>
      </c>
    </row>
    <row r="14" spans="1:5" x14ac:dyDescent="0.3">
      <c r="A14" t="s">
        <v>457</v>
      </c>
      <c r="B14" t="s">
        <v>346</v>
      </c>
      <c r="C14" t="s">
        <v>734</v>
      </c>
      <c r="D14" t="s">
        <v>193</v>
      </c>
      <c r="E14" t="s">
        <v>639</v>
      </c>
    </row>
    <row r="15" spans="1:5" x14ac:dyDescent="0.3">
      <c r="A15" t="s">
        <v>458</v>
      </c>
      <c r="B15" t="s">
        <v>347</v>
      </c>
      <c r="C15" t="s">
        <v>734</v>
      </c>
      <c r="D15" t="s">
        <v>193</v>
      </c>
      <c r="E15" t="s">
        <v>640</v>
      </c>
    </row>
    <row r="16" spans="1:5" x14ac:dyDescent="0.3">
      <c r="A16" t="s">
        <v>459</v>
      </c>
      <c r="B16" t="s">
        <v>348</v>
      </c>
      <c r="C16" t="s">
        <v>734</v>
      </c>
      <c r="D16" t="s">
        <v>193</v>
      </c>
      <c r="E16" t="s">
        <v>641</v>
      </c>
    </row>
    <row r="17" spans="1:5" x14ac:dyDescent="0.3">
      <c r="A17" t="s">
        <v>460</v>
      </c>
      <c r="B17" t="s">
        <v>422</v>
      </c>
      <c r="C17" t="s">
        <v>734</v>
      </c>
      <c r="D17" t="s">
        <v>193</v>
      </c>
      <c r="E17" t="s">
        <v>642</v>
      </c>
    </row>
    <row r="18" spans="1:5" x14ac:dyDescent="0.3">
      <c r="A18" t="s">
        <v>461</v>
      </c>
      <c r="B18" t="s">
        <v>423</v>
      </c>
      <c r="C18" t="s">
        <v>734</v>
      </c>
      <c r="D18" t="s">
        <v>193</v>
      </c>
      <c r="E18" t="s">
        <v>643</v>
      </c>
    </row>
    <row r="19" spans="1:5" x14ac:dyDescent="0.3">
      <c r="A19" t="s">
        <v>462</v>
      </c>
      <c r="B19" t="s">
        <v>424</v>
      </c>
      <c r="C19" t="s">
        <v>734</v>
      </c>
      <c r="D19" t="s">
        <v>193</v>
      </c>
      <c r="E19" t="s">
        <v>644</v>
      </c>
    </row>
    <row r="20" spans="1:5" x14ac:dyDescent="0.3">
      <c r="A20" t="s">
        <v>463</v>
      </c>
      <c r="B20" t="s">
        <v>425</v>
      </c>
      <c r="C20" t="s">
        <v>734</v>
      </c>
      <c r="D20" t="s">
        <v>193</v>
      </c>
      <c r="E20" t="s">
        <v>645</v>
      </c>
    </row>
    <row r="21" spans="1:5" x14ac:dyDescent="0.3">
      <c r="A21" t="s">
        <v>464</v>
      </c>
      <c r="B21" t="s">
        <v>426</v>
      </c>
      <c r="C21" t="s">
        <v>734</v>
      </c>
      <c r="D21" t="s">
        <v>193</v>
      </c>
      <c r="E21" t="s">
        <v>646</v>
      </c>
    </row>
    <row r="22" spans="1:5" x14ac:dyDescent="0.3">
      <c r="A22" t="s">
        <v>465</v>
      </c>
      <c r="B22" t="s">
        <v>427</v>
      </c>
      <c r="C22" t="s">
        <v>734</v>
      </c>
      <c r="D22" t="s">
        <v>193</v>
      </c>
      <c r="E22" t="s">
        <v>647</v>
      </c>
    </row>
    <row r="23" spans="1:5" x14ac:dyDescent="0.3">
      <c r="A23" t="s">
        <v>466</v>
      </c>
      <c r="B23" t="s">
        <v>428</v>
      </c>
      <c r="C23" t="s">
        <v>734</v>
      </c>
      <c r="D23" t="s">
        <v>193</v>
      </c>
      <c r="E23" t="s">
        <v>648</v>
      </c>
    </row>
    <row r="24" spans="1:5" x14ac:dyDescent="0.3">
      <c r="A24" t="s">
        <v>467</v>
      </c>
      <c r="B24" t="s">
        <v>429</v>
      </c>
      <c r="C24" t="s">
        <v>734</v>
      </c>
      <c r="D24" t="s">
        <v>193</v>
      </c>
      <c r="E24" t="s">
        <v>649</v>
      </c>
    </row>
    <row r="25" spans="1:5" x14ac:dyDescent="0.3">
      <c r="A25" t="s">
        <v>468</v>
      </c>
      <c r="B25" t="s">
        <v>430</v>
      </c>
      <c r="C25" t="s">
        <v>734</v>
      </c>
      <c r="D25" t="s">
        <v>193</v>
      </c>
      <c r="E25" t="s">
        <v>650</v>
      </c>
    </row>
    <row r="26" spans="1:5" x14ac:dyDescent="0.3">
      <c r="A26" t="s">
        <v>469</v>
      </c>
      <c r="B26" t="s">
        <v>431</v>
      </c>
      <c r="C26" t="s">
        <v>734</v>
      </c>
      <c r="D26" t="s">
        <v>193</v>
      </c>
      <c r="E26" t="s">
        <v>651</v>
      </c>
    </row>
    <row r="27" spans="1:5" x14ac:dyDescent="0.3">
      <c r="A27" t="s">
        <v>470</v>
      </c>
      <c r="B27" t="s">
        <v>432</v>
      </c>
      <c r="C27" t="s">
        <v>734</v>
      </c>
      <c r="D27" t="s">
        <v>193</v>
      </c>
      <c r="E27" t="s">
        <v>652</v>
      </c>
    </row>
    <row r="28" spans="1:5" x14ac:dyDescent="0.3">
      <c r="A28" t="s">
        <v>471</v>
      </c>
      <c r="B28" t="s">
        <v>433</v>
      </c>
      <c r="C28" t="s">
        <v>734</v>
      </c>
      <c r="D28" t="s">
        <v>193</v>
      </c>
      <c r="E28" t="s">
        <v>653</v>
      </c>
    </row>
    <row r="29" spans="1:5" x14ac:dyDescent="0.3">
      <c r="A29" t="s">
        <v>472</v>
      </c>
      <c r="B29" t="s">
        <v>349</v>
      </c>
      <c r="C29" t="s">
        <v>734</v>
      </c>
      <c r="D29" t="s">
        <v>193</v>
      </c>
      <c r="E29" t="s">
        <v>654</v>
      </c>
    </row>
    <row r="30" spans="1:5" x14ac:dyDescent="0.3">
      <c r="A30" t="s">
        <v>473</v>
      </c>
      <c r="B30" t="s">
        <v>350</v>
      </c>
      <c r="C30" t="s">
        <v>734</v>
      </c>
      <c r="D30" t="s">
        <v>193</v>
      </c>
      <c r="E30" t="s">
        <v>655</v>
      </c>
    </row>
    <row r="31" spans="1:5" x14ac:dyDescent="0.3">
      <c r="A31" t="s">
        <v>474</v>
      </c>
      <c r="B31" t="s">
        <v>351</v>
      </c>
      <c r="C31" t="s">
        <v>734</v>
      </c>
      <c r="D31" t="s">
        <v>193</v>
      </c>
      <c r="E31" t="s">
        <v>656</v>
      </c>
    </row>
    <row r="32" spans="1:5" x14ac:dyDescent="0.3">
      <c r="A32" t="s">
        <v>475</v>
      </c>
      <c r="B32" t="s">
        <v>352</v>
      </c>
      <c r="C32" t="s">
        <v>734</v>
      </c>
      <c r="D32" t="s">
        <v>193</v>
      </c>
      <c r="E32" t="s">
        <v>657</v>
      </c>
    </row>
    <row r="33" spans="1:5" x14ac:dyDescent="0.3">
      <c r="A33" t="s">
        <v>476</v>
      </c>
      <c r="B33" t="s">
        <v>353</v>
      </c>
      <c r="C33" t="s">
        <v>734</v>
      </c>
      <c r="D33" t="s">
        <v>193</v>
      </c>
      <c r="E33" t="s">
        <v>658</v>
      </c>
    </row>
    <row r="34" spans="1:5" x14ac:dyDescent="0.3">
      <c r="A34" t="s">
        <v>477</v>
      </c>
      <c r="B34" t="s">
        <v>354</v>
      </c>
      <c r="C34" t="s">
        <v>734</v>
      </c>
      <c r="D34" t="s">
        <v>193</v>
      </c>
      <c r="E34" t="s">
        <v>659</v>
      </c>
    </row>
    <row r="35" spans="1:5" x14ac:dyDescent="0.3">
      <c r="A35" t="s">
        <v>478</v>
      </c>
      <c r="B35" t="s">
        <v>355</v>
      </c>
      <c r="C35" t="s">
        <v>734</v>
      </c>
      <c r="D35" t="s">
        <v>193</v>
      </c>
      <c r="E35" t="s">
        <v>660</v>
      </c>
    </row>
    <row r="36" spans="1:5" x14ac:dyDescent="0.3">
      <c r="A36" t="s">
        <v>479</v>
      </c>
      <c r="B36" t="s">
        <v>356</v>
      </c>
      <c r="C36" t="s">
        <v>734</v>
      </c>
      <c r="D36" t="s">
        <v>193</v>
      </c>
      <c r="E36" t="s">
        <v>661</v>
      </c>
    </row>
    <row r="37" spans="1:5" x14ac:dyDescent="0.3">
      <c r="A37" t="s">
        <v>480</v>
      </c>
      <c r="B37" t="s">
        <v>357</v>
      </c>
      <c r="C37" t="s">
        <v>734</v>
      </c>
      <c r="D37" t="s">
        <v>193</v>
      </c>
      <c r="E37" t="s">
        <v>662</v>
      </c>
    </row>
    <row r="38" spans="1:5" x14ac:dyDescent="0.3">
      <c r="A38" t="s">
        <v>481</v>
      </c>
      <c r="B38" t="s">
        <v>358</v>
      </c>
      <c r="C38" t="s">
        <v>734</v>
      </c>
      <c r="D38" t="s">
        <v>193</v>
      </c>
      <c r="E38" t="s">
        <v>663</v>
      </c>
    </row>
    <row r="39" spans="1:5" x14ac:dyDescent="0.3">
      <c r="A39" t="s">
        <v>482</v>
      </c>
      <c r="B39" t="s">
        <v>359</v>
      </c>
      <c r="C39" t="s">
        <v>734</v>
      </c>
      <c r="D39" t="s">
        <v>193</v>
      </c>
      <c r="E39" t="s">
        <v>664</v>
      </c>
    </row>
    <row r="40" spans="1:5" x14ac:dyDescent="0.3">
      <c r="A40" t="s">
        <v>483</v>
      </c>
      <c r="B40" t="s">
        <v>360</v>
      </c>
      <c r="C40" t="s">
        <v>734</v>
      </c>
      <c r="D40" t="s">
        <v>193</v>
      </c>
      <c r="E40" t="s">
        <v>665</v>
      </c>
    </row>
    <row r="41" spans="1:5" x14ac:dyDescent="0.3">
      <c r="A41" t="s">
        <v>484</v>
      </c>
      <c r="B41" t="s">
        <v>361</v>
      </c>
      <c r="C41" t="s">
        <v>734</v>
      </c>
      <c r="D41" t="s">
        <v>193</v>
      </c>
      <c r="E41" t="s">
        <v>666</v>
      </c>
    </row>
    <row r="42" spans="1:5" x14ac:dyDescent="0.3">
      <c r="A42" t="s">
        <v>485</v>
      </c>
      <c r="B42" t="s">
        <v>362</v>
      </c>
      <c r="C42" t="s">
        <v>734</v>
      </c>
      <c r="D42" t="s">
        <v>193</v>
      </c>
      <c r="E42" t="s">
        <v>667</v>
      </c>
    </row>
    <row r="43" spans="1:5" x14ac:dyDescent="0.3">
      <c r="A43" t="s">
        <v>486</v>
      </c>
      <c r="B43" t="s">
        <v>363</v>
      </c>
      <c r="C43" t="s">
        <v>734</v>
      </c>
      <c r="D43" t="s">
        <v>193</v>
      </c>
      <c r="E43" t="s">
        <v>668</v>
      </c>
    </row>
    <row r="44" spans="1:5" x14ac:dyDescent="0.3">
      <c r="A44" t="s">
        <v>487</v>
      </c>
      <c r="B44" t="s">
        <v>364</v>
      </c>
      <c r="C44" t="s">
        <v>734</v>
      </c>
      <c r="D44" t="s">
        <v>193</v>
      </c>
      <c r="E44" t="s">
        <v>669</v>
      </c>
    </row>
    <row r="45" spans="1:5" x14ac:dyDescent="0.3">
      <c r="A45" t="s">
        <v>488</v>
      </c>
      <c r="B45" t="s">
        <v>365</v>
      </c>
      <c r="C45" t="s">
        <v>734</v>
      </c>
      <c r="D45" t="s">
        <v>193</v>
      </c>
      <c r="E45" t="s">
        <v>670</v>
      </c>
    </row>
    <row r="46" spans="1:5" x14ac:dyDescent="0.3">
      <c r="A46" t="s">
        <v>489</v>
      </c>
      <c r="B46" t="s">
        <v>366</v>
      </c>
      <c r="C46" t="s">
        <v>734</v>
      </c>
      <c r="D46" t="s">
        <v>193</v>
      </c>
      <c r="E46" t="s">
        <v>671</v>
      </c>
    </row>
    <row r="47" spans="1:5" x14ac:dyDescent="0.3">
      <c r="A47" t="s">
        <v>490</v>
      </c>
      <c r="B47" t="s">
        <v>434</v>
      </c>
      <c r="C47" t="s">
        <v>734</v>
      </c>
      <c r="D47" t="s">
        <v>193</v>
      </c>
      <c r="E47" t="s">
        <v>672</v>
      </c>
    </row>
    <row r="48" spans="1:5" x14ac:dyDescent="0.3">
      <c r="A48" t="s">
        <v>491</v>
      </c>
      <c r="B48" t="s">
        <v>435</v>
      </c>
      <c r="C48" t="s">
        <v>734</v>
      </c>
      <c r="D48" t="s">
        <v>193</v>
      </c>
      <c r="E48" t="s">
        <v>673</v>
      </c>
    </row>
    <row r="49" spans="1:5" x14ac:dyDescent="0.3">
      <c r="A49" t="s">
        <v>492</v>
      </c>
      <c r="B49" t="s">
        <v>436</v>
      </c>
      <c r="C49" t="s">
        <v>734</v>
      </c>
      <c r="D49" t="s">
        <v>193</v>
      </c>
      <c r="E49" t="s">
        <v>674</v>
      </c>
    </row>
    <row r="50" spans="1:5" x14ac:dyDescent="0.3">
      <c r="A50" t="s">
        <v>493</v>
      </c>
      <c r="B50" t="s">
        <v>437</v>
      </c>
      <c r="C50" t="s">
        <v>734</v>
      </c>
      <c r="D50" t="s">
        <v>193</v>
      </c>
      <c r="E50" t="s">
        <v>675</v>
      </c>
    </row>
    <row r="51" spans="1:5" x14ac:dyDescent="0.3">
      <c r="A51" t="s">
        <v>494</v>
      </c>
      <c r="B51" t="s">
        <v>438</v>
      </c>
      <c r="C51" t="s">
        <v>734</v>
      </c>
      <c r="D51" t="s">
        <v>193</v>
      </c>
      <c r="E51" t="s">
        <v>676</v>
      </c>
    </row>
    <row r="52" spans="1:5" x14ac:dyDescent="0.3">
      <c r="A52" t="s">
        <v>495</v>
      </c>
      <c r="B52" t="s">
        <v>439</v>
      </c>
      <c r="C52" t="s">
        <v>734</v>
      </c>
      <c r="D52" t="s">
        <v>193</v>
      </c>
      <c r="E52" t="s">
        <v>677</v>
      </c>
    </row>
    <row r="53" spans="1:5" x14ac:dyDescent="0.3">
      <c r="A53" t="s">
        <v>496</v>
      </c>
      <c r="B53" t="s">
        <v>367</v>
      </c>
      <c r="C53" t="s">
        <v>734</v>
      </c>
      <c r="D53" t="s">
        <v>193</v>
      </c>
      <c r="E53" t="s">
        <v>678</v>
      </c>
    </row>
    <row r="54" spans="1:5" x14ac:dyDescent="0.3">
      <c r="A54" t="s">
        <v>497</v>
      </c>
      <c r="B54" t="s">
        <v>368</v>
      </c>
      <c r="C54" t="s">
        <v>734</v>
      </c>
      <c r="D54" t="s">
        <v>193</v>
      </c>
      <c r="E54" t="s">
        <v>679</v>
      </c>
    </row>
    <row r="55" spans="1:5" x14ac:dyDescent="0.3">
      <c r="A55" t="s">
        <v>498</v>
      </c>
      <c r="B55" t="s">
        <v>369</v>
      </c>
      <c r="C55" t="s">
        <v>734</v>
      </c>
      <c r="D55" t="s">
        <v>193</v>
      </c>
      <c r="E55" t="s">
        <v>680</v>
      </c>
    </row>
    <row r="56" spans="1:5" x14ac:dyDescent="0.3">
      <c r="A56" t="s">
        <v>499</v>
      </c>
      <c r="B56" t="s">
        <v>370</v>
      </c>
      <c r="C56" t="s">
        <v>734</v>
      </c>
      <c r="D56" t="s">
        <v>193</v>
      </c>
      <c r="E56" t="s">
        <v>681</v>
      </c>
    </row>
    <row r="57" spans="1:5" x14ac:dyDescent="0.3">
      <c r="A57" t="s">
        <v>500</v>
      </c>
      <c r="B57" t="s">
        <v>371</v>
      </c>
      <c r="C57" t="s">
        <v>734</v>
      </c>
      <c r="D57" t="s">
        <v>193</v>
      </c>
      <c r="E57" t="s">
        <v>682</v>
      </c>
    </row>
    <row r="58" spans="1:5" x14ac:dyDescent="0.3">
      <c r="A58" t="s">
        <v>501</v>
      </c>
      <c r="B58" t="s">
        <v>372</v>
      </c>
      <c r="C58" t="s">
        <v>734</v>
      </c>
      <c r="D58" t="s">
        <v>193</v>
      </c>
      <c r="E58" t="s">
        <v>683</v>
      </c>
    </row>
    <row r="59" spans="1:5" x14ac:dyDescent="0.3">
      <c r="A59" t="s">
        <v>502</v>
      </c>
      <c r="B59" t="s">
        <v>373</v>
      </c>
      <c r="C59" t="s">
        <v>734</v>
      </c>
      <c r="D59" t="s">
        <v>193</v>
      </c>
      <c r="E59" t="s">
        <v>684</v>
      </c>
    </row>
    <row r="60" spans="1:5" x14ac:dyDescent="0.3">
      <c r="A60" t="s">
        <v>503</v>
      </c>
      <c r="B60" t="s">
        <v>374</v>
      </c>
      <c r="C60" t="s">
        <v>734</v>
      </c>
      <c r="D60" t="s">
        <v>193</v>
      </c>
      <c r="E60" t="s">
        <v>685</v>
      </c>
    </row>
    <row r="61" spans="1:5" x14ac:dyDescent="0.3">
      <c r="A61" t="s">
        <v>504</v>
      </c>
      <c r="B61" t="s">
        <v>375</v>
      </c>
      <c r="C61" t="s">
        <v>734</v>
      </c>
      <c r="D61" t="s">
        <v>193</v>
      </c>
      <c r="E61" t="s">
        <v>686</v>
      </c>
    </row>
    <row r="62" spans="1:5" x14ac:dyDescent="0.3">
      <c r="A62" t="s">
        <v>505</v>
      </c>
      <c r="B62" t="s">
        <v>376</v>
      </c>
      <c r="C62" t="s">
        <v>734</v>
      </c>
      <c r="D62" t="s">
        <v>193</v>
      </c>
      <c r="E62" t="s">
        <v>687</v>
      </c>
    </row>
    <row r="63" spans="1:5" x14ac:dyDescent="0.3">
      <c r="A63" t="s">
        <v>506</v>
      </c>
      <c r="B63" t="s">
        <v>377</v>
      </c>
      <c r="C63" t="s">
        <v>734</v>
      </c>
      <c r="D63" t="s">
        <v>193</v>
      </c>
      <c r="E63" t="s">
        <v>688</v>
      </c>
    </row>
    <row r="64" spans="1:5" x14ac:dyDescent="0.3">
      <c r="A64" t="s">
        <v>507</v>
      </c>
      <c r="B64" t="s">
        <v>378</v>
      </c>
      <c r="C64" t="s">
        <v>734</v>
      </c>
      <c r="D64" t="s">
        <v>193</v>
      </c>
      <c r="E64" t="s">
        <v>689</v>
      </c>
    </row>
    <row r="65" spans="1:5" x14ac:dyDescent="0.3">
      <c r="A65" t="s">
        <v>508</v>
      </c>
      <c r="B65" t="s">
        <v>379</v>
      </c>
      <c r="C65" t="s">
        <v>734</v>
      </c>
      <c r="D65" t="s">
        <v>193</v>
      </c>
      <c r="E65" t="s">
        <v>690</v>
      </c>
    </row>
    <row r="66" spans="1:5" x14ac:dyDescent="0.3">
      <c r="A66" t="s">
        <v>509</v>
      </c>
      <c r="B66" t="s">
        <v>380</v>
      </c>
      <c r="C66" t="s">
        <v>734</v>
      </c>
      <c r="D66" t="s">
        <v>193</v>
      </c>
      <c r="E66" t="s">
        <v>691</v>
      </c>
    </row>
    <row r="67" spans="1:5" x14ac:dyDescent="0.3">
      <c r="A67" t="s">
        <v>510</v>
      </c>
      <c r="B67" t="s">
        <v>381</v>
      </c>
      <c r="C67" t="s">
        <v>734</v>
      </c>
      <c r="D67" t="s">
        <v>193</v>
      </c>
      <c r="E67" t="s">
        <v>692</v>
      </c>
    </row>
    <row r="68" spans="1:5" x14ac:dyDescent="0.3">
      <c r="A68" t="s">
        <v>511</v>
      </c>
      <c r="B68" t="s">
        <v>382</v>
      </c>
      <c r="C68" t="s">
        <v>734</v>
      </c>
      <c r="D68" t="s">
        <v>193</v>
      </c>
      <c r="E68" t="s">
        <v>693</v>
      </c>
    </row>
    <row r="69" spans="1:5" x14ac:dyDescent="0.3">
      <c r="A69" t="s">
        <v>512</v>
      </c>
      <c r="B69" t="s">
        <v>383</v>
      </c>
      <c r="C69" t="s">
        <v>734</v>
      </c>
      <c r="D69" t="s">
        <v>193</v>
      </c>
      <c r="E69" t="s">
        <v>694</v>
      </c>
    </row>
    <row r="70" spans="1:5" x14ac:dyDescent="0.3">
      <c r="A70" t="s">
        <v>513</v>
      </c>
      <c r="B70" t="s">
        <v>384</v>
      </c>
      <c r="C70" t="s">
        <v>734</v>
      </c>
      <c r="D70" t="s">
        <v>193</v>
      </c>
      <c r="E70" t="s">
        <v>695</v>
      </c>
    </row>
    <row r="71" spans="1:5" x14ac:dyDescent="0.3">
      <c r="A71" t="s">
        <v>514</v>
      </c>
      <c r="B71" t="s">
        <v>385</v>
      </c>
      <c r="C71" t="s">
        <v>734</v>
      </c>
      <c r="D71" t="s">
        <v>193</v>
      </c>
      <c r="E71" t="s">
        <v>696</v>
      </c>
    </row>
    <row r="72" spans="1:5" x14ac:dyDescent="0.3">
      <c r="A72" t="s">
        <v>515</v>
      </c>
      <c r="B72" t="s">
        <v>386</v>
      </c>
      <c r="C72" t="s">
        <v>734</v>
      </c>
      <c r="D72" t="s">
        <v>193</v>
      </c>
      <c r="E72" t="s">
        <v>697</v>
      </c>
    </row>
    <row r="73" spans="1:5" x14ac:dyDescent="0.3">
      <c r="A73" t="s">
        <v>516</v>
      </c>
      <c r="B73" t="s">
        <v>387</v>
      </c>
      <c r="C73" t="s">
        <v>734</v>
      </c>
      <c r="D73" t="s">
        <v>193</v>
      </c>
      <c r="E73" t="s">
        <v>698</v>
      </c>
    </row>
    <row r="74" spans="1:5" x14ac:dyDescent="0.3">
      <c r="A74" t="s">
        <v>517</v>
      </c>
      <c r="B74" t="s">
        <v>388</v>
      </c>
      <c r="C74" t="s">
        <v>734</v>
      </c>
      <c r="D74" t="s">
        <v>193</v>
      </c>
      <c r="E74" t="s">
        <v>699</v>
      </c>
    </row>
    <row r="75" spans="1:5" x14ac:dyDescent="0.3">
      <c r="A75" t="s">
        <v>518</v>
      </c>
      <c r="B75" t="s">
        <v>389</v>
      </c>
      <c r="C75" t="s">
        <v>734</v>
      </c>
      <c r="D75" t="s">
        <v>193</v>
      </c>
      <c r="E75" t="s">
        <v>700</v>
      </c>
    </row>
    <row r="76" spans="1:5" x14ac:dyDescent="0.3">
      <c r="A76" t="s">
        <v>519</v>
      </c>
      <c r="B76" t="s">
        <v>390</v>
      </c>
      <c r="C76" t="s">
        <v>734</v>
      </c>
      <c r="D76" t="s">
        <v>193</v>
      </c>
      <c r="E76" t="s">
        <v>701</v>
      </c>
    </row>
    <row r="77" spans="1:5" x14ac:dyDescent="0.3">
      <c r="A77" t="s">
        <v>520</v>
      </c>
      <c r="B77" t="s">
        <v>440</v>
      </c>
      <c r="C77" t="s">
        <v>734</v>
      </c>
      <c r="D77" t="s">
        <v>193</v>
      </c>
      <c r="E77" t="s">
        <v>702</v>
      </c>
    </row>
    <row r="78" spans="1:5" x14ac:dyDescent="0.3">
      <c r="A78" t="s">
        <v>521</v>
      </c>
      <c r="B78" t="s">
        <v>441</v>
      </c>
      <c r="C78" t="s">
        <v>734</v>
      </c>
      <c r="D78" t="s">
        <v>193</v>
      </c>
      <c r="E78" t="s">
        <v>703</v>
      </c>
    </row>
    <row r="79" spans="1:5" x14ac:dyDescent="0.3">
      <c r="A79" t="s">
        <v>522</v>
      </c>
      <c r="B79" t="s">
        <v>442</v>
      </c>
      <c r="C79" t="s">
        <v>734</v>
      </c>
      <c r="D79" t="s">
        <v>193</v>
      </c>
      <c r="E79" t="s">
        <v>704</v>
      </c>
    </row>
    <row r="80" spans="1:5" x14ac:dyDescent="0.3">
      <c r="A80" t="s">
        <v>523</v>
      </c>
      <c r="B80" t="s">
        <v>443</v>
      </c>
      <c r="C80" t="s">
        <v>734</v>
      </c>
      <c r="D80" t="s">
        <v>193</v>
      </c>
      <c r="E80" t="s">
        <v>705</v>
      </c>
    </row>
    <row r="81" spans="1:5" x14ac:dyDescent="0.3">
      <c r="A81" t="s">
        <v>524</v>
      </c>
      <c r="B81" t="s">
        <v>444</v>
      </c>
      <c r="C81" t="s">
        <v>734</v>
      </c>
      <c r="D81" t="s">
        <v>193</v>
      </c>
      <c r="E81" t="s">
        <v>706</v>
      </c>
    </row>
    <row r="82" spans="1:5" x14ac:dyDescent="0.3">
      <c r="A82" t="s">
        <v>525</v>
      </c>
      <c r="B82" t="s">
        <v>445</v>
      </c>
      <c r="C82" t="s">
        <v>734</v>
      </c>
      <c r="D82" t="s">
        <v>193</v>
      </c>
      <c r="E82" t="s">
        <v>707</v>
      </c>
    </row>
    <row r="83" spans="1:5" x14ac:dyDescent="0.3">
      <c r="A83" t="s">
        <v>526</v>
      </c>
      <c r="B83" t="s">
        <v>446</v>
      </c>
      <c r="C83" t="s">
        <v>734</v>
      </c>
      <c r="D83" t="s">
        <v>193</v>
      </c>
      <c r="E83" t="s">
        <v>708</v>
      </c>
    </row>
    <row r="84" spans="1:5" x14ac:dyDescent="0.3">
      <c r="A84" t="s">
        <v>527</v>
      </c>
      <c r="B84" t="s">
        <v>447</v>
      </c>
      <c r="C84" t="s">
        <v>734</v>
      </c>
      <c r="D84" t="s">
        <v>193</v>
      </c>
      <c r="E84" t="s">
        <v>709</v>
      </c>
    </row>
    <row r="85" spans="1:5" x14ac:dyDescent="0.3">
      <c r="A85" t="s">
        <v>528</v>
      </c>
      <c r="B85" t="s">
        <v>391</v>
      </c>
      <c r="C85" t="s">
        <v>734</v>
      </c>
      <c r="D85" t="s">
        <v>193</v>
      </c>
      <c r="E85" t="s">
        <v>710</v>
      </c>
    </row>
    <row r="86" spans="1:5" x14ac:dyDescent="0.3">
      <c r="A86" t="s">
        <v>529</v>
      </c>
      <c r="B86" t="s">
        <v>392</v>
      </c>
      <c r="C86" t="s">
        <v>734</v>
      </c>
      <c r="D86" t="s">
        <v>193</v>
      </c>
      <c r="E86" t="s">
        <v>711</v>
      </c>
    </row>
    <row r="87" spans="1:5" x14ac:dyDescent="0.3">
      <c r="A87" t="s">
        <v>530</v>
      </c>
      <c r="B87" t="s">
        <v>393</v>
      </c>
      <c r="C87" t="s">
        <v>734</v>
      </c>
      <c r="D87" t="s">
        <v>193</v>
      </c>
      <c r="E87" t="s">
        <v>712</v>
      </c>
    </row>
    <row r="88" spans="1:5" x14ac:dyDescent="0.3">
      <c r="A88" t="s">
        <v>531</v>
      </c>
      <c r="B88" t="s">
        <v>394</v>
      </c>
      <c r="C88" t="s">
        <v>734</v>
      </c>
      <c r="D88" t="s">
        <v>193</v>
      </c>
      <c r="E88" t="s">
        <v>713</v>
      </c>
    </row>
    <row r="89" spans="1:5" x14ac:dyDescent="0.3">
      <c r="A89" t="s">
        <v>532</v>
      </c>
      <c r="B89" t="s">
        <v>395</v>
      </c>
      <c r="C89" t="s">
        <v>734</v>
      </c>
      <c r="D89" t="s">
        <v>193</v>
      </c>
      <c r="E89" t="s">
        <v>714</v>
      </c>
    </row>
    <row r="90" spans="1:5" x14ac:dyDescent="0.3">
      <c r="A90" t="s">
        <v>533</v>
      </c>
      <c r="B90" t="s">
        <v>396</v>
      </c>
      <c r="C90" t="s">
        <v>734</v>
      </c>
      <c r="D90" t="s">
        <v>193</v>
      </c>
      <c r="E90" t="s">
        <v>715</v>
      </c>
    </row>
    <row r="91" spans="1:5" x14ac:dyDescent="0.3">
      <c r="A91" t="s">
        <v>534</v>
      </c>
      <c r="B91" t="s">
        <v>397</v>
      </c>
      <c r="C91" t="s">
        <v>734</v>
      </c>
      <c r="D91" t="s">
        <v>193</v>
      </c>
      <c r="E91" t="s">
        <v>716</v>
      </c>
    </row>
    <row r="92" spans="1:5" x14ac:dyDescent="0.3">
      <c r="A92" t="s">
        <v>535</v>
      </c>
      <c r="B92" t="s">
        <v>398</v>
      </c>
      <c r="C92" t="s">
        <v>734</v>
      </c>
      <c r="D92" t="s">
        <v>193</v>
      </c>
      <c r="E92" t="s">
        <v>717</v>
      </c>
    </row>
    <row r="93" spans="1:5" x14ac:dyDescent="0.3">
      <c r="A93" t="s">
        <v>536</v>
      </c>
      <c r="B93" t="s">
        <v>399</v>
      </c>
      <c r="C93" t="s">
        <v>734</v>
      </c>
      <c r="D93" t="s">
        <v>193</v>
      </c>
      <c r="E93" t="s">
        <v>718</v>
      </c>
    </row>
    <row r="94" spans="1:5" x14ac:dyDescent="0.3">
      <c r="A94" t="s">
        <v>537</v>
      </c>
      <c r="B94" t="s">
        <v>400</v>
      </c>
      <c r="C94" t="s">
        <v>734</v>
      </c>
      <c r="D94" t="s">
        <v>193</v>
      </c>
      <c r="E94" t="s">
        <v>719</v>
      </c>
    </row>
    <row r="95" spans="1:5" x14ac:dyDescent="0.3">
      <c r="A95" t="s">
        <v>538</v>
      </c>
      <c r="B95" t="s">
        <v>401</v>
      </c>
      <c r="C95" t="s">
        <v>734</v>
      </c>
      <c r="D95" t="s">
        <v>193</v>
      </c>
      <c r="E95" t="s">
        <v>720</v>
      </c>
    </row>
    <row r="96" spans="1:5" x14ac:dyDescent="0.3">
      <c r="A96" t="s">
        <v>539</v>
      </c>
      <c r="B96" t="s">
        <v>402</v>
      </c>
      <c r="C96" t="s">
        <v>734</v>
      </c>
      <c r="D96" t="s">
        <v>193</v>
      </c>
      <c r="E96" t="s">
        <v>721</v>
      </c>
    </row>
    <row r="97" spans="1:5" x14ac:dyDescent="0.3">
      <c r="A97" t="s">
        <v>540</v>
      </c>
      <c r="B97" t="s">
        <v>403</v>
      </c>
      <c r="C97" t="s">
        <v>734</v>
      </c>
      <c r="D97" t="s">
        <v>193</v>
      </c>
      <c r="E97" t="s">
        <v>722</v>
      </c>
    </row>
    <row r="98" spans="1:5" x14ac:dyDescent="0.3">
      <c r="A98" t="s">
        <v>541</v>
      </c>
      <c r="B98" t="s">
        <v>404</v>
      </c>
      <c r="C98" t="s">
        <v>734</v>
      </c>
      <c r="D98" t="s">
        <v>193</v>
      </c>
      <c r="E98" t="s">
        <v>723</v>
      </c>
    </row>
    <row r="99" spans="1:5" x14ac:dyDescent="0.3">
      <c r="A99" t="s">
        <v>542</v>
      </c>
      <c r="B99" t="s">
        <v>405</v>
      </c>
      <c r="C99" t="s">
        <v>734</v>
      </c>
      <c r="D99" t="s">
        <v>193</v>
      </c>
      <c r="E99" t="s">
        <v>724</v>
      </c>
    </row>
    <row r="100" spans="1:5" x14ac:dyDescent="0.3">
      <c r="A100" t="s">
        <v>543</v>
      </c>
      <c r="B100" t="s">
        <v>406</v>
      </c>
      <c r="C100" t="s">
        <v>734</v>
      </c>
      <c r="D100" t="s">
        <v>193</v>
      </c>
      <c r="E100" t="s">
        <v>725</v>
      </c>
    </row>
    <row r="101" spans="1:5" x14ac:dyDescent="0.3">
      <c r="A101" t="s">
        <v>544</v>
      </c>
      <c r="B101" t="s">
        <v>407</v>
      </c>
      <c r="C101" t="s">
        <v>734</v>
      </c>
      <c r="D101" t="s">
        <v>193</v>
      </c>
      <c r="E101" t="s">
        <v>726</v>
      </c>
    </row>
    <row r="102" spans="1:5" x14ac:dyDescent="0.3">
      <c r="A102" t="s">
        <v>545</v>
      </c>
      <c r="B102" t="s">
        <v>408</v>
      </c>
      <c r="C102" t="s">
        <v>734</v>
      </c>
      <c r="D102" t="s">
        <v>193</v>
      </c>
      <c r="E102" t="s">
        <v>727</v>
      </c>
    </row>
    <row r="103" spans="1:5" x14ac:dyDescent="0.3">
      <c r="A103" t="s">
        <v>546</v>
      </c>
      <c r="B103" t="s">
        <v>409</v>
      </c>
      <c r="C103" t="s">
        <v>734</v>
      </c>
      <c r="D103" t="s">
        <v>193</v>
      </c>
      <c r="E103" t="s">
        <v>728</v>
      </c>
    </row>
    <row r="104" spans="1:5" x14ac:dyDescent="0.3">
      <c r="A104" t="s">
        <v>547</v>
      </c>
      <c r="B104" t="s">
        <v>410</v>
      </c>
      <c r="C104" t="s">
        <v>734</v>
      </c>
      <c r="D104" t="s">
        <v>193</v>
      </c>
      <c r="E104" t="s">
        <v>729</v>
      </c>
    </row>
    <row r="105" spans="1:5" x14ac:dyDescent="0.3">
      <c r="A105" t="s">
        <v>548</v>
      </c>
      <c r="B105" t="s">
        <v>411</v>
      </c>
      <c r="C105" t="s">
        <v>734</v>
      </c>
      <c r="D105" t="s">
        <v>193</v>
      </c>
      <c r="E105" t="s">
        <v>730</v>
      </c>
    </row>
    <row r="106" spans="1:5" x14ac:dyDescent="0.3">
      <c r="A106" t="s">
        <v>549</v>
      </c>
      <c r="B106" t="s">
        <v>412</v>
      </c>
      <c r="C106" t="s">
        <v>734</v>
      </c>
      <c r="D106" t="s">
        <v>193</v>
      </c>
      <c r="E106" t="s">
        <v>731</v>
      </c>
    </row>
    <row r="107" spans="1:5" x14ac:dyDescent="0.3">
      <c r="A107" t="s">
        <v>550</v>
      </c>
      <c r="B107" t="s">
        <v>413</v>
      </c>
      <c r="C107" t="s">
        <v>734</v>
      </c>
      <c r="D107" t="s">
        <v>193</v>
      </c>
      <c r="E107" t="s">
        <v>732</v>
      </c>
    </row>
    <row r="108" spans="1:5" x14ac:dyDescent="0.3">
      <c r="A108" t="s">
        <v>551</v>
      </c>
      <c r="B108" t="s">
        <v>414</v>
      </c>
      <c r="C108" t="s">
        <v>734</v>
      </c>
      <c r="D108" t="s">
        <v>193</v>
      </c>
      <c r="E108" t="s">
        <v>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F7F-77A6-40BF-97DC-ABECCB4564BA}">
  <dimension ref="A1:I108"/>
  <sheetViews>
    <sheetView workbookViewId="0">
      <selection activeCell="I108" sqref="I4:I108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8.88671875" bestFit="1" customWidth="1"/>
    <col min="4" max="4" width="5.33203125" bestFit="1" customWidth="1"/>
    <col min="5" max="5" width="17.33203125" bestFit="1" customWidth="1"/>
    <col min="7" max="7" width="19.5546875" bestFit="1" customWidth="1"/>
  </cols>
  <sheetData>
    <row r="1" spans="1:9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9" x14ac:dyDescent="0.3">
      <c r="A2" t="s">
        <v>593</v>
      </c>
      <c r="B2" t="s">
        <v>594</v>
      </c>
      <c r="C2" t="s">
        <v>10</v>
      </c>
      <c r="D2" t="s">
        <v>193</v>
      </c>
      <c r="E2" t="s">
        <v>595</v>
      </c>
    </row>
    <row r="3" spans="1:9" x14ac:dyDescent="0.3">
      <c r="A3" t="s">
        <v>229</v>
      </c>
      <c r="B3" t="s">
        <v>229</v>
      </c>
      <c r="C3" t="s">
        <v>230</v>
      </c>
      <c r="D3" t="s">
        <v>193</v>
      </c>
      <c r="E3" t="s">
        <v>231</v>
      </c>
    </row>
    <row r="4" spans="1:9" x14ac:dyDescent="0.3">
      <c r="A4" t="s">
        <v>232</v>
      </c>
      <c r="B4" t="s">
        <v>415</v>
      </c>
      <c r="C4" t="s">
        <v>10</v>
      </c>
      <c r="D4" t="s">
        <v>193</v>
      </c>
      <c r="E4" t="s">
        <v>415</v>
      </c>
      <c r="G4" t="str">
        <f>"TQ_"&amp;E4</f>
        <v>TQ_RFR-N-OBJ1-ANS</v>
      </c>
      <c r="H4">
        <v>4</v>
      </c>
      <c r="I4" t="str">
        <f>LEFT(G4,LEN(G4)-H4)</f>
        <v>TQ_RFR-N-OBJ1</v>
      </c>
    </row>
    <row r="5" spans="1:9" x14ac:dyDescent="0.3">
      <c r="A5" t="s">
        <v>448</v>
      </c>
      <c r="B5" t="s">
        <v>416</v>
      </c>
      <c r="C5" t="s">
        <v>10</v>
      </c>
      <c r="D5" t="s">
        <v>193</v>
      </c>
      <c r="E5" t="s">
        <v>416</v>
      </c>
      <c r="G5" t="str">
        <f t="shared" ref="G5:G68" si="0">"TQ_"&amp;E5</f>
        <v>TQ_RFR-N-OBJ2-ANS</v>
      </c>
      <c r="H5">
        <v>4</v>
      </c>
      <c r="I5" t="str">
        <f t="shared" ref="I5:I68" si="1">LEFT(G5,LEN(G5)-H5)</f>
        <v>TQ_RFR-N-OBJ2</v>
      </c>
    </row>
    <row r="6" spans="1:9" x14ac:dyDescent="0.3">
      <c r="A6" t="s">
        <v>449</v>
      </c>
      <c r="B6" t="s">
        <v>417</v>
      </c>
      <c r="C6" t="s">
        <v>10</v>
      </c>
      <c r="D6" t="s">
        <v>193</v>
      </c>
      <c r="E6" t="s">
        <v>417</v>
      </c>
      <c r="G6" t="str">
        <f t="shared" si="0"/>
        <v>TQ_RFR-N-OBJ3-ANS</v>
      </c>
      <c r="H6">
        <v>4</v>
      </c>
      <c r="I6" t="str">
        <f t="shared" si="1"/>
        <v>TQ_RFR-N-OBJ3</v>
      </c>
    </row>
    <row r="7" spans="1:9" x14ac:dyDescent="0.3">
      <c r="A7" t="s">
        <v>450</v>
      </c>
      <c r="B7" t="s">
        <v>418</v>
      </c>
      <c r="C7" t="s">
        <v>10</v>
      </c>
      <c r="D7" t="s">
        <v>193</v>
      </c>
      <c r="E7" t="s">
        <v>418</v>
      </c>
      <c r="G7" t="str">
        <f t="shared" si="0"/>
        <v>TQ_RFR-N-OBJ4-ANS</v>
      </c>
      <c r="H7">
        <v>4</v>
      </c>
      <c r="I7" t="str">
        <f t="shared" si="1"/>
        <v>TQ_RFR-N-OBJ4</v>
      </c>
    </row>
    <row r="8" spans="1:9" x14ac:dyDescent="0.3">
      <c r="A8" t="s">
        <v>451</v>
      </c>
      <c r="B8" t="s">
        <v>419</v>
      </c>
      <c r="C8" t="s">
        <v>10</v>
      </c>
      <c r="D8" t="s">
        <v>193</v>
      </c>
      <c r="E8" t="s">
        <v>419</v>
      </c>
      <c r="G8" t="str">
        <f t="shared" si="0"/>
        <v>TQ_RFR-N-STRA-ANS</v>
      </c>
      <c r="H8">
        <v>4</v>
      </c>
      <c r="I8" t="str">
        <f t="shared" si="1"/>
        <v>TQ_RFR-N-STRA</v>
      </c>
    </row>
    <row r="9" spans="1:9" x14ac:dyDescent="0.3">
      <c r="A9" t="s">
        <v>452</v>
      </c>
      <c r="B9" t="s">
        <v>420</v>
      </c>
      <c r="C9" t="s">
        <v>10</v>
      </c>
      <c r="D9" t="s">
        <v>193</v>
      </c>
      <c r="E9" t="s">
        <v>420</v>
      </c>
      <c r="G9" t="str">
        <f t="shared" si="0"/>
        <v>TQ_RFR-N-PORT-ANS</v>
      </c>
      <c r="H9">
        <v>4</v>
      </c>
      <c r="I9" t="str">
        <f t="shared" si="1"/>
        <v>TQ_RFR-N-PORT</v>
      </c>
    </row>
    <row r="10" spans="1:9" x14ac:dyDescent="0.3">
      <c r="A10" t="s">
        <v>453</v>
      </c>
      <c r="B10" t="s">
        <v>421</v>
      </c>
      <c r="C10" t="s">
        <v>10</v>
      </c>
      <c r="D10" t="s">
        <v>193</v>
      </c>
      <c r="E10" t="s">
        <v>421</v>
      </c>
      <c r="G10" t="str">
        <f t="shared" si="0"/>
        <v>TQ_RFR-N-LAND-ANS</v>
      </c>
      <c r="H10">
        <v>4</v>
      </c>
      <c r="I10" t="str">
        <f t="shared" si="1"/>
        <v>TQ_RFR-N-LAND</v>
      </c>
    </row>
    <row r="11" spans="1:9" x14ac:dyDescent="0.3">
      <c r="A11" t="s">
        <v>454</v>
      </c>
      <c r="B11" t="s">
        <v>343</v>
      </c>
      <c r="C11" t="s">
        <v>10</v>
      </c>
      <c r="D11" t="s">
        <v>193</v>
      </c>
      <c r="E11" t="s">
        <v>343</v>
      </c>
      <c r="G11" t="str">
        <f t="shared" si="0"/>
        <v>TQ_IFR-N-i1.*ANS</v>
      </c>
      <c r="H11">
        <v>5</v>
      </c>
      <c r="I11" t="str">
        <f t="shared" si="1"/>
        <v>TQ_IFR-N-i1</v>
      </c>
    </row>
    <row r="12" spans="1:9" x14ac:dyDescent="0.3">
      <c r="A12" t="s">
        <v>455</v>
      </c>
      <c r="B12" t="s">
        <v>344</v>
      </c>
      <c r="C12" t="s">
        <v>10</v>
      </c>
      <c r="D12" t="s">
        <v>193</v>
      </c>
      <c r="E12" t="s">
        <v>344</v>
      </c>
      <c r="G12" t="str">
        <f t="shared" si="0"/>
        <v>TQ_IFR-N-i2.*ANS</v>
      </c>
      <c r="H12">
        <v>5</v>
      </c>
      <c r="I12" t="str">
        <f t="shared" si="1"/>
        <v>TQ_IFR-N-i2</v>
      </c>
    </row>
    <row r="13" spans="1:9" x14ac:dyDescent="0.3">
      <c r="A13" t="s">
        <v>456</v>
      </c>
      <c r="B13" t="s">
        <v>345</v>
      </c>
      <c r="C13" t="s">
        <v>10</v>
      </c>
      <c r="D13" t="s">
        <v>193</v>
      </c>
      <c r="E13" t="s">
        <v>345</v>
      </c>
      <c r="G13" t="str">
        <f t="shared" si="0"/>
        <v>TQ_IFR-N-i3.*ANS</v>
      </c>
      <c r="H13">
        <v>5</v>
      </c>
      <c r="I13" t="str">
        <f t="shared" si="1"/>
        <v>TQ_IFR-N-i3</v>
      </c>
    </row>
    <row r="14" spans="1:9" x14ac:dyDescent="0.3">
      <c r="A14" t="s">
        <v>457</v>
      </c>
      <c r="B14" t="s">
        <v>346</v>
      </c>
      <c r="C14" t="s">
        <v>10</v>
      </c>
      <c r="D14" t="s">
        <v>193</v>
      </c>
      <c r="E14" t="s">
        <v>346</v>
      </c>
      <c r="G14" t="str">
        <f t="shared" si="0"/>
        <v>TQ_IFR-N-i4.*ANS</v>
      </c>
      <c r="H14">
        <v>5</v>
      </c>
      <c r="I14" t="str">
        <f t="shared" si="1"/>
        <v>TQ_IFR-N-i4</v>
      </c>
    </row>
    <row r="15" spans="1:9" x14ac:dyDescent="0.3">
      <c r="A15" t="s">
        <v>458</v>
      </c>
      <c r="B15" t="s">
        <v>347</v>
      </c>
      <c r="C15" t="s">
        <v>10</v>
      </c>
      <c r="D15" t="s">
        <v>193</v>
      </c>
      <c r="E15" t="s">
        <v>347</v>
      </c>
      <c r="G15" t="str">
        <f t="shared" si="0"/>
        <v>TQ_IFR-N-i5.*ANS</v>
      </c>
      <c r="H15">
        <v>5</v>
      </c>
      <c r="I15" t="str">
        <f t="shared" si="1"/>
        <v>TQ_IFR-N-i5</v>
      </c>
    </row>
    <row r="16" spans="1:9" x14ac:dyDescent="0.3">
      <c r="A16" t="s">
        <v>459</v>
      </c>
      <c r="B16" t="s">
        <v>348</v>
      </c>
      <c r="C16" t="s">
        <v>10</v>
      </c>
      <c r="D16" t="s">
        <v>193</v>
      </c>
      <c r="E16" t="s">
        <v>348</v>
      </c>
      <c r="G16" t="str">
        <f t="shared" si="0"/>
        <v>TQ_IFR-N-i6.*ANS</v>
      </c>
      <c r="H16">
        <v>5</v>
      </c>
      <c r="I16" t="str">
        <f t="shared" si="1"/>
        <v>TQ_IFR-N-i6</v>
      </c>
    </row>
    <row r="17" spans="1:9" x14ac:dyDescent="0.3">
      <c r="A17" t="s">
        <v>460</v>
      </c>
      <c r="B17" t="s">
        <v>422</v>
      </c>
      <c r="C17" t="s">
        <v>10</v>
      </c>
      <c r="D17" t="s">
        <v>193</v>
      </c>
      <c r="E17" t="s">
        <v>422</v>
      </c>
      <c r="G17" t="str">
        <f t="shared" si="0"/>
        <v>TQ_RFR-O-RORD-ANS</v>
      </c>
      <c r="H17">
        <v>4</v>
      </c>
      <c r="I17" t="str">
        <f t="shared" si="1"/>
        <v>TQ_RFR-O-RORD</v>
      </c>
    </row>
    <row r="18" spans="1:9" x14ac:dyDescent="0.3">
      <c r="A18" t="s">
        <v>461</v>
      </c>
      <c r="B18" t="s">
        <v>423</v>
      </c>
      <c r="C18" t="s">
        <v>10</v>
      </c>
      <c r="D18" t="s">
        <v>193</v>
      </c>
      <c r="E18" t="s">
        <v>423</v>
      </c>
      <c r="G18" t="str">
        <f t="shared" si="0"/>
        <v>TQ_RFR-O-TMOD-ANS</v>
      </c>
      <c r="H18">
        <v>4</v>
      </c>
      <c r="I18" t="str">
        <f t="shared" si="1"/>
        <v>TQ_RFR-O-TMOD</v>
      </c>
    </row>
    <row r="19" spans="1:9" x14ac:dyDescent="0.3">
      <c r="A19" t="s">
        <v>462</v>
      </c>
      <c r="B19" t="s">
        <v>424</v>
      </c>
      <c r="C19" t="s">
        <v>10</v>
      </c>
      <c r="D19" t="s">
        <v>193</v>
      </c>
      <c r="E19" t="s">
        <v>424</v>
      </c>
      <c r="G19" t="str">
        <f t="shared" si="0"/>
        <v>TQ_RFR-N-WEAT-ANS</v>
      </c>
      <c r="H19">
        <v>4</v>
      </c>
      <c r="I19" t="str">
        <f t="shared" si="1"/>
        <v>TQ_RFR-N-WEAT</v>
      </c>
    </row>
    <row r="20" spans="1:9" x14ac:dyDescent="0.3">
      <c r="A20" t="s">
        <v>463</v>
      </c>
      <c r="B20" t="s">
        <v>425</v>
      </c>
      <c r="C20" t="s">
        <v>10</v>
      </c>
      <c r="D20" t="s">
        <v>193</v>
      </c>
      <c r="E20" t="s">
        <v>425</v>
      </c>
      <c r="G20" t="str">
        <f t="shared" si="0"/>
        <v>TQ_RFR-L-OBJ1-ANS</v>
      </c>
      <c r="H20">
        <v>4</v>
      </c>
      <c r="I20" t="str">
        <f t="shared" si="1"/>
        <v>TQ_RFR-L-OBJ1</v>
      </c>
    </row>
    <row r="21" spans="1:9" x14ac:dyDescent="0.3">
      <c r="A21" t="s">
        <v>464</v>
      </c>
      <c r="B21" t="s">
        <v>426</v>
      </c>
      <c r="C21" t="s">
        <v>10</v>
      </c>
      <c r="D21" t="s">
        <v>193</v>
      </c>
      <c r="E21" t="s">
        <v>426</v>
      </c>
      <c r="G21" t="str">
        <f t="shared" si="0"/>
        <v>TQ_RFR-L-OBJ2-ANS</v>
      </c>
      <c r="H21">
        <v>4</v>
      </c>
      <c r="I21" t="str">
        <f t="shared" si="1"/>
        <v>TQ_RFR-L-OBJ2</v>
      </c>
    </row>
    <row r="22" spans="1:9" x14ac:dyDescent="0.3">
      <c r="A22" t="s">
        <v>465</v>
      </c>
      <c r="B22" t="s">
        <v>427</v>
      </c>
      <c r="C22" t="s">
        <v>10</v>
      </c>
      <c r="D22" t="s">
        <v>193</v>
      </c>
      <c r="E22" t="s">
        <v>427</v>
      </c>
      <c r="G22" t="str">
        <f t="shared" si="0"/>
        <v>TQ_RFR-L-OBJ3-ANS</v>
      </c>
      <c r="H22">
        <v>4</v>
      </c>
      <c r="I22" t="str">
        <f t="shared" si="1"/>
        <v>TQ_RFR-L-OBJ3</v>
      </c>
    </row>
    <row r="23" spans="1:9" x14ac:dyDescent="0.3">
      <c r="A23" t="s">
        <v>466</v>
      </c>
      <c r="B23" t="s">
        <v>428</v>
      </c>
      <c r="C23" t="s">
        <v>10</v>
      </c>
      <c r="D23" t="s">
        <v>193</v>
      </c>
      <c r="E23" t="s">
        <v>428</v>
      </c>
      <c r="G23" t="str">
        <f t="shared" si="0"/>
        <v>TQ_RFR-L-OBJ4-ANS</v>
      </c>
      <c r="H23">
        <v>4</v>
      </c>
      <c r="I23" t="str">
        <f t="shared" si="1"/>
        <v>TQ_RFR-L-OBJ4</v>
      </c>
    </row>
    <row r="24" spans="1:9" x14ac:dyDescent="0.3">
      <c r="A24" t="s">
        <v>467</v>
      </c>
      <c r="B24" t="s">
        <v>429</v>
      </c>
      <c r="C24" t="s">
        <v>10</v>
      </c>
      <c r="D24" t="s">
        <v>193</v>
      </c>
      <c r="E24" t="s">
        <v>429</v>
      </c>
      <c r="G24" t="str">
        <f t="shared" si="0"/>
        <v>TQ_RFR-L-DOOR-ANS</v>
      </c>
      <c r="H24">
        <v>4</v>
      </c>
      <c r="I24" t="str">
        <f t="shared" si="1"/>
        <v>TQ_RFR-L-DOOR</v>
      </c>
    </row>
    <row r="25" spans="1:9" x14ac:dyDescent="0.3">
      <c r="A25" t="s">
        <v>468</v>
      </c>
      <c r="B25" t="s">
        <v>430</v>
      </c>
      <c r="C25" t="s">
        <v>10</v>
      </c>
      <c r="D25" t="s">
        <v>193</v>
      </c>
      <c r="E25" t="s">
        <v>430</v>
      </c>
      <c r="G25" t="str">
        <f t="shared" si="0"/>
        <v>TQ_RFR-L-WIND-ANS</v>
      </c>
      <c r="H25">
        <v>4</v>
      </c>
      <c r="I25" t="str">
        <f t="shared" si="1"/>
        <v>TQ_RFR-L-WIND</v>
      </c>
    </row>
    <row r="26" spans="1:9" x14ac:dyDescent="0.3">
      <c r="A26" t="s">
        <v>469</v>
      </c>
      <c r="B26" t="s">
        <v>431</v>
      </c>
      <c r="C26" t="s">
        <v>10</v>
      </c>
      <c r="D26" t="s">
        <v>193</v>
      </c>
      <c r="E26" t="s">
        <v>431</v>
      </c>
      <c r="G26" t="str">
        <f t="shared" si="0"/>
        <v>TQ_RFR-L-PORT-ANS</v>
      </c>
      <c r="H26">
        <v>4</v>
      </c>
      <c r="I26" t="str">
        <f t="shared" si="1"/>
        <v>TQ_RFR-L-PORT</v>
      </c>
    </row>
    <row r="27" spans="1:9" x14ac:dyDescent="0.3">
      <c r="A27" t="s">
        <v>470</v>
      </c>
      <c r="B27" t="s">
        <v>432</v>
      </c>
      <c r="C27" t="s">
        <v>10</v>
      </c>
      <c r="D27" t="s">
        <v>193</v>
      </c>
      <c r="E27" t="s">
        <v>432</v>
      </c>
      <c r="G27" t="str">
        <f t="shared" si="0"/>
        <v>TQ_RFR-L-LAND-ANS</v>
      </c>
      <c r="H27">
        <v>4</v>
      </c>
      <c r="I27" t="str">
        <f t="shared" si="1"/>
        <v>TQ_RFR-L-LAND</v>
      </c>
    </row>
    <row r="28" spans="1:9" x14ac:dyDescent="0.3">
      <c r="A28" t="s">
        <v>471</v>
      </c>
      <c r="B28" t="s">
        <v>433</v>
      </c>
      <c r="C28" t="s">
        <v>10</v>
      </c>
      <c r="D28" t="s">
        <v>193</v>
      </c>
      <c r="E28" t="s">
        <v>433</v>
      </c>
      <c r="G28" t="str">
        <f t="shared" si="0"/>
        <v>TQ_RFR-L-STRA-ANS</v>
      </c>
      <c r="H28">
        <v>4</v>
      </c>
      <c r="I28" t="str">
        <f t="shared" si="1"/>
        <v>TQ_RFR-L-STRA</v>
      </c>
    </row>
    <row r="29" spans="1:9" x14ac:dyDescent="0.3">
      <c r="A29" t="s">
        <v>472</v>
      </c>
      <c r="B29" t="s">
        <v>349</v>
      </c>
      <c r="C29" t="s">
        <v>10</v>
      </c>
      <c r="D29" t="s">
        <v>193</v>
      </c>
      <c r="E29" t="s">
        <v>349</v>
      </c>
      <c r="G29" t="str">
        <f t="shared" si="0"/>
        <v>TQ_IFR-U-i1.*ANS</v>
      </c>
      <c r="H29">
        <v>5</v>
      </c>
      <c r="I29" t="str">
        <f t="shared" si="1"/>
        <v>TQ_IFR-U-i1</v>
      </c>
    </row>
    <row r="30" spans="1:9" x14ac:dyDescent="0.3">
      <c r="A30" t="s">
        <v>473</v>
      </c>
      <c r="B30" t="s">
        <v>350</v>
      </c>
      <c r="C30" t="s">
        <v>10</v>
      </c>
      <c r="D30" t="s">
        <v>193</v>
      </c>
      <c r="E30" t="s">
        <v>350</v>
      </c>
      <c r="G30" t="str">
        <f t="shared" si="0"/>
        <v>TQ_IFR-U-i2.*ANS</v>
      </c>
      <c r="H30">
        <v>5</v>
      </c>
      <c r="I30" t="str">
        <f t="shared" si="1"/>
        <v>TQ_IFR-U-i2</v>
      </c>
    </row>
    <row r="31" spans="1:9" x14ac:dyDescent="0.3">
      <c r="A31" t="s">
        <v>474</v>
      </c>
      <c r="B31" t="s">
        <v>351</v>
      </c>
      <c r="C31" t="s">
        <v>10</v>
      </c>
      <c r="D31" t="s">
        <v>193</v>
      </c>
      <c r="E31" t="s">
        <v>351</v>
      </c>
      <c r="G31" t="str">
        <f t="shared" si="0"/>
        <v>TQ_IFR-U-i3.*ANS</v>
      </c>
      <c r="H31">
        <v>5</v>
      </c>
      <c r="I31" t="str">
        <f t="shared" si="1"/>
        <v>TQ_IFR-U-i3</v>
      </c>
    </row>
    <row r="32" spans="1:9" x14ac:dyDescent="0.3">
      <c r="A32" t="s">
        <v>475</v>
      </c>
      <c r="B32" t="s">
        <v>352</v>
      </c>
      <c r="C32" t="s">
        <v>10</v>
      </c>
      <c r="D32" t="s">
        <v>193</v>
      </c>
      <c r="E32" t="s">
        <v>352</v>
      </c>
      <c r="G32" t="str">
        <f t="shared" si="0"/>
        <v>TQ_IFR-U-i4.*ANS</v>
      </c>
      <c r="H32">
        <v>5</v>
      </c>
      <c r="I32" t="str">
        <f t="shared" si="1"/>
        <v>TQ_IFR-U-i4</v>
      </c>
    </row>
    <row r="33" spans="1:9" x14ac:dyDescent="0.3">
      <c r="A33" t="s">
        <v>476</v>
      </c>
      <c r="B33" t="s">
        <v>353</v>
      </c>
      <c r="C33" t="s">
        <v>10</v>
      </c>
      <c r="D33" t="s">
        <v>193</v>
      </c>
      <c r="E33" t="s">
        <v>353</v>
      </c>
      <c r="G33" t="str">
        <f t="shared" si="0"/>
        <v>TQ_IFR-U-i5.*ANS</v>
      </c>
      <c r="H33">
        <v>5</v>
      </c>
      <c r="I33" t="str">
        <f t="shared" si="1"/>
        <v>TQ_IFR-U-i5</v>
      </c>
    </row>
    <row r="34" spans="1:9" x14ac:dyDescent="0.3">
      <c r="A34" t="s">
        <v>477</v>
      </c>
      <c r="B34" t="s">
        <v>354</v>
      </c>
      <c r="C34" t="s">
        <v>10</v>
      </c>
      <c r="D34" t="s">
        <v>193</v>
      </c>
      <c r="E34" t="s">
        <v>354</v>
      </c>
      <c r="G34" t="str">
        <f t="shared" si="0"/>
        <v>TQ_IFR-U-i6.*ANS</v>
      </c>
      <c r="H34">
        <v>5</v>
      </c>
      <c r="I34" t="str">
        <f t="shared" si="1"/>
        <v>TQ_IFR-U-i6</v>
      </c>
    </row>
    <row r="35" spans="1:9" x14ac:dyDescent="0.3">
      <c r="A35" t="s">
        <v>478</v>
      </c>
      <c r="B35" t="s">
        <v>355</v>
      </c>
      <c r="C35" t="s">
        <v>10</v>
      </c>
      <c r="D35" t="s">
        <v>193</v>
      </c>
      <c r="E35" t="s">
        <v>355</v>
      </c>
      <c r="G35" t="str">
        <f t="shared" si="0"/>
        <v>TQ_IFR-D-i1.*ANS</v>
      </c>
      <c r="H35">
        <v>5</v>
      </c>
      <c r="I35" t="str">
        <f t="shared" si="1"/>
        <v>TQ_IFR-D-i1</v>
      </c>
    </row>
    <row r="36" spans="1:9" x14ac:dyDescent="0.3">
      <c r="A36" t="s">
        <v>479</v>
      </c>
      <c r="B36" t="s">
        <v>356</v>
      </c>
      <c r="C36" t="s">
        <v>10</v>
      </c>
      <c r="D36" t="s">
        <v>193</v>
      </c>
      <c r="E36" t="s">
        <v>356</v>
      </c>
      <c r="G36" t="str">
        <f t="shared" si="0"/>
        <v>TQ_IFR-D-i2.*ANS</v>
      </c>
      <c r="H36">
        <v>5</v>
      </c>
      <c r="I36" t="str">
        <f t="shared" si="1"/>
        <v>TQ_IFR-D-i2</v>
      </c>
    </row>
    <row r="37" spans="1:9" x14ac:dyDescent="0.3">
      <c r="A37" t="s">
        <v>480</v>
      </c>
      <c r="B37" t="s">
        <v>357</v>
      </c>
      <c r="C37" t="s">
        <v>10</v>
      </c>
      <c r="D37" t="s">
        <v>193</v>
      </c>
      <c r="E37" t="s">
        <v>357</v>
      </c>
      <c r="G37" t="str">
        <f t="shared" si="0"/>
        <v>TQ_IFR-D-i3.*ANS</v>
      </c>
      <c r="H37">
        <v>5</v>
      </c>
      <c r="I37" t="str">
        <f t="shared" si="1"/>
        <v>TQ_IFR-D-i3</v>
      </c>
    </row>
    <row r="38" spans="1:9" x14ac:dyDescent="0.3">
      <c r="A38" t="s">
        <v>481</v>
      </c>
      <c r="B38" t="s">
        <v>358</v>
      </c>
      <c r="C38" t="s">
        <v>10</v>
      </c>
      <c r="D38" t="s">
        <v>193</v>
      </c>
      <c r="E38" t="s">
        <v>358</v>
      </c>
      <c r="G38" t="str">
        <f t="shared" si="0"/>
        <v>TQ_IFR-D-i4.*ANS</v>
      </c>
      <c r="H38">
        <v>5</v>
      </c>
      <c r="I38" t="str">
        <f t="shared" si="1"/>
        <v>TQ_IFR-D-i4</v>
      </c>
    </row>
    <row r="39" spans="1:9" x14ac:dyDescent="0.3">
      <c r="A39" t="s">
        <v>482</v>
      </c>
      <c r="B39" t="s">
        <v>359</v>
      </c>
      <c r="C39" t="s">
        <v>10</v>
      </c>
      <c r="D39" t="s">
        <v>193</v>
      </c>
      <c r="E39" t="s">
        <v>359</v>
      </c>
      <c r="G39" t="str">
        <f t="shared" si="0"/>
        <v>TQ_IFR-D-i5.*ANS</v>
      </c>
      <c r="H39">
        <v>5</v>
      </c>
      <c r="I39" t="str">
        <f t="shared" si="1"/>
        <v>TQ_IFR-D-i5</v>
      </c>
    </row>
    <row r="40" spans="1:9" x14ac:dyDescent="0.3">
      <c r="A40" t="s">
        <v>483</v>
      </c>
      <c r="B40" t="s">
        <v>360</v>
      </c>
      <c r="C40" t="s">
        <v>10</v>
      </c>
      <c r="D40" t="s">
        <v>193</v>
      </c>
      <c r="E40" t="s">
        <v>360</v>
      </c>
      <c r="G40" t="str">
        <f t="shared" si="0"/>
        <v>TQ_IFR-D-i6.*ANS</v>
      </c>
      <c r="H40">
        <v>5</v>
      </c>
      <c r="I40" t="str">
        <f t="shared" si="1"/>
        <v>TQ_IFR-D-i6</v>
      </c>
    </row>
    <row r="41" spans="1:9" x14ac:dyDescent="0.3">
      <c r="A41" t="s">
        <v>484</v>
      </c>
      <c r="B41" t="s">
        <v>361</v>
      </c>
      <c r="C41" t="s">
        <v>10</v>
      </c>
      <c r="D41" t="s">
        <v>193</v>
      </c>
      <c r="E41" t="s">
        <v>361</v>
      </c>
      <c r="G41" t="str">
        <f t="shared" si="0"/>
        <v>TQ_IFR-O-i1.*ANS</v>
      </c>
      <c r="H41">
        <v>5</v>
      </c>
      <c r="I41" t="str">
        <f t="shared" si="1"/>
        <v>TQ_IFR-O-i1</v>
      </c>
    </row>
    <row r="42" spans="1:9" x14ac:dyDescent="0.3">
      <c r="A42" t="s">
        <v>485</v>
      </c>
      <c r="B42" t="s">
        <v>362</v>
      </c>
      <c r="C42" t="s">
        <v>10</v>
      </c>
      <c r="D42" t="s">
        <v>193</v>
      </c>
      <c r="E42" t="s">
        <v>362</v>
      </c>
      <c r="G42" t="str">
        <f t="shared" si="0"/>
        <v>TQ_IFR-O-i2.*ANS</v>
      </c>
      <c r="H42">
        <v>5</v>
      </c>
      <c r="I42" t="str">
        <f t="shared" si="1"/>
        <v>TQ_IFR-O-i2</v>
      </c>
    </row>
    <row r="43" spans="1:9" x14ac:dyDescent="0.3">
      <c r="A43" t="s">
        <v>486</v>
      </c>
      <c r="B43" t="s">
        <v>363</v>
      </c>
      <c r="C43" t="s">
        <v>10</v>
      </c>
      <c r="D43" t="s">
        <v>193</v>
      </c>
      <c r="E43" t="s">
        <v>363</v>
      </c>
      <c r="G43" t="str">
        <f t="shared" si="0"/>
        <v>TQ_IFR-O-i3.*ANS</v>
      </c>
      <c r="H43">
        <v>5</v>
      </c>
      <c r="I43" t="str">
        <f t="shared" si="1"/>
        <v>TQ_IFR-O-i3</v>
      </c>
    </row>
    <row r="44" spans="1:9" x14ac:dyDescent="0.3">
      <c r="A44" t="s">
        <v>487</v>
      </c>
      <c r="B44" t="s">
        <v>364</v>
      </c>
      <c r="C44" t="s">
        <v>10</v>
      </c>
      <c r="D44" t="s">
        <v>193</v>
      </c>
      <c r="E44" t="s">
        <v>364</v>
      </c>
      <c r="G44" t="str">
        <f t="shared" si="0"/>
        <v>TQ_IFR-O-i4.*ANS</v>
      </c>
      <c r="H44">
        <v>5</v>
      </c>
      <c r="I44" t="str">
        <f t="shared" si="1"/>
        <v>TQ_IFR-O-i4</v>
      </c>
    </row>
    <row r="45" spans="1:9" x14ac:dyDescent="0.3">
      <c r="A45" t="s">
        <v>488</v>
      </c>
      <c r="B45" t="s">
        <v>365</v>
      </c>
      <c r="C45" t="s">
        <v>10</v>
      </c>
      <c r="D45" t="s">
        <v>193</v>
      </c>
      <c r="E45" t="s">
        <v>365</v>
      </c>
      <c r="G45" t="str">
        <f t="shared" si="0"/>
        <v>TQ_IFR-O-i5.*ANS</v>
      </c>
      <c r="H45">
        <v>5</v>
      </c>
      <c r="I45" t="str">
        <f t="shared" si="1"/>
        <v>TQ_IFR-O-i5</v>
      </c>
    </row>
    <row r="46" spans="1:9" x14ac:dyDescent="0.3">
      <c r="A46" t="s">
        <v>489</v>
      </c>
      <c r="B46" t="s">
        <v>366</v>
      </c>
      <c r="C46" t="s">
        <v>10</v>
      </c>
      <c r="D46" t="s">
        <v>193</v>
      </c>
      <c r="E46" t="s">
        <v>366</v>
      </c>
      <c r="G46" t="str">
        <f t="shared" si="0"/>
        <v>TQ_IFR-O-i6.*ANS</v>
      </c>
      <c r="H46">
        <v>5</v>
      </c>
      <c r="I46" t="str">
        <f t="shared" si="1"/>
        <v>TQ_IFR-O-i6</v>
      </c>
    </row>
    <row r="47" spans="1:9" x14ac:dyDescent="0.3">
      <c r="A47" t="s">
        <v>490</v>
      </c>
      <c r="B47" t="s">
        <v>434</v>
      </c>
      <c r="C47" t="s">
        <v>10</v>
      </c>
      <c r="D47" t="s">
        <v>193</v>
      </c>
      <c r="E47" t="s">
        <v>434</v>
      </c>
      <c r="G47" t="str">
        <f t="shared" si="0"/>
        <v>TQ_TCR-O-TSK1-ANS</v>
      </c>
      <c r="H47">
        <v>4</v>
      </c>
      <c r="I47" t="str">
        <f t="shared" si="1"/>
        <v>TQ_TCR-O-TSK1</v>
      </c>
    </row>
    <row r="48" spans="1:9" x14ac:dyDescent="0.3">
      <c r="A48" t="s">
        <v>491</v>
      </c>
      <c r="B48" t="s">
        <v>435</v>
      </c>
      <c r="C48" t="s">
        <v>10</v>
      </c>
      <c r="D48" t="s">
        <v>193</v>
      </c>
      <c r="E48" t="s">
        <v>435</v>
      </c>
      <c r="G48" t="str">
        <f t="shared" si="0"/>
        <v>TQ_TCR-O-TSK2-ANS</v>
      </c>
      <c r="H48">
        <v>4</v>
      </c>
      <c r="I48" t="str">
        <f t="shared" si="1"/>
        <v>TQ_TCR-O-TSK2</v>
      </c>
    </row>
    <row r="49" spans="1:9" x14ac:dyDescent="0.3">
      <c r="A49" t="s">
        <v>492</v>
      </c>
      <c r="B49" t="s">
        <v>436</v>
      </c>
      <c r="C49" t="s">
        <v>10</v>
      </c>
      <c r="D49" t="s">
        <v>193</v>
      </c>
      <c r="E49" t="s">
        <v>436</v>
      </c>
      <c r="G49" t="str">
        <f t="shared" si="0"/>
        <v>TQ_TCR-O-TSK3-ANS</v>
      </c>
      <c r="H49">
        <v>4</v>
      </c>
      <c r="I49" t="str">
        <f t="shared" si="1"/>
        <v>TQ_TCR-O-TSK3</v>
      </c>
    </row>
    <row r="50" spans="1:9" x14ac:dyDescent="0.3">
      <c r="A50" t="s">
        <v>493</v>
      </c>
      <c r="B50" t="s">
        <v>437</v>
      </c>
      <c r="C50" t="s">
        <v>10</v>
      </c>
      <c r="D50" t="s">
        <v>193</v>
      </c>
      <c r="E50" t="s">
        <v>437</v>
      </c>
      <c r="G50" t="str">
        <f t="shared" si="0"/>
        <v>TQ_TCR-O-TSK4-ANS</v>
      </c>
      <c r="H50">
        <v>4</v>
      </c>
      <c r="I50" t="str">
        <f t="shared" si="1"/>
        <v>TQ_TCR-O-TSK4</v>
      </c>
    </row>
    <row r="51" spans="1:9" x14ac:dyDescent="0.3">
      <c r="A51" t="s">
        <v>494</v>
      </c>
      <c r="B51" t="s">
        <v>438</v>
      </c>
      <c r="C51" t="s">
        <v>10</v>
      </c>
      <c r="D51" t="s">
        <v>193</v>
      </c>
      <c r="E51" t="s">
        <v>438</v>
      </c>
      <c r="G51" t="str">
        <f t="shared" si="0"/>
        <v>TQ_TCR-O-TSK5-ANS</v>
      </c>
      <c r="H51">
        <v>4</v>
      </c>
      <c r="I51" t="str">
        <f t="shared" si="1"/>
        <v>TQ_TCR-O-TSK5</v>
      </c>
    </row>
    <row r="52" spans="1:9" x14ac:dyDescent="0.3">
      <c r="A52" t="s">
        <v>495</v>
      </c>
      <c r="B52" t="s">
        <v>439</v>
      </c>
      <c r="C52" t="s">
        <v>10</v>
      </c>
      <c r="D52" t="s">
        <v>193</v>
      </c>
      <c r="E52" t="s">
        <v>439</v>
      </c>
      <c r="G52" t="str">
        <f t="shared" si="0"/>
        <v>TQ_TCR-O-TSK6-ANS</v>
      </c>
      <c r="H52">
        <v>4</v>
      </c>
      <c r="I52" t="str">
        <f t="shared" si="1"/>
        <v>TQ_TCR-O-TSK6</v>
      </c>
    </row>
    <row r="53" spans="1:9" x14ac:dyDescent="0.3">
      <c r="A53" t="s">
        <v>496</v>
      </c>
      <c r="B53" t="s">
        <v>367</v>
      </c>
      <c r="C53" t="s">
        <v>10</v>
      </c>
      <c r="D53" t="s">
        <v>193</v>
      </c>
      <c r="E53" t="s">
        <v>367</v>
      </c>
      <c r="G53" t="str">
        <f t="shared" si="0"/>
        <v>TQ_ICR-N-i1.*ANS</v>
      </c>
      <c r="H53">
        <v>5</v>
      </c>
      <c r="I53" t="str">
        <f t="shared" si="1"/>
        <v>TQ_ICR-N-i1</v>
      </c>
    </row>
    <row r="54" spans="1:9" x14ac:dyDescent="0.3">
      <c r="A54" t="s">
        <v>497</v>
      </c>
      <c r="B54" t="s">
        <v>368</v>
      </c>
      <c r="C54" t="s">
        <v>10</v>
      </c>
      <c r="D54" t="s">
        <v>193</v>
      </c>
      <c r="E54" t="s">
        <v>368</v>
      </c>
      <c r="G54" t="str">
        <f t="shared" si="0"/>
        <v>TQ_ICR-N-i2.*ANS</v>
      </c>
      <c r="H54">
        <v>5</v>
      </c>
      <c r="I54" t="str">
        <f t="shared" si="1"/>
        <v>TQ_ICR-N-i2</v>
      </c>
    </row>
    <row r="55" spans="1:9" x14ac:dyDescent="0.3">
      <c r="A55" t="s">
        <v>498</v>
      </c>
      <c r="B55" t="s">
        <v>369</v>
      </c>
      <c r="C55" t="s">
        <v>10</v>
      </c>
      <c r="D55" t="s">
        <v>193</v>
      </c>
      <c r="E55" t="s">
        <v>369</v>
      </c>
      <c r="G55" t="str">
        <f t="shared" si="0"/>
        <v>TQ_ICR-N-i3.*ANS</v>
      </c>
      <c r="H55">
        <v>5</v>
      </c>
      <c r="I55" t="str">
        <f t="shared" si="1"/>
        <v>TQ_ICR-N-i3</v>
      </c>
    </row>
    <row r="56" spans="1:9" x14ac:dyDescent="0.3">
      <c r="A56" t="s">
        <v>499</v>
      </c>
      <c r="B56" t="s">
        <v>370</v>
      </c>
      <c r="C56" t="s">
        <v>10</v>
      </c>
      <c r="D56" t="s">
        <v>193</v>
      </c>
      <c r="E56" t="s">
        <v>370</v>
      </c>
      <c r="G56" t="str">
        <f t="shared" si="0"/>
        <v>TQ_ICR-N-i4.*ANS</v>
      </c>
      <c r="H56">
        <v>5</v>
      </c>
      <c r="I56" t="str">
        <f t="shared" si="1"/>
        <v>TQ_ICR-N-i4</v>
      </c>
    </row>
    <row r="57" spans="1:9" x14ac:dyDescent="0.3">
      <c r="A57" t="s">
        <v>500</v>
      </c>
      <c r="B57" t="s">
        <v>371</v>
      </c>
      <c r="C57" t="s">
        <v>10</v>
      </c>
      <c r="D57" t="s">
        <v>193</v>
      </c>
      <c r="E57" t="s">
        <v>371</v>
      </c>
      <c r="G57" t="str">
        <f t="shared" si="0"/>
        <v>TQ_ICR-N-i5.*ANS</v>
      </c>
      <c r="H57">
        <v>5</v>
      </c>
      <c r="I57" t="str">
        <f t="shared" si="1"/>
        <v>TQ_ICR-N-i5</v>
      </c>
    </row>
    <row r="58" spans="1:9" x14ac:dyDescent="0.3">
      <c r="A58" t="s">
        <v>501</v>
      </c>
      <c r="B58" t="s">
        <v>372</v>
      </c>
      <c r="C58" t="s">
        <v>10</v>
      </c>
      <c r="D58" t="s">
        <v>193</v>
      </c>
      <c r="E58" t="s">
        <v>372</v>
      </c>
      <c r="G58" t="str">
        <f t="shared" si="0"/>
        <v>TQ_ICR-N-i6.*ANS</v>
      </c>
      <c r="H58">
        <v>5</v>
      </c>
      <c r="I58" t="str">
        <f t="shared" si="1"/>
        <v>TQ_ICR-N-i6</v>
      </c>
    </row>
    <row r="59" spans="1:9" x14ac:dyDescent="0.3">
      <c r="A59" t="s">
        <v>502</v>
      </c>
      <c r="B59" t="s">
        <v>373</v>
      </c>
      <c r="C59" t="s">
        <v>10</v>
      </c>
      <c r="D59" t="s">
        <v>193</v>
      </c>
      <c r="E59" t="s">
        <v>373</v>
      </c>
      <c r="G59" t="str">
        <f t="shared" si="0"/>
        <v>TQ_ICR-U-i1.*ANS</v>
      </c>
      <c r="H59">
        <v>5</v>
      </c>
      <c r="I59" t="str">
        <f t="shared" si="1"/>
        <v>TQ_ICR-U-i1</v>
      </c>
    </row>
    <row r="60" spans="1:9" x14ac:dyDescent="0.3">
      <c r="A60" t="s">
        <v>503</v>
      </c>
      <c r="B60" t="s">
        <v>374</v>
      </c>
      <c r="C60" t="s">
        <v>10</v>
      </c>
      <c r="D60" t="s">
        <v>193</v>
      </c>
      <c r="E60" t="s">
        <v>374</v>
      </c>
      <c r="G60" t="str">
        <f t="shared" si="0"/>
        <v>TQ_ICR-U-i2.*ANS</v>
      </c>
      <c r="H60">
        <v>5</v>
      </c>
      <c r="I60" t="str">
        <f t="shared" si="1"/>
        <v>TQ_ICR-U-i2</v>
      </c>
    </row>
    <row r="61" spans="1:9" x14ac:dyDescent="0.3">
      <c r="A61" t="s">
        <v>504</v>
      </c>
      <c r="B61" t="s">
        <v>375</v>
      </c>
      <c r="C61" t="s">
        <v>10</v>
      </c>
      <c r="D61" t="s">
        <v>193</v>
      </c>
      <c r="E61" t="s">
        <v>375</v>
      </c>
      <c r="G61" t="str">
        <f t="shared" si="0"/>
        <v>TQ_ICR-U-i3.*ANS</v>
      </c>
      <c r="H61">
        <v>5</v>
      </c>
      <c r="I61" t="str">
        <f t="shared" si="1"/>
        <v>TQ_ICR-U-i3</v>
      </c>
    </row>
    <row r="62" spans="1:9" x14ac:dyDescent="0.3">
      <c r="A62" t="s">
        <v>505</v>
      </c>
      <c r="B62" t="s">
        <v>376</v>
      </c>
      <c r="C62" t="s">
        <v>10</v>
      </c>
      <c r="D62" t="s">
        <v>193</v>
      </c>
      <c r="E62" t="s">
        <v>376</v>
      </c>
      <c r="G62" t="str">
        <f t="shared" si="0"/>
        <v>TQ_ICR-U-i4.*ANS</v>
      </c>
      <c r="H62">
        <v>5</v>
      </c>
      <c r="I62" t="str">
        <f t="shared" si="1"/>
        <v>TQ_ICR-U-i4</v>
      </c>
    </row>
    <row r="63" spans="1:9" x14ac:dyDescent="0.3">
      <c r="A63" t="s">
        <v>506</v>
      </c>
      <c r="B63" t="s">
        <v>377</v>
      </c>
      <c r="C63" t="s">
        <v>10</v>
      </c>
      <c r="D63" t="s">
        <v>193</v>
      </c>
      <c r="E63" t="s">
        <v>377</v>
      </c>
      <c r="G63" t="str">
        <f t="shared" si="0"/>
        <v>TQ_ICR-U-i5.*ANS</v>
      </c>
      <c r="H63">
        <v>5</v>
      </c>
      <c r="I63" t="str">
        <f t="shared" si="1"/>
        <v>TQ_ICR-U-i5</v>
      </c>
    </row>
    <row r="64" spans="1:9" x14ac:dyDescent="0.3">
      <c r="A64" t="s">
        <v>507</v>
      </c>
      <c r="B64" t="s">
        <v>378</v>
      </c>
      <c r="C64" t="s">
        <v>10</v>
      </c>
      <c r="D64" t="s">
        <v>193</v>
      </c>
      <c r="E64" t="s">
        <v>378</v>
      </c>
      <c r="G64" t="str">
        <f t="shared" si="0"/>
        <v>TQ_ICR-U-i6.*ANS</v>
      </c>
      <c r="H64">
        <v>5</v>
      </c>
      <c r="I64" t="str">
        <f t="shared" si="1"/>
        <v>TQ_ICR-U-i6</v>
      </c>
    </row>
    <row r="65" spans="1:9" x14ac:dyDescent="0.3">
      <c r="A65" t="s">
        <v>508</v>
      </c>
      <c r="B65" t="s">
        <v>379</v>
      </c>
      <c r="C65" t="s">
        <v>10</v>
      </c>
      <c r="D65" t="s">
        <v>193</v>
      </c>
      <c r="E65" t="s">
        <v>379</v>
      </c>
      <c r="G65" t="str">
        <f t="shared" si="0"/>
        <v>TQ_ICR-D-i1.*ANS</v>
      </c>
      <c r="H65">
        <v>5</v>
      </c>
      <c r="I65" t="str">
        <f t="shared" si="1"/>
        <v>TQ_ICR-D-i1</v>
      </c>
    </row>
    <row r="66" spans="1:9" x14ac:dyDescent="0.3">
      <c r="A66" t="s">
        <v>509</v>
      </c>
      <c r="B66" t="s">
        <v>380</v>
      </c>
      <c r="C66" t="s">
        <v>10</v>
      </c>
      <c r="D66" t="s">
        <v>193</v>
      </c>
      <c r="E66" t="s">
        <v>380</v>
      </c>
      <c r="G66" t="str">
        <f t="shared" si="0"/>
        <v>TQ_ICR-D-i2.*ANS</v>
      </c>
      <c r="H66">
        <v>5</v>
      </c>
      <c r="I66" t="str">
        <f t="shared" si="1"/>
        <v>TQ_ICR-D-i2</v>
      </c>
    </row>
    <row r="67" spans="1:9" x14ac:dyDescent="0.3">
      <c r="A67" t="s">
        <v>510</v>
      </c>
      <c r="B67" t="s">
        <v>381</v>
      </c>
      <c r="C67" t="s">
        <v>10</v>
      </c>
      <c r="D67" t="s">
        <v>193</v>
      </c>
      <c r="E67" t="s">
        <v>381</v>
      </c>
      <c r="G67" t="str">
        <f t="shared" si="0"/>
        <v>TQ_ICR-D-i3.*ANS</v>
      </c>
      <c r="H67">
        <v>5</v>
      </c>
      <c r="I67" t="str">
        <f t="shared" si="1"/>
        <v>TQ_ICR-D-i3</v>
      </c>
    </row>
    <row r="68" spans="1:9" x14ac:dyDescent="0.3">
      <c r="A68" t="s">
        <v>511</v>
      </c>
      <c r="B68" t="s">
        <v>382</v>
      </c>
      <c r="C68" t="s">
        <v>10</v>
      </c>
      <c r="D68" t="s">
        <v>193</v>
      </c>
      <c r="E68" t="s">
        <v>382</v>
      </c>
      <c r="G68" t="str">
        <f t="shared" si="0"/>
        <v>TQ_ICR-D-i4.*ANS</v>
      </c>
      <c r="H68">
        <v>5</v>
      </c>
      <c r="I68" t="str">
        <f t="shared" si="1"/>
        <v>TQ_ICR-D-i4</v>
      </c>
    </row>
    <row r="69" spans="1:9" x14ac:dyDescent="0.3">
      <c r="A69" t="s">
        <v>512</v>
      </c>
      <c r="B69" t="s">
        <v>383</v>
      </c>
      <c r="C69" t="s">
        <v>10</v>
      </c>
      <c r="D69" t="s">
        <v>193</v>
      </c>
      <c r="E69" t="s">
        <v>383</v>
      </c>
      <c r="G69" t="str">
        <f t="shared" ref="G69:G108" si="2">"TQ_"&amp;E69</f>
        <v>TQ_ICR-D-i5.*ANS</v>
      </c>
      <c r="H69">
        <v>5</v>
      </c>
      <c r="I69" t="str">
        <f t="shared" ref="I69:I108" si="3">LEFT(G69,LEN(G69)-H69)</f>
        <v>TQ_ICR-D-i5</v>
      </c>
    </row>
    <row r="70" spans="1:9" x14ac:dyDescent="0.3">
      <c r="A70" t="s">
        <v>513</v>
      </c>
      <c r="B70" t="s">
        <v>384</v>
      </c>
      <c r="C70" t="s">
        <v>10</v>
      </c>
      <c r="D70" t="s">
        <v>193</v>
      </c>
      <c r="E70" t="s">
        <v>384</v>
      </c>
      <c r="G70" t="str">
        <f t="shared" si="2"/>
        <v>TQ_ICR-D-i6.*ANS</v>
      </c>
      <c r="H70">
        <v>5</v>
      </c>
      <c r="I70" t="str">
        <f t="shared" si="3"/>
        <v>TQ_ICR-D-i6</v>
      </c>
    </row>
    <row r="71" spans="1:9" x14ac:dyDescent="0.3">
      <c r="A71" t="s">
        <v>514</v>
      </c>
      <c r="B71" t="s">
        <v>385</v>
      </c>
      <c r="C71" t="s">
        <v>10</v>
      </c>
      <c r="D71" t="s">
        <v>193</v>
      </c>
      <c r="E71" t="s">
        <v>385</v>
      </c>
      <c r="G71" t="str">
        <f t="shared" si="2"/>
        <v>TQ_ICR-O-i1.*ANS</v>
      </c>
      <c r="H71">
        <v>5</v>
      </c>
      <c r="I71" t="str">
        <f t="shared" si="3"/>
        <v>TQ_ICR-O-i1</v>
      </c>
    </row>
    <row r="72" spans="1:9" x14ac:dyDescent="0.3">
      <c r="A72" t="s">
        <v>515</v>
      </c>
      <c r="B72" t="s">
        <v>386</v>
      </c>
      <c r="C72" t="s">
        <v>10</v>
      </c>
      <c r="D72" t="s">
        <v>193</v>
      </c>
      <c r="E72" t="s">
        <v>386</v>
      </c>
      <c r="G72" t="str">
        <f t="shared" si="2"/>
        <v>TQ_ICR-O-i2.*ANS</v>
      </c>
      <c r="H72">
        <v>5</v>
      </c>
      <c r="I72" t="str">
        <f t="shared" si="3"/>
        <v>TQ_ICR-O-i2</v>
      </c>
    </row>
    <row r="73" spans="1:9" x14ac:dyDescent="0.3">
      <c r="A73" t="s">
        <v>516</v>
      </c>
      <c r="B73" t="s">
        <v>387</v>
      </c>
      <c r="C73" t="s">
        <v>10</v>
      </c>
      <c r="D73" t="s">
        <v>193</v>
      </c>
      <c r="E73" t="s">
        <v>387</v>
      </c>
      <c r="G73" t="str">
        <f t="shared" si="2"/>
        <v>TQ_ICR-O-i3.*ANS</v>
      </c>
      <c r="H73">
        <v>5</v>
      </c>
      <c r="I73" t="str">
        <f t="shared" si="3"/>
        <v>TQ_ICR-O-i3</v>
      </c>
    </row>
    <row r="74" spans="1:9" x14ac:dyDescent="0.3">
      <c r="A74" t="s">
        <v>517</v>
      </c>
      <c r="B74" t="s">
        <v>388</v>
      </c>
      <c r="C74" t="s">
        <v>10</v>
      </c>
      <c r="D74" t="s">
        <v>193</v>
      </c>
      <c r="E74" t="s">
        <v>388</v>
      </c>
      <c r="G74" t="str">
        <f t="shared" si="2"/>
        <v>TQ_ICR-O-i4.*ANS</v>
      </c>
      <c r="H74">
        <v>5</v>
      </c>
      <c r="I74" t="str">
        <f t="shared" si="3"/>
        <v>TQ_ICR-O-i4</v>
      </c>
    </row>
    <row r="75" spans="1:9" x14ac:dyDescent="0.3">
      <c r="A75" t="s">
        <v>518</v>
      </c>
      <c r="B75" t="s">
        <v>389</v>
      </c>
      <c r="C75" t="s">
        <v>10</v>
      </c>
      <c r="D75" t="s">
        <v>193</v>
      </c>
      <c r="E75" t="s">
        <v>389</v>
      </c>
      <c r="G75" t="str">
        <f t="shared" si="2"/>
        <v>TQ_ICR-O-i5.*ANS</v>
      </c>
      <c r="H75">
        <v>5</v>
      </c>
      <c r="I75" t="str">
        <f t="shared" si="3"/>
        <v>TQ_ICR-O-i5</v>
      </c>
    </row>
    <row r="76" spans="1:9" x14ac:dyDescent="0.3">
      <c r="A76" t="s">
        <v>519</v>
      </c>
      <c r="B76" t="s">
        <v>390</v>
      </c>
      <c r="C76" t="s">
        <v>10</v>
      </c>
      <c r="D76" t="s">
        <v>193</v>
      </c>
      <c r="E76" t="s">
        <v>390</v>
      </c>
      <c r="G76" t="str">
        <f t="shared" si="2"/>
        <v>TQ_ICR-O-i6.*ANS</v>
      </c>
      <c r="H76">
        <v>5</v>
      </c>
      <c r="I76" t="str">
        <f t="shared" si="3"/>
        <v>TQ_ICR-O-i6</v>
      </c>
    </row>
    <row r="77" spans="1:9" x14ac:dyDescent="0.3">
      <c r="A77" t="s">
        <v>520</v>
      </c>
      <c r="B77" t="s">
        <v>440</v>
      </c>
      <c r="C77" t="s">
        <v>10</v>
      </c>
      <c r="D77" t="s">
        <v>193</v>
      </c>
      <c r="E77" t="s">
        <v>440</v>
      </c>
      <c r="G77" t="str">
        <f t="shared" si="2"/>
        <v>TQ_RRE-L-DOOR-ANS</v>
      </c>
      <c r="H77">
        <v>4</v>
      </c>
      <c r="I77" t="str">
        <f t="shared" si="3"/>
        <v>TQ_RRE-L-DOOR</v>
      </c>
    </row>
    <row r="78" spans="1:9" x14ac:dyDescent="0.3">
      <c r="A78" t="s">
        <v>521</v>
      </c>
      <c r="B78" t="s">
        <v>441</v>
      </c>
      <c r="C78" t="s">
        <v>10</v>
      </c>
      <c r="D78" t="s">
        <v>193</v>
      </c>
      <c r="E78" t="s">
        <v>441</v>
      </c>
      <c r="G78" t="str">
        <f t="shared" si="2"/>
        <v>TQ_RRE-L-WIND-ANS</v>
      </c>
      <c r="H78">
        <v>4</v>
      </c>
      <c r="I78" t="str">
        <f t="shared" si="3"/>
        <v>TQ_RRE-L-WIND</v>
      </c>
    </row>
    <row r="79" spans="1:9" x14ac:dyDescent="0.3">
      <c r="A79" t="s">
        <v>522</v>
      </c>
      <c r="B79" t="s">
        <v>442</v>
      </c>
      <c r="C79" t="s">
        <v>10</v>
      </c>
      <c r="D79" t="s">
        <v>193</v>
      </c>
      <c r="E79" t="s">
        <v>442</v>
      </c>
      <c r="G79" t="str">
        <f t="shared" si="2"/>
        <v>TQ_RRE-N-LAND-ANS</v>
      </c>
      <c r="H79">
        <v>4</v>
      </c>
      <c r="I79" t="str">
        <f t="shared" si="3"/>
        <v>TQ_RRE-N-LAND</v>
      </c>
    </row>
    <row r="80" spans="1:9" x14ac:dyDescent="0.3">
      <c r="A80" t="s">
        <v>523</v>
      </c>
      <c r="B80" t="s">
        <v>443</v>
      </c>
      <c r="C80" t="s">
        <v>10</v>
      </c>
      <c r="D80" t="s">
        <v>193</v>
      </c>
      <c r="E80" t="s">
        <v>443</v>
      </c>
      <c r="G80" t="str">
        <f t="shared" si="2"/>
        <v>TQ_RRE-L-LAND-ANS</v>
      </c>
      <c r="H80">
        <v>4</v>
      </c>
      <c r="I80" t="str">
        <f t="shared" si="3"/>
        <v>TQ_RRE-L-LAND</v>
      </c>
    </row>
    <row r="81" spans="1:9" x14ac:dyDescent="0.3">
      <c r="A81" t="s">
        <v>524</v>
      </c>
      <c r="B81" t="s">
        <v>444</v>
      </c>
      <c r="C81" t="s">
        <v>10</v>
      </c>
      <c r="D81" t="s">
        <v>193</v>
      </c>
      <c r="E81" t="s">
        <v>444</v>
      </c>
      <c r="G81" t="str">
        <f t="shared" si="2"/>
        <v>TQ_RRE-N-PORT-ANS</v>
      </c>
      <c r="H81">
        <v>4</v>
      </c>
      <c r="I81" t="str">
        <f t="shared" si="3"/>
        <v>TQ_RRE-N-PORT</v>
      </c>
    </row>
    <row r="82" spans="1:9" x14ac:dyDescent="0.3">
      <c r="A82" t="s">
        <v>525</v>
      </c>
      <c r="B82" t="s">
        <v>445</v>
      </c>
      <c r="C82" t="s">
        <v>10</v>
      </c>
      <c r="D82" t="s">
        <v>193</v>
      </c>
      <c r="E82" t="s">
        <v>445</v>
      </c>
      <c r="G82" t="str">
        <f t="shared" si="2"/>
        <v>TQ_RRE-L-PORT-ANS</v>
      </c>
      <c r="H82">
        <v>4</v>
      </c>
      <c r="I82" t="str">
        <f t="shared" si="3"/>
        <v>TQ_RRE-L-PORT</v>
      </c>
    </row>
    <row r="83" spans="1:9" x14ac:dyDescent="0.3">
      <c r="A83" t="s">
        <v>526</v>
      </c>
      <c r="B83" t="s">
        <v>446</v>
      </c>
      <c r="C83" t="s">
        <v>10</v>
      </c>
      <c r="D83" t="s">
        <v>193</v>
      </c>
      <c r="E83" t="s">
        <v>446</v>
      </c>
      <c r="G83" t="str">
        <f t="shared" si="2"/>
        <v>TQ_RRE-N-STRA-ANS</v>
      </c>
      <c r="H83">
        <v>4</v>
      </c>
      <c r="I83" t="str">
        <f t="shared" si="3"/>
        <v>TQ_RRE-N-STRA</v>
      </c>
    </row>
    <row r="84" spans="1:9" x14ac:dyDescent="0.3">
      <c r="A84" t="s">
        <v>527</v>
      </c>
      <c r="B84" t="s">
        <v>447</v>
      </c>
      <c r="C84" t="s">
        <v>10</v>
      </c>
      <c r="D84" t="s">
        <v>193</v>
      </c>
      <c r="E84" t="s">
        <v>447</v>
      </c>
      <c r="G84" t="str">
        <f t="shared" si="2"/>
        <v>TQ_RRE-L-STRA-ANS</v>
      </c>
      <c r="H84">
        <v>4</v>
      </c>
      <c r="I84" t="str">
        <f t="shared" si="3"/>
        <v>TQ_RRE-L-STRA</v>
      </c>
    </row>
    <row r="85" spans="1:9" x14ac:dyDescent="0.3">
      <c r="A85" t="s">
        <v>528</v>
      </c>
      <c r="B85" t="s">
        <v>391</v>
      </c>
      <c r="C85" t="s">
        <v>10</v>
      </c>
      <c r="D85" t="s">
        <v>193</v>
      </c>
      <c r="E85" t="s">
        <v>391</v>
      </c>
      <c r="G85" t="str">
        <f t="shared" si="2"/>
        <v>TQ_IRE-N-i1.*ANS</v>
      </c>
      <c r="H85">
        <v>5</v>
      </c>
      <c r="I85" t="str">
        <f t="shared" si="3"/>
        <v>TQ_IRE-N-i1</v>
      </c>
    </row>
    <row r="86" spans="1:9" x14ac:dyDescent="0.3">
      <c r="A86" t="s">
        <v>529</v>
      </c>
      <c r="B86" t="s">
        <v>392</v>
      </c>
      <c r="C86" t="s">
        <v>10</v>
      </c>
      <c r="D86" t="s">
        <v>193</v>
      </c>
      <c r="E86" t="s">
        <v>392</v>
      </c>
      <c r="G86" t="str">
        <f t="shared" si="2"/>
        <v>TQ_IRE-N-i2.*ANS</v>
      </c>
      <c r="H86">
        <v>5</v>
      </c>
      <c r="I86" t="str">
        <f t="shared" si="3"/>
        <v>TQ_IRE-N-i2</v>
      </c>
    </row>
    <row r="87" spans="1:9" x14ac:dyDescent="0.3">
      <c r="A87" t="s">
        <v>530</v>
      </c>
      <c r="B87" t="s">
        <v>393</v>
      </c>
      <c r="C87" t="s">
        <v>10</v>
      </c>
      <c r="D87" t="s">
        <v>193</v>
      </c>
      <c r="E87" t="s">
        <v>393</v>
      </c>
      <c r="G87" t="str">
        <f t="shared" si="2"/>
        <v>TQ_IRE-N-i3.*ANS</v>
      </c>
      <c r="H87">
        <v>5</v>
      </c>
      <c r="I87" t="str">
        <f t="shared" si="3"/>
        <v>TQ_IRE-N-i3</v>
      </c>
    </row>
    <row r="88" spans="1:9" x14ac:dyDescent="0.3">
      <c r="A88" t="s">
        <v>531</v>
      </c>
      <c r="B88" t="s">
        <v>394</v>
      </c>
      <c r="C88" t="s">
        <v>10</v>
      </c>
      <c r="D88" t="s">
        <v>193</v>
      </c>
      <c r="E88" t="s">
        <v>394</v>
      </c>
      <c r="G88" t="str">
        <f t="shared" si="2"/>
        <v>TQ_IRE-N-i4.*ANS</v>
      </c>
      <c r="H88">
        <v>5</v>
      </c>
      <c r="I88" t="str">
        <f t="shared" si="3"/>
        <v>TQ_IRE-N-i4</v>
      </c>
    </row>
    <row r="89" spans="1:9" x14ac:dyDescent="0.3">
      <c r="A89" t="s">
        <v>532</v>
      </c>
      <c r="B89" t="s">
        <v>395</v>
      </c>
      <c r="C89" t="s">
        <v>10</v>
      </c>
      <c r="D89" t="s">
        <v>193</v>
      </c>
      <c r="E89" t="s">
        <v>395</v>
      </c>
      <c r="G89" t="str">
        <f t="shared" si="2"/>
        <v>TQ_IRE-N-i5.*ANS</v>
      </c>
      <c r="H89">
        <v>5</v>
      </c>
      <c r="I89" t="str">
        <f t="shared" si="3"/>
        <v>TQ_IRE-N-i5</v>
      </c>
    </row>
    <row r="90" spans="1:9" x14ac:dyDescent="0.3">
      <c r="A90" t="s">
        <v>533</v>
      </c>
      <c r="B90" t="s">
        <v>396</v>
      </c>
      <c r="C90" t="s">
        <v>10</v>
      </c>
      <c r="D90" t="s">
        <v>193</v>
      </c>
      <c r="E90" t="s">
        <v>396</v>
      </c>
      <c r="G90" t="str">
        <f t="shared" si="2"/>
        <v>TQ_IRE-N-i6.*ANS</v>
      </c>
      <c r="H90">
        <v>5</v>
      </c>
      <c r="I90" t="str">
        <f t="shared" si="3"/>
        <v>TQ_IRE-N-i6</v>
      </c>
    </row>
    <row r="91" spans="1:9" x14ac:dyDescent="0.3">
      <c r="A91" t="s">
        <v>534</v>
      </c>
      <c r="B91" t="s">
        <v>397</v>
      </c>
      <c r="C91" t="s">
        <v>10</v>
      </c>
      <c r="D91" t="s">
        <v>193</v>
      </c>
      <c r="E91" t="s">
        <v>397</v>
      </c>
      <c r="G91" t="str">
        <f t="shared" si="2"/>
        <v>TQ_IRE-U-i1.*ANS</v>
      </c>
      <c r="H91">
        <v>5</v>
      </c>
      <c r="I91" t="str">
        <f t="shared" si="3"/>
        <v>TQ_IRE-U-i1</v>
      </c>
    </row>
    <row r="92" spans="1:9" x14ac:dyDescent="0.3">
      <c r="A92" t="s">
        <v>535</v>
      </c>
      <c r="B92" t="s">
        <v>398</v>
      </c>
      <c r="C92" t="s">
        <v>10</v>
      </c>
      <c r="D92" t="s">
        <v>193</v>
      </c>
      <c r="E92" t="s">
        <v>398</v>
      </c>
      <c r="G92" t="str">
        <f t="shared" si="2"/>
        <v>TQ_IRE-U-i2.*ANS</v>
      </c>
      <c r="H92">
        <v>5</v>
      </c>
      <c r="I92" t="str">
        <f t="shared" si="3"/>
        <v>TQ_IRE-U-i2</v>
      </c>
    </row>
    <row r="93" spans="1:9" x14ac:dyDescent="0.3">
      <c r="A93" t="s">
        <v>536</v>
      </c>
      <c r="B93" t="s">
        <v>399</v>
      </c>
      <c r="C93" t="s">
        <v>10</v>
      </c>
      <c r="D93" t="s">
        <v>193</v>
      </c>
      <c r="E93" t="s">
        <v>399</v>
      </c>
      <c r="G93" t="str">
        <f t="shared" si="2"/>
        <v>TQ_IRE-U-i3.*ANS</v>
      </c>
      <c r="H93">
        <v>5</v>
      </c>
      <c r="I93" t="str">
        <f t="shared" si="3"/>
        <v>TQ_IRE-U-i3</v>
      </c>
    </row>
    <row r="94" spans="1:9" x14ac:dyDescent="0.3">
      <c r="A94" t="s">
        <v>537</v>
      </c>
      <c r="B94" t="s">
        <v>400</v>
      </c>
      <c r="C94" t="s">
        <v>10</v>
      </c>
      <c r="D94" t="s">
        <v>193</v>
      </c>
      <c r="E94" t="s">
        <v>400</v>
      </c>
      <c r="G94" t="str">
        <f t="shared" si="2"/>
        <v>TQ_IRE-U-i4.*ANS</v>
      </c>
      <c r="H94">
        <v>5</v>
      </c>
      <c r="I94" t="str">
        <f t="shared" si="3"/>
        <v>TQ_IRE-U-i4</v>
      </c>
    </row>
    <row r="95" spans="1:9" x14ac:dyDescent="0.3">
      <c r="A95" t="s">
        <v>538</v>
      </c>
      <c r="B95" t="s">
        <v>401</v>
      </c>
      <c r="C95" t="s">
        <v>10</v>
      </c>
      <c r="D95" t="s">
        <v>193</v>
      </c>
      <c r="E95" t="s">
        <v>401</v>
      </c>
      <c r="G95" t="str">
        <f t="shared" si="2"/>
        <v>TQ_IRE-U-i5.*ANS</v>
      </c>
      <c r="H95">
        <v>5</v>
      </c>
      <c r="I95" t="str">
        <f t="shared" si="3"/>
        <v>TQ_IRE-U-i5</v>
      </c>
    </row>
    <row r="96" spans="1:9" x14ac:dyDescent="0.3">
      <c r="A96" t="s">
        <v>539</v>
      </c>
      <c r="B96" t="s">
        <v>402</v>
      </c>
      <c r="C96" t="s">
        <v>10</v>
      </c>
      <c r="D96" t="s">
        <v>193</v>
      </c>
      <c r="E96" t="s">
        <v>402</v>
      </c>
      <c r="G96" t="str">
        <f t="shared" si="2"/>
        <v>TQ_IRE-U-i6.*ANS</v>
      </c>
      <c r="H96">
        <v>5</v>
      </c>
      <c r="I96" t="str">
        <f t="shared" si="3"/>
        <v>TQ_IRE-U-i6</v>
      </c>
    </row>
    <row r="97" spans="1:9" x14ac:dyDescent="0.3">
      <c r="A97" t="s">
        <v>540</v>
      </c>
      <c r="B97" t="s">
        <v>403</v>
      </c>
      <c r="C97" t="s">
        <v>10</v>
      </c>
      <c r="D97" t="s">
        <v>193</v>
      </c>
      <c r="E97" t="s">
        <v>403</v>
      </c>
      <c r="G97" t="str">
        <f t="shared" si="2"/>
        <v>TQ_IRE-D-i1.*ANS</v>
      </c>
      <c r="H97">
        <v>5</v>
      </c>
      <c r="I97" t="str">
        <f t="shared" si="3"/>
        <v>TQ_IRE-D-i1</v>
      </c>
    </row>
    <row r="98" spans="1:9" x14ac:dyDescent="0.3">
      <c r="A98" t="s">
        <v>541</v>
      </c>
      <c r="B98" t="s">
        <v>404</v>
      </c>
      <c r="C98" t="s">
        <v>10</v>
      </c>
      <c r="D98" t="s">
        <v>193</v>
      </c>
      <c r="E98" t="s">
        <v>404</v>
      </c>
      <c r="G98" t="str">
        <f t="shared" si="2"/>
        <v>TQ_IRE-D-i2.*ANS</v>
      </c>
      <c r="H98">
        <v>5</v>
      </c>
      <c r="I98" t="str">
        <f t="shared" si="3"/>
        <v>TQ_IRE-D-i2</v>
      </c>
    </row>
    <row r="99" spans="1:9" x14ac:dyDescent="0.3">
      <c r="A99" t="s">
        <v>542</v>
      </c>
      <c r="B99" t="s">
        <v>405</v>
      </c>
      <c r="C99" t="s">
        <v>10</v>
      </c>
      <c r="D99" t="s">
        <v>193</v>
      </c>
      <c r="E99" t="s">
        <v>405</v>
      </c>
      <c r="G99" t="str">
        <f t="shared" si="2"/>
        <v>TQ_IRE-D-i3.*ANS</v>
      </c>
      <c r="H99">
        <v>5</v>
      </c>
      <c r="I99" t="str">
        <f t="shared" si="3"/>
        <v>TQ_IRE-D-i3</v>
      </c>
    </row>
    <row r="100" spans="1:9" x14ac:dyDescent="0.3">
      <c r="A100" t="s">
        <v>543</v>
      </c>
      <c r="B100" t="s">
        <v>406</v>
      </c>
      <c r="C100" t="s">
        <v>10</v>
      </c>
      <c r="D100" t="s">
        <v>193</v>
      </c>
      <c r="E100" t="s">
        <v>406</v>
      </c>
      <c r="G100" t="str">
        <f t="shared" si="2"/>
        <v>TQ_IRE-D-i4.*ANS</v>
      </c>
      <c r="H100">
        <v>5</v>
      </c>
      <c r="I100" t="str">
        <f t="shared" si="3"/>
        <v>TQ_IRE-D-i4</v>
      </c>
    </row>
    <row r="101" spans="1:9" x14ac:dyDescent="0.3">
      <c r="A101" t="s">
        <v>544</v>
      </c>
      <c r="B101" t="s">
        <v>407</v>
      </c>
      <c r="C101" t="s">
        <v>10</v>
      </c>
      <c r="D101" t="s">
        <v>193</v>
      </c>
      <c r="E101" t="s">
        <v>407</v>
      </c>
      <c r="G101" t="str">
        <f t="shared" si="2"/>
        <v>TQ_IRE-D-i5.*ANS</v>
      </c>
      <c r="H101">
        <v>5</v>
      </c>
      <c r="I101" t="str">
        <f t="shared" si="3"/>
        <v>TQ_IRE-D-i5</v>
      </c>
    </row>
    <row r="102" spans="1:9" x14ac:dyDescent="0.3">
      <c r="A102" t="s">
        <v>545</v>
      </c>
      <c r="B102" t="s">
        <v>408</v>
      </c>
      <c r="C102" t="s">
        <v>10</v>
      </c>
      <c r="D102" t="s">
        <v>193</v>
      </c>
      <c r="E102" t="s">
        <v>408</v>
      </c>
      <c r="G102" t="str">
        <f t="shared" si="2"/>
        <v>TQ_IRE-D-i6.*ANS</v>
      </c>
      <c r="H102">
        <v>5</v>
      </c>
      <c r="I102" t="str">
        <f t="shared" si="3"/>
        <v>TQ_IRE-D-i6</v>
      </c>
    </row>
    <row r="103" spans="1:9" x14ac:dyDescent="0.3">
      <c r="A103" t="s">
        <v>546</v>
      </c>
      <c r="B103" t="s">
        <v>409</v>
      </c>
      <c r="C103" t="s">
        <v>10</v>
      </c>
      <c r="D103" t="s">
        <v>193</v>
      </c>
      <c r="E103" t="s">
        <v>409</v>
      </c>
      <c r="G103" t="str">
        <f t="shared" si="2"/>
        <v>TQ_IRE-O-i1.*ANS</v>
      </c>
      <c r="H103">
        <v>5</v>
      </c>
      <c r="I103" t="str">
        <f t="shared" si="3"/>
        <v>TQ_IRE-O-i1</v>
      </c>
    </row>
    <row r="104" spans="1:9" x14ac:dyDescent="0.3">
      <c r="A104" t="s">
        <v>547</v>
      </c>
      <c r="B104" t="s">
        <v>410</v>
      </c>
      <c r="C104" t="s">
        <v>10</v>
      </c>
      <c r="D104" t="s">
        <v>193</v>
      </c>
      <c r="E104" t="s">
        <v>410</v>
      </c>
      <c r="G104" t="str">
        <f t="shared" si="2"/>
        <v>TQ_IRE-O-i2.*ANS</v>
      </c>
      <c r="H104">
        <v>5</v>
      </c>
      <c r="I104" t="str">
        <f t="shared" si="3"/>
        <v>TQ_IRE-O-i2</v>
      </c>
    </row>
    <row r="105" spans="1:9" x14ac:dyDescent="0.3">
      <c r="A105" t="s">
        <v>548</v>
      </c>
      <c r="B105" t="s">
        <v>411</v>
      </c>
      <c r="C105" t="s">
        <v>10</v>
      </c>
      <c r="D105" t="s">
        <v>193</v>
      </c>
      <c r="E105" t="s">
        <v>411</v>
      </c>
      <c r="G105" t="str">
        <f t="shared" si="2"/>
        <v>TQ_IRE-O-i3.*ANS</v>
      </c>
      <c r="H105">
        <v>5</v>
      </c>
      <c r="I105" t="str">
        <f t="shared" si="3"/>
        <v>TQ_IRE-O-i3</v>
      </c>
    </row>
    <row r="106" spans="1:9" x14ac:dyDescent="0.3">
      <c r="A106" t="s">
        <v>549</v>
      </c>
      <c r="B106" t="s">
        <v>412</v>
      </c>
      <c r="C106" t="s">
        <v>10</v>
      </c>
      <c r="D106" t="s">
        <v>193</v>
      </c>
      <c r="E106" t="s">
        <v>412</v>
      </c>
      <c r="G106" t="str">
        <f t="shared" si="2"/>
        <v>TQ_IRE-O-i4.*ANS</v>
      </c>
      <c r="H106">
        <v>5</v>
      </c>
      <c r="I106" t="str">
        <f t="shared" si="3"/>
        <v>TQ_IRE-O-i4</v>
      </c>
    </row>
    <row r="107" spans="1:9" x14ac:dyDescent="0.3">
      <c r="A107" t="s">
        <v>550</v>
      </c>
      <c r="B107" t="s">
        <v>413</v>
      </c>
      <c r="C107" t="s">
        <v>10</v>
      </c>
      <c r="D107" t="s">
        <v>193</v>
      </c>
      <c r="E107" t="s">
        <v>413</v>
      </c>
      <c r="G107" t="str">
        <f t="shared" si="2"/>
        <v>TQ_IRE-O-i5.*ANS</v>
      </c>
      <c r="H107">
        <v>5</v>
      </c>
      <c r="I107" t="str">
        <f t="shared" si="3"/>
        <v>TQ_IRE-O-i5</v>
      </c>
    </row>
    <row r="108" spans="1:9" x14ac:dyDescent="0.3">
      <c r="A108" t="s">
        <v>551</v>
      </c>
      <c r="B108" t="s">
        <v>414</v>
      </c>
      <c r="C108" t="s">
        <v>10</v>
      </c>
      <c r="D108" t="s">
        <v>193</v>
      </c>
      <c r="E108" t="s">
        <v>414</v>
      </c>
      <c r="G108" t="str">
        <f t="shared" si="2"/>
        <v>TQ_IRE-O-i6.*ANS</v>
      </c>
      <c r="H108">
        <v>5</v>
      </c>
      <c r="I108" t="str">
        <f t="shared" si="3"/>
        <v>TQ_IRE-O-i6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6FA1-AE10-429A-AC96-11F85A5B3335}">
  <dimension ref="A1:I105"/>
  <sheetViews>
    <sheetView workbookViewId="0">
      <selection activeCell="C105" sqref="C1:C105"/>
    </sheetView>
  </sheetViews>
  <sheetFormatPr defaultRowHeight="14.4" x14ac:dyDescent="0.3"/>
  <cols>
    <col min="1" max="1" width="34.109375" bestFit="1" customWidth="1"/>
    <col min="2" max="2" width="23.33203125" bestFit="1" customWidth="1"/>
    <col min="3" max="3" width="15.33203125" bestFit="1" customWidth="1"/>
    <col min="9" max="9" width="13.109375" bestFit="1" customWidth="1"/>
  </cols>
  <sheetData>
    <row r="1" spans="1:9" x14ac:dyDescent="0.3">
      <c r="A1" t="s">
        <v>233</v>
      </c>
      <c r="B1" t="str">
        <f>MID(A1,12,50)</f>
        <v>RFR-N-OBJ1-ANS</v>
      </c>
      <c r="C1" t="str">
        <f>B1</f>
        <v>RFR-N-OBJ1-ANS</v>
      </c>
    </row>
    <row r="2" spans="1:9" x14ac:dyDescent="0.3">
      <c r="A2" t="s">
        <v>234</v>
      </c>
      <c r="B2" t="str">
        <f t="shared" ref="B2:B65" si="0">MID(A2,12,50)</f>
        <v>RFR-N-OBJ2-ANS</v>
      </c>
      <c r="C2" t="str">
        <f t="shared" ref="C2:C49" si="1">B2</f>
        <v>RFR-N-OBJ2-ANS</v>
      </c>
    </row>
    <row r="3" spans="1:9" x14ac:dyDescent="0.3">
      <c r="A3" t="s">
        <v>235</v>
      </c>
      <c r="B3" t="str">
        <f t="shared" si="0"/>
        <v>RFR-N-OBJ3-ANS</v>
      </c>
      <c r="C3" t="str">
        <f t="shared" si="1"/>
        <v>RFR-N-OBJ3-ANS</v>
      </c>
    </row>
    <row r="4" spans="1:9" x14ac:dyDescent="0.3">
      <c r="A4" t="s">
        <v>236</v>
      </c>
      <c r="B4" t="str">
        <f t="shared" si="0"/>
        <v>RFR-N-OBJ4-ANS</v>
      </c>
      <c r="C4" t="str">
        <f t="shared" si="1"/>
        <v>RFR-N-OBJ4-ANS</v>
      </c>
    </row>
    <row r="5" spans="1:9" x14ac:dyDescent="0.3">
      <c r="A5" t="s">
        <v>237</v>
      </c>
      <c r="B5" t="str">
        <f t="shared" si="0"/>
        <v>RFR-N-STRA-ANS</v>
      </c>
      <c r="C5" t="str">
        <f t="shared" si="1"/>
        <v>RFR-N-STRA-ANS</v>
      </c>
    </row>
    <row r="6" spans="1:9" x14ac:dyDescent="0.3">
      <c r="A6" t="s">
        <v>238</v>
      </c>
      <c r="B6" t="str">
        <f t="shared" si="0"/>
        <v>RFR-N-PORT-ANS</v>
      </c>
      <c r="C6" t="str">
        <f t="shared" si="1"/>
        <v>RFR-N-PORT-ANS</v>
      </c>
    </row>
    <row r="7" spans="1:9" x14ac:dyDescent="0.3">
      <c r="A7" t="s">
        <v>239</v>
      </c>
      <c r="B7" t="str">
        <f t="shared" si="0"/>
        <v>RFR-N-LAND-ANS</v>
      </c>
      <c r="C7" t="str">
        <f t="shared" si="1"/>
        <v>RFR-N-LAND-ANS</v>
      </c>
    </row>
    <row r="8" spans="1:9" x14ac:dyDescent="0.3">
      <c r="A8" t="s">
        <v>240</v>
      </c>
      <c r="B8" t="str">
        <f t="shared" si="0"/>
        <v>IFR-N-i1CM-n4siCfo3-ANS</v>
      </c>
      <c r="C8" t="s">
        <v>343</v>
      </c>
      <c r="E8" t="s">
        <v>79</v>
      </c>
      <c r="F8" s="7" t="s">
        <v>338</v>
      </c>
      <c r="G8">
        <v>1</v>
      </c>
      <c r="H8" t="s">
        <v>339</v>
      </c>
      <c r="I8" t="str">
        <f>E8&amp;"-"&amp;F8&amp;G8&amp;".*"&amp;H8</f>
        <v>IFR-N-i1.*ANS</v>
      </c>
    </row>
    <row r="9" spans="1:9" x14ac:dyDescent="0.3">
      <c r="A9" t="s">
        <v>241</v>
      </c>
      <c r="B9" t="str">
        <f t="shared" si="0"/>
        <v>IFR-N-i2CM-n6so1fiA-ANS</v>
      </c>
      <c r="C9" t="s">
        <v>344</v>
      </c>
      <c r="E9" t="s">
        <v>79</v>
      </c>
      <c r="F9" s="7" t="s">
        <v>338</v>
      </c>
      <c r="G9">
        <v>2</v>
      </c>
      <c r="H9" t="s">
        <v>339</v>
      </c>
      <c r="I9" t="str">
        <f t="shared" ref="I9:I13" si="2">E9&amp;"-"&amp;F9&amp;G9&amp;".*"&amp;H9</f>
        <v>IFR-N-i2.*ANS</v>
      </c>
    </row>
    <row r="10" spans="1:9" x14ac:dyDescent="0.3">
      <c r="A10" t="s">
        <v>242</v>
      </c>
      <c r="B10" t="str">
        <f t="shared" si="0"/>
        <v>IFR-N-i3CG-n1siBfiD-ANS</v>
      </c>
      <c r="C10" t="s">
        <v>345</v>
      </c>
      <c r="E10" t="s">
        <v>79</v>
      </c>
      <c r="F10" s="7" t="s">
        <v>338</v>
      </c>
      <c r="G10">
        <v>3</v>
      </c>
      <c r="H10" t="s">
        <v>339</v>
      </c>
      <c r="I10" t="str">
        <f t="shared" si="2"/>
        <v>IFR-N-i3.*ANS</v>
      </c>
    </row>
    <row r="11" spans="1:9" x14ac:dyDescent="0.3">
      <c r="A11" t="s">
        <v>243</v>
      </c>
      <c r="B11" t="str">
        <f t="shared" si="0"/>
        <v>IFR-N-i4CG-n3so3fo4-ANS</v>
      </c>
      <c r="C11" t="s">
        <v>346</v>
      </c>
      <c r="E11" t="s">
        <v>79</v>
      </c>
      <c r="F11" s="7" t="s">
        <v>338</v>
      </c>
      <c r="G11">
        <v>4</v>
      </c>
      <c r="H11" t="s">
        <v>339</v>
      </c>
      <c r="I11" t="str">
        <f t="shared" si="2"/>
        <v>IFR-N-i4.*ANS</v>
      </c>
    </row>
    <row r="12" spans="1:9" x14ac:dyDescent="0.3">
      <c r="A12" t="s">
        <v>244</v>
      </c>
      <c r="B12" t="str">
        <f t="shared" si="0"/>
        <v>IFR-N-i5IN-n5siAfiC-ANS</v>
      </c>
      <c r="C12" t="s">
        <v>347</v>
      </c>
      <c r="E12" t="s">
        <v>79</v>
      </c>
      <c r="F12" s="7" t="s">
        <v>338</v>
      </c>
      <c r="G12">
        <v>5</v>
      </c>
      <c r="H12" t="s">
        <v>339</v>
      </c>
      <c r="I12" t="str">
        <f t="shared" si="2"/>
        <v>IFR-N-i5.*ANS</v>
      </c>
    </row>
    <row r="13" spans="1:9" x14ac:dyDescent="0.3">
      <c r="A13" t="s">
        <v>245</v>
      </c>
      <c r="B13" t="str">
        <f t="shared" si="0"/>
        <v>IFR-N-i6IN-n2so2fiB-ANS</v>
      </c>
      <c r="C13" t="s">
        <v>348</v>
      </c>
      <c r="E13" t="s">
        <v>79</v>
      </c>
      <c r="F13" s="7" t="s">
        <v>338</v>
      </c>
      <c r="G13">
        <v>6</v>
      </c>
      <c r="H13" t="s">
        <v>339</v>
      </c>
      <c r="I13" t="str">
        <f t="shared" si="2"/>
        <v>IFR-N-i6.*ANS</v>
      </c>
    </row>
    <row r="14" spans="1:9" x14ac:dyDescent="0.3">
      <c r="A14" t="s">
        <v>246</v>
      </c>
      <c r="B14" t="str">
        <f t="shared" si="0"/>
        <v>RFR-O-RORD-ANS</v>
      </c>
      <c r="C14" t="str">
        <f t="shared" si="1"/>
        <v>RFR-O-RORD-ANS</v>
      </c>
      <c r="E14" t="s">
        <v>79</v>
      </c>
      <c r="F14" t="s">
        <v>340</v>
      </c>
      <c r="G14">
        <f>G8</f>
        <v>1</v>
      </c>
      <c r="H14" t="s">
        <v>339</v>
      </c>
      <c r="I14" t="str">
        <f t="shared" ref="I14:I32" si="3">E14&amp;"-"&amp;F14&amp;G14&amp;".*"&amp;H14</f>
        <v>IFR-U-i1.*ANS</v>
      </c>
    </row>
    <row r="15" spans="1:9" x14ac:dyDescent="0.3">
      <c r="A15" t="s">
        <v>247</v>
      </c>
      <c r="B15" t="str">
        <f t="shared" si="0"/>
        <v>RFR-O-TMOD-ANS</v>
      </c>
      <c r="C15" t="str">
        <f t="shared" si="1"/>
        <v>RFR-O-TMOD-ANS</v>
      </c>
      <c r="E15" t="s">
        <v>79</v>
      </c>
      <c r="F15" t="s">
        <v>340</v>
      </c>
      <c r="G15">
        <f t="shared" ref="G15:G31" si="4">G9</f>
        <v>2</v>
      </c>
      <c r="H15" t="s">
        <v>339</v>
      </c>
      <c r="I15" t="str">
        <f t="shared" si="3"/>
        <v>IFR-U-i2.*ANS</v>
      </c>
    </row>
    <row r="16" spans="1:9" x14ac:dyDescent="0.3">
      <c r="A16" t="s">
        <v>248</v>
      </c>
      <c r="B16" t="str">
        <f t="shared" si="0"/>
        <v>RFR-N-WEAT-ANS</v>
      </c>
      <c r="C16" t="str">
        <f t="shared" si="1"/>
        <v>RFR-N-WEAT-ANS</v>
      </c>
      <c r="E16" t="s">
        <v>79</v>
      </c>
      <c r="F16" t="s">
        <v>340</v>
      </c>
      <c r="G16">
        <f t="shared" si="4"/>
        <v>3</v>
      </c>
      <c r="H16" t="s">
        <v>339</v>
      </c>
      <c r="I16" t="str">
        <f t="shared" si="3"/>
        <v>IFR-U-i3.*ANS</v>
      </c>
    </row>
    <row r="17" spans="1:9" x14ac:dyDescent="0.3">
      <c r="A17" t="s">
        <v>249</v>
      </c>
      <c r="B17" t="str">
        <f t="shared" si="0"/>
        <v>RFR-L-OBJ1-ANS</v>
      </c>
      <c r="C17" t="str">
        <f t="shared" si="1"/>
        <v>RFR-L-OBJ1-ANS</v>
      </c>
      <c r="E17" t="s">
        <v>79</v>
      </c>
      <c r="F17" t="s">
        <v>340</v>
      </c>
      <c r="G17">
        <f t="shared" si="4"/>
        <v>4</v>
      </c>
      <c r="H17" t="s">
        <v>339</v>
      </c>
      <c r="I17" t="str">
        <f t="shared" si="3"/>
        <v>IFR-U-i4.*ANS</v>
      </c>
    </row>
    <row r="18" spans="1:9" x14ac:dyDescent="0.3">
      <c r="A18" t="s">
        <v>250</v>
      </c>
      <c r="B18" t="str">
        <f t="shared" si="0"/>
        <v>RFR-L-OBJ2-ANS</v>
      </c>
      <c r="C18" t="str">
        <f t="shared" si="1"/>
        <v>RFR-L-OBJ2-ANS</v>
      </c>
      <c r="E18" t="s">
        <v>79</v>
      </c>
      <c r="F18" t="s">
        <v>340</v>
      </c>
      <c r="G18">
        <f t="shared" si="4"/>
        <v>5</v>
      </c>
      <c r="H18" t="s">
        <v>339</v>
      </c>
      <c r="I18" t="str">
        <f t="shared" si="3"/>
        <v>IFR-U-i5.*ANS</v>
      </c>
    </row>
    <row r="19" spans="1:9" x14ac:dyDescent="0.3">
      <c r="A19" t="s">
        <v>251</v>
      </c>
      <c r="B19" t="str">
        <f t="shared" si="0"/>
        <v>RFR-L-OBJ3-ANS</v>
      </c>
      <c r="C19" t="str">
        <f t="shared" si="1"/>
        <v>RFR-L-OBJ3-ANS</v>
      </c>
      <c r="E19" t="s">
        <v>79</v>
      </c>
      <c r="F19" t="s">
        <v>340</v>
      </c>
      <c r="G19">
        <f t="shared" si="4"/>
        <v>6</v>
      </c>
      <c r="H19" t="s">
        <v>339</v>
      </c>
      <c r="I19" t="str">
        <f t="shared" si="3"/>
        <v>IFR-U-i6.*ANS</v>
      </c>
    </row>
    <row r="20" spans="1:9" x14ac:dyDescent="0.3">
      <c r="A20" t="s">
        <v>252</v>
      </c>
      <c r="B20" t="str">
        <f t="shared" si="0"/>
        <v>RFR-L-OBJ4-ANS</v>
      </c>
      <c r="C20" t="str">
        <f t="shared" si="1"/>
        <v>RFR-L-OBJ4-ANS</v>
      </c>
      <c r="E20" t="s">
        <v>79</v>
      </c>
      <c r="F20" t="s">
        <v>341</v>
      </c>
      <c r="G20">
        <f t="shared" si="4"/>
        <v>1</v>
      </c>
      <c r="H20" t="s">
        <v>339</v>
      </c>
      <c r="I20" t="str">
        <f t="shared" si="3"/>
        <v>IFR-D-i1.*ANS</v>
      </c>
    </row>
    <row r="21" spans="1:9" x14ac:dyDescent="0.3">
      <c r="A21" t="s">
        <v>253</v>
      </c>
      <c r="B21" t="str">
        <f t="shared" si="0"/>
        <v>RFR-L-DOOR-ANS</v>
      </c>
      <c r="C21" t="str">
        <f t="shared" si="1"/>
        <v>RFR-L-DOOR-ANS</v>
      </c>
      <c r="E21" t="s">
        <v>79</v>
      </c>
      <c r="F21" t="s">
        <v>341</v>
      </c>
      <c r="G21">
        <f t="shared" si="4"/>
        <v>2</v>
      </c>
      <c r="H21" t="s">
        <v>339</v>
      </c>
      <c r="I21" t="str">
        <f t="shared" si="3"/>
        <v>IFR-D-i2.*ANS</v>
      </c>
    </row>
    <row r="22" spans="1:9" x14ac:dyDescent="0.3">
      <c r="A22" t="s">
        <v>254</v>
      </c>
      <c r="B22" t="str">
        <f t="shared" si="0"/>
        <v>RFR-L-WIND-ANS</v>
      </c>
      <c r="C22" t="str">
        <f t="shared" si="1"/>
        <v>RFR-L-WIND-ANS</v>
      </c>
      <c r="E22" t="s">
        <v>79</v>
      </c>
      <c r="F22" t="s">
        <v>341</v>
      </c>
      <c r="G22">
        <f t="shared" si="4"/>
        <v>3</v>
      </c>
      <c r="H22" t="s">
        <v>339</v>
      </c>
      <c r="I22" t="str">
        <f t="shared" si="3"/>
        <v>IFR-D-i3.*ANS</v>
      </c>
    </row>
    <row r="23" spans="1:9" x14ac:dyDescent="0.3">
      <c r="A23" t="s">
        <v>255</v>
      </c>
      <c r="B23" t="str">
        <f t="shared" si="0"/>
        <v>RFR-L-PORT-ANS</v>
      </c>
      <c r="C23" t="str">
        <f t="shared" si="1"/>
        <v>RFR-L-PORT-ANS</v>
      </c>
      <c r="E23" t="s">
        <v>79</v>
      </c>
      <c r="F23" t="s">
        <v>341</v>
      </c>
      <c r="G23">
        <f t="shared" si="4"/>
        <v>4</v>
      </c>
      <c r="H23" t="s">
        <v>339</v>
      </c>
      <c r="I23" t="str">
        <f t="shared" si="3"/>
        <v>IFR-D-i4.*ANS</v>
      </c>
    </row>
    <row r="24" spans="1:9" x14ac:dyDescent="0.3">
      <c r="A24" t="s">
        <v>256</v>
      </c>
      <c r="B24" t="str">
        <f t="shared" si="0"/>
        <v>RFR-L-LAND-ANS</v>
      </c>
      <c r="C24" t="str">
        <f t="shared" si="1"/>
        <v>RFR-L-LAND-ANS</v>
      </c>
      <c r="E24" t="s">
        <v>79</v>
      </c>
      <c r="F24" t="s">
        <v>341</v>
      </c>
      <c r="G24">
        <f t="shared" si="4"/>
        <v>5</v>
      </c>
      <c r="H24" t="s">
        <v>339</v>
      </c>
      <c r="I24" t="str">
        <f t="shared" si="3"/>
        <v>IFR-D-i5.*ANS</v>
      </c>
    </row>
    <row r="25" spans="1:9" x14ac:dyDescent="0.3">
      <c r="A25" t="s">
        <v>257</v>
      </c>
      <c r="B25" t="str">
        <f t="shared" si="0"/>
        <v>RFR-L-STRA-ANS</v>
      </c>
      <c r="C25" t="str">
        <f t="shared" si="1"/>
        <v>RFR-L-STRA-ANS</v>
      </c>
      <c r="E25" t="s">
        <v>79</v>
      </c>
      <c r="F25" t="s">
        <v>341</v>
      </c>
      <c r="G25">
        <f t="shared" si="4"/>
        <v>6</v>
      </c>
      <c r="H25" t="s">
        <v>339</v>
      </c>
      <c r="I25" t="str">
        <f t="shared" si="3"/>
        <v>IFR-D-i6.*ANS</v>
      </c>
    </row>
    <row r="26" spans="1:9" x14ac:dyDescent="0.3">
      <c r="A26" t="s">
        <v>258</v>
      </c>
      <c r="B26" t="str">
        <f t="shared" si="0"/>
        <v>IFR-U-i1CM-n4siCfo3-ANS</v>
      </c>
      <c r="C26" t="s">
        <v>349</v>
      </c>
      <c r="E26" t="s">
        <v>79</v>
      </c>
      <c r="F26" t="s">
        <v>342</v>
      </c>
      <c r="G26">
        <f t="shared" si="4"/>
        <v>1</v>
      </c>
      <c r="H26" t="s">
        <v>339</v>
      </c>
      <c r="I26" t="str">
        <f t="shared" si="3"/>
        <v>IFR-O-i1.*ANS</v>
      </c>
    </row>
    <row r="27" spans="1:9" x14ac:dyDescent="0.3">
      <c r="A27" t="s">
        <v>259</v>
      </c>
      <c r="B27" t="str">
        <f t="shared" si="0"/>
        <v>IFR-D-i1CM-n4siCfo3-ANS</v>
      </c>
      <c r="C27" t="s">
        <v>350</v>
      </c>
      <c r="E27" t="s">
        <v>79</v>
      </c>
      <c r="F27" t="s">
        <v>342</v>
      </c>
      <c r="G27">
        <f t="shared" si="4"/>
        <v>2</v>
      </c>
      <c r="H27" t="s">
        <v>339</v>
      </c>
      <c r="I27" t="str">
        <f t="shared" si="3"/>
        <v>IFR-O-i2.*ANS</v>
      </c>
    </row>
    <row r="28" spans="1:9" x14ac:dyDescent="0.3">
      <c r="A28" t="s">
        <v>260</v>
      </c>
      <c r="B28" t="str">
        <f t="shared" si="0"/>
        <v>IFR-O-i1CM-n4siCfo3-ANS</v>
      </c>
      <c r="C28" t="s">
        <v>351</v>
      </c>
      <c r="E28" t="s">
        <v>79</v>
      </c>
      <c r="F28" t="s">
        <v>342</v>
      </c>
      <c r="G28">
        <f t="shared" si="4"/>
        <v>3</v>
      </c>
      <c r="H28" t="s">
        <v>339</v>
      </c>
      <c r="I28" t="str">
        <f t="shared" si="3"/>
        <v>IFR-O-i3.*ANS</v>
      </c>
    </row>
    <row r="29" spans="1:9" x14ac:dyDescent="0.3">
      <c r="A29" t="s">
        <v>261</v>
      </c>
      <c r="B29" t="str">
        <f t="shared" si="0"/>
        <v>IFR-U-i2CM-n6so1fiA-ANS</v>
      </c>
      <c r="C29" t="s">
        <v>352</v>
      </c>
      <c r="E29" t="s">
        <v>79</v>
      </c>
      <c r="F29" t="s">
        <v>342</v>
      </c>
      <c r="G29">
        <f t="shared" si="4"/>
        <v>4</v>
      </c>
      <c r="H29" t="s">
        <v>339</v>
      </c>
      <c r="I29" t="str">
        <f t="shared" si="3"/>
        <v>IFR-O-i4.*ANS</v>
      </c>
    </row>
    <row r="30" spans="1:9" x14ac:dyDescent="0.3">
      <c r="A30" t="s">
        <v>262</v>
      </c>
      <c r="B30" t="str">
        <f t="shared" si="0"/>
        <v>IFR-D-i2CM-n6so1fiA-ANS</v>
      </c>
      <c r="C30" t="s">
        <v>353</v>
      </c>
      <c r="E30" t="s">
        <v>79</v>
      </c>
      <c r="F30" t="s">
        <v>342</v>
      </c>
      <c r="G30">
        <f t="shared" si="4"/>
        <v>5</v>
      </c>
      <c r="H30" t="s">
        <v>339</v>
      </c>
      <c r="I30" t="str">
        <f t="shared" si="3"/>
        <v>IFR-O-i5.*ANS</v>
      </c>
    </row>
    <row r="31" spans="1:9" x14ac:dyDescent="0.3">
      <c r="A31" t="s">
        <v>263</v>
      </c>
      <c r="B31" t="str">
        <f t="shared" si="0"/>
        <v>IFR-O-i2CM-n6so1fiA-ANS</v>
      </c>
      <c r="C31" t="s">
        <v>354</v>
      </c>
      <c r="E31" t="s">
        <v>79</v>
      </c>
      <c r="F31" t="s">
        <v>342</v>
      </c>
      <c r="G31">
        <f t="shared" si="4"/>
        <v>6</v>
      </c>
      <c r="H31" t="s">
        <v>339</v>
      </c>
      <c r="I31" t="str">
        <f t="shared" si="3"/>
        <v>IFR-O-i6.*ANS</v>
      </c>
    </row>
    <row r="32" spans="1:9" x14ac:dyDescent="0.3">
      <c r="A32" t="s">
        <v>264</v>
      </c>
      <c r="B32" t="str">
        <f t="shared" si="0"/>
        <v>IFR-U-i3CG-n1siBfiD-ANS</v>
      </c>
      <c r="C32" t="s">
        <v>355</v>
      </c>
      <c r="E32" t="s">
        <v>85</v>
      </c>
      <c r="F32" t="str">
        <f>F8</f>
        <v>N-i</v>
      </c>
      <c r="G32">
        <f>G8</f>
        <v>1</v>
      </c>
      <c r="H32" t="str">
        <f>H8</f>
        <v>ANS</v>
      </c>
      <c r="I32" t="str">
        <f t="shared" si="3"/>
        <v>ICR-N-i1.*ANS</v>
      </c>
    </row>
    <row r="33" spans="1:9" x14ac:dyDescent="0.3">
      <c r="A33" t="s">
        <v>265</v>
      </c>
      <c r="B33" t="str">
        <f t="shared" si="0"/>
        <v>IFR-D-i3CG-n1siBfiD-ANS</v>
      </c>
      <c r="C33" t="s">
        <v>356</v>
      </c>
      <c r="E33" t="s">
        <v>85</v>
      </c>
      <c r="F33" t="str">
        <f t="shared" ref="F33:H33" si="5">F9</f>
        <v>N-i</v>
      </c>
      <c r="G33">
        <f t="shared" si="5"/>
        <v>2</v>
      </c>
      <c r="H33" t="str">
        <f t="shared" si="5"/>
        <v>ANS</v>
      </c>
      <c r="I33" t="str">
        <f t="shared" ref="I33:I66" si="6">E33&amp;"-"&amp;F33&amp;G33&amp;".*"&amp;H33</f>
        <v>ICR-N-i2.*ANS</v>
      </c>
    </row>
    <row r="34" spans="1:9" x14ac:dyDescent="0.3">
      <c r="A34" t="s">
        <v>266</v>
      </c>
      <c r="B34" t="str">
        <f t="shared" si="0"/>
        <v>IFR-O-i3CG-n1siBfiD-ANS</v>
      </c>
      <c r="C34" t="s">
        <v>357</v>
      </c>
      <c r="E34" t="s">
        <v>85</v>
      </c>
      <c r="F34" t="str">
        <f t="shared" ref="F34:H34" si="7">F10</f>
        <v>N-i</v>
      </c>
      <c r="G34">
        <f t="shared" si="7"/>
        <v>3</v>
      </c>
      <c r="H34" t="str">
        <f t="shared" si="7"/>
        <v>ANS</v>
      </c>
      <c r="I34" t="str">
        <f t="shared" si="6"/>
        <v>ICR-N-i3.*ANS</v>
      </c>
    </row>
    <row r="35" spans="1:9" x14ac:dyDescent="0.3">
      <c r="A35" t="s">
        <v>267</v>
      </c>
      <c r="B35" t="str">
        <f t="shared" si="0"/>
        <v>IFR-U-i4CG-n3so3fo4-ANS</v>
      </c>
      <c r="C35" t="s">
        <v>358</v>
      </c>
      <c r="E35" t="s">
        <v>85</v>
      </c>
      <c r="F35" t="str">
        <f t="shared" ref="F35:H35" si="8">F11</f>
        <v>N-i</v>
      </c>
      <c r="G35">
        <f t="shared" si="8"/>
        <v>4</v>
      </c>
      <c r="H35" t="str">
        <f t="shared" si="8"/>
        <v>ANS</v>
      </c>
      <c r="I35" t="str">
        <f t="shared" si="6"/>
        <v>ICR-N-i4.*ANS</v>
      </c>
    </row>
    <row r="36" spans="1:9" x14ac:dyDescent="0.3">
      <c r="A36" t="s">
        <v>268</v>
      </c>
      <c r="B36" t="str">
        <f t="shared" si="0"/>
        <v>IFR-D-i4CG-n3so3fo4-ANS</v>
      </c>
      <c r="C36" t="s">
        <v>359</v>
      </c>
      <c r="E36" t="s">
        <v>85</v>
      </c>
      <c r="F36" t="str">
        <f t="shared" ref="F36:H36" si="9">F12</f>
        <v>N-i</v>
      </c>
      <c r="G36">
        <f t="shared" si="9"/>
        <v>5</v>
      </c>
      <c r="H36" t="str">
        <f t="shared" si="9"/>
        <v>ANS</v>
      </c>
      <c r="I36" t="str">
        <f t="shared" si="6"/>
        <v>ICR-N-i5.*ANS</v>
      </c>
    </row>
    <row r="37" spans="1:9" x14ac:dyDescent="0.3">
      <c r="A37" t="s">
        <v>269</v>
      </c>
      <c r="B37" t="str">
        <f t="shared" si="0"/>
        <v>IFR-O-i4CG-n3so3fo4-ANS</v>
      </c>
      <c r="C37" t="s">
        <v>360</v>
      </c>
      <c r="E37" t="s">
        <v>85</v>
      </c>
      <c r="F37" t="str">
        <f t="shared" ref="F37:H37" si="10">F13</f>
        <v>N-i</v>
      </c>
      <c r="G37">
        <f t="shared" si="10"/>
        <v>6</v>
      </c>
      <c r="H37" t="str">
        <f t="shared" si="10"/>
        <v>ANS</v>
      </c>
      <c r="I37" t="str">
        <f t="shared" si="6"/>
        <v>ICR-N-i6.*ANS</v>
      </c>
    </row>
    <row r="38" spans="1:9" x14ac:dyDescent="0.3">
      <c r="A38" t="s">
        <v>270</v>
      </c>
      <c r="B38" t="str">
        <f t="shared" si="0"/>
        <v>IFR-U-i5IN-n5siAfiC-ANS</v>
      </c>
      <c r="C38" t="s">
        <v>361</v>
      </c>
      <c r="E38" t="s">
        <v>85</v>
      </c>
      <c r="F38" t="str">
        <f t="shared" ref="F38:H38" si="11">F14</f>
        <v>U-i</v>
      </c>
      <c r="G38">
        <f t="shared" si="11"/>
        <v>1</v>
      </c>
      <c r="H38" t="str">
        <f t="shared" si="11"/>
        <v>ANS</v>
      </c>
      <c r="I38" t="str">
        <f t="shared" si="6"/>
        <v>ICR-U-i1.*ANS</v>
      </c>
    </row>
    <row r="39" spans="1:9" x14ac:dyDescent="0.3">
      <c r="A39" t="s">
        <v>271</v>
      </c>
      <c r="B39" t="str">
        <f t="shared" si="0"/>
        <v>IFR-D-i5IN-n5siAfiC-ANS</v>
      </c>
      <c r="C39" t="s">
        <v>362</v>
      </c>
      <c r="E39" t="s">
        <v>85</v>
      </c>
      <c r="F39" t="str">
        <f t="shared" ref="F39:H39" si="12">F15</f>
        <v>U-i</v>
      </c>
      <c r="G39">
        <f t="shared" si="12"/>
        <v>2</v>
      </c>
      <c r="H39" t="str">
        <f t="shared" si="12"/>
        <v>ANS</v>
      </c>
      <c r="I39" t="str">
        <f t="shared" si="6"/>
        <v>ICR-U-i2.*ANS</v>
      </c>
    </row>
    <row r="40" spans="1:9" x14ac:dyDescent="0.3">
      <c r="A40" t="s">
        <v>272</v>
      </c>
      <c r="B40" t="str">
        <f t="shared" si="0"/>
        <v>IFR-O-i5IN-n5siAfiC-ANS</v>
      </c>
      <c r="C40" t="s">
        <v>363</v>
      </c>
      <c r="E40" t="s">
        <v>85</v>
      </c>
      <c r="F40" t="str">
        <f t="shared" ref="F40:H40" si="13">F16</f>
        <v>U-i</v>
      </c>
      <c r="G40">
        <f t="shared" si="13"/>
        <v>3</v>
      </c>
      <c r="H40" t="str">
        <f t="shared" si="13"/>
        <v>ANS</v>
      </c>
      <c r="I40" t="str">
        <f t="shared" si="6"/>
        <v>ICR-U-i3.*ANS</v>
      </c>
    </row>
    <row r="41" spans="1:9" x14ac:dyDescent="0.3">
      <c r="A41" t="s">
        <v>273</v>
      </c>
      <c r="B41" t="str">
        <f t="shared" si="0"/>
        <v>IFR-U-i6IN-n2so2fiB-ANS</v>
      </c>
      <c r="C41" t="s">
        <v>364</v>
      </c>
      <c r="E41" t="s">
        <v>85</v>
      </c>
      <c r="F41" t="str">
        <f t="shared" ref="F41:H41" si="14">F17</f>
        <v>U-i</v>
      </c>
      <c r="G41">
        <f t="shared" si="14"/>
        <v>4</v>
      </c>
      <c r="H41" t="str">
        <f t="shared" si="14"/>
        <v>ANS</v>
      </c>
      <c r="I41" t="str">
        <f t="shared" si="6"/>
        <v>ICR-U-i4.*ANS</v>
      </c>
    </row>
    <row r="42" spans="1:9" x14ac:dyDescent="0.3">
      <c r="A42" t="s">
        <v>274</v>
      </c>
      <c r="B42" t="str">
        <f t="shared" si="0"/>
        <v>IFR-D-i6IN-n2so2fiB-ANS</v>
      </c>
      <c r="C42" t="s">
        <v>365</v>
      </c>
      <c r="E42" t="s">
        <v>85</v>
      </c>
      <c r="F42" t="str">
        <f t="shared" ref="F42:H42" si="15">F18</f>
        <v>U-i</v>
      </c>
      <c r="G42">
        <f t="shared" si="15"/>
        <v>5</v>
      </c>
      <c r="H42" t="str">
        <f t="shared" si="15"/>
        <v>ANS</v>
      </c>
      <c r="I42" t="str">
        <f t="shared" si="6"/>
        <v>ICR-U-i5.*ANS</v>
      </c>
    </row>
    <row r="43" spans="1:9" x14ac:dyDescent="0.3">
      <c r="A43" t="s">
        <v>275</v>
      </c>
      <c r="B43" t="str">
        <f t="shared" si="0"/>
        <v>IFR-O-i6IN-n2so2fiB-ANS</v>
      </c>
      <c r="C43" t="s">
        <v>366</v>
      </c>
      <c r="E43" t="s">
        <v>85</v>
      </c>
      <c r="F43" t="str">
        <f t="shared" ref="F43:H43" si="16">F19</f>
        <v>U-i</v>
      </c>
      <c r="G43">
        <f t="shared" si="16"/>
        <v>6</v>
      </c>
      <c r="H43" t="str">
        <f t="shared" si="16"/>
        <v>ANS</v>
      </c>
      <c r="I43" t="str">
        <f t="shared" si="6"/>
        <v>ICR-U-i6.*ANS</v>
      </c>
    </row>
    <row r="44" spans="1:9" x14ac:dyDescent="0.3">
      <c r="A44" t="s">
        <v>276</v>
      </c>
      <c r="B44" t="str">
        <f t="shared" si="0"/>
        <v>TCR-O-TSK1-ANS</v>
      </c>
      <c r="C44" t="str">
        <f t="shared" si="1"/>
        <v>TCR-O-TSK1-ANS</v>
      </c>
      <c r="E44" t="s">
        <v>85</v>
      </c>
      <c r="F44" t="str">
        <f t="shared" ref="F44:H44" si="17">F20</f>
        <v>D-i</v>
      </c>
      <c r="G44">
        <f t="shared" si="17"/>
        <v>1</v>
      </c>
      <c r="H44" t="str">
        <f t="shared" si="17"/>
        <v>ANS</v>
      </c>
      <c r="I44" t="str">
        <f t="shared" si="6"/>
        <v>ICR-D-i1.*ANS</v>
      </c>
    </row>
    <row r="45" spans="1:9" x14ac:dyDescent="0.3">
      <c r="A45" t="s">
        <v>277</v>
      </c>
      <c r="B45" t="str">
        <f t="shared" si="0"/>
        <v>TCR-O-TSK2-ANS</v>
      </c>
      <c r="C45" t="str">
        <f t="shared" si="1"/>
        <v>TCR-O-TSK2-ANS</v>
      </c>
      <c r="E45" t="s">
        <v>85</v>
      </c>
      <c r="F45" t="str">
        <f t="shared" ref="F45:H45" si="18">F21</f>
        <v>D-i</v>
      </c>
      <c r="G45">
        <f t="shared" si="18"/>
        <v>2</v>
      </c>
      <c r="H45" t="str">
        <f t="shared" si="18"/>
        <v>ANS</v>
      </c>
      <c r="I45" t="str">
        <f t="shared" si="6"/>
        <v>ICR-D-i2.*ANS</v>
      </c>
    </row>
    <row r="46" spans="1:9" x14ac:dyDescent="0.3">
      <c r="A46" t="s">
        <v>278</v>
      </c>
      <c r="B46" t="str">
        <f t="shared" si="0"/>
        <v>TCR-O-TSK3-ANS</v>
      </c>
      <c r="C46" t="str">
        <f t="shared" si="1"/>
        <v>TCR-O-TSK3-ANS</v>
      </c>
      <c r="E46" t="s">
        <v>85</v>
      </c>
      <c r="F46" t="str">
        <f t="shared" ref="F46:H46" si="19">F22</f>
        <v>D-i</v>
      </c>
      <c r="G46">
        <f t="shared" si="19"/>
        <v>3</v>
      </c>
      <c r="H46" t="str">
        <f t="shared" si="19"/>
        <v>ANS</v>
      </c>
      <c r="I46" t="str">
        <f t="shared" si="6"/>
        <v>ICR-D-i3.*ANS</v>
      </c>
    </row>
    <row r="47" spans="1:9" x14ac:dyDescent="0.3">
      <c r="A47" t="s">
        <v>279</v>
      </c>
      <c r="B47" t="str">
        <f t="shared" si="0"/>
        <v>TCR-O-TSK4-ANS</v>
      </c>
      <c r="C47" t="str">
        <f t="shared" si="1"/>
        <v>TCR-O-TSK4-ANS</v>
      </c>
      <c r="E47" t="s">
        <v>85</v>
      </c>
      <c r="F47" t="str">
        <f t="shared" ref="F47:H47" si="20">F23</f>
        <v>D-i</v>
      </c>
      <c r="G47">
        <f t="shared" si="20"/>
        <v>4</v>
      </c>
      <c r="H47" t="str">
        <f t="shared" si="20"/>
        <v>ANS</v>
      </c>
      <c r="I47" t="str">
        <f t="shared" si="6"/>
        <v>ICR-D-i4.*ANS</v>
      </c>
    </row>
    <row r="48" spans="1:9" x14ac:dyDescent="0.3">
      <c r="A48" t="s">
        <v>280</v>
      </c>
      <c r="B48" t="str">
        <f t="shared" si="0"/>
        <v>TCR-O-TSK5-ANS</v>
      </c>
      <c r="C48" t="str">
        <f t="shared" si="1"/>
        <v>TCR-O-TSK5-ANS</v>
      </c>
      <c r="E48" t="s">
        <v>85</v>
      </c>
      <c r="F48" t="str">
        <f t="shared" ref="F48:H48" si="21">F24</f>
        <v>D-i</v>
      </c>
      <c r="G48">
        <f t="shared" si="21"/>
        <v>5</v>
      </c>
      <c r="H48" t="str">
        <f t="shared" si="21"/>
        <v>ANS</v>
      </c>
      <c r="I48" t="str">
        <f t="shared" si="6"/>
        <v>ICR-D-i5.*ANS</v>
      </c>
    </row>
    <row r="49" spans="1:9" x14ac:dyDescent="0.3">
      <c r="A49" t="s">
        <v>281</v>
      </c>
      <c r="B49" t="str">
        <f t="shared" si="0"/>
        <v>TCR-O-TSK6-ANS</v>
      </c>
      <c r="C49" t="str">
        <f t="shared" si="1"/>
        <v>TCR-O-TSK6-ANS</v>
      </c>
      <c r="E49" t="s">
        <v>85</v>
      </c>
      <c r="F49" t="str">
        <f t="shared" ref="F49:H49" si="22">F25</f>
        <v>D-i</v>
      </c>
      <c r="G49">
        <f t="shared" si="22"/>
        <v>6</v>
      </c>
      <c r="H49" t="str">
        <f t="shared" si="22"/>
        <v>ANS</v>
      </c>
      <c r="I49" t="str">
        <f t="shared" si="6"/>
        <v>ICR-D-i6.*ANS</v>
      </c>
    </row>
    <row r="50" spans="1:9" x14ac:dyDescent="0.3">
      <c r="A50" t="s">
        <v>282</v>
      </c>
      <c r="B50" t="str">
        <f t="shared" si="0"/>
        <v>ICR-N-i1CM-n4siCfo3-ANS</v>
      </c>
      <c r="C50" t="s">
        <v>367</v>
      </c>
      <c r="E50" t="s">
        <v>85</v>
      </c>
      <c r="F50" t="str">
        <f t="shared" ref="F50:H50" si="23">F26</f>
        <v>O-i</v>
      </c>
      <c r="G50">
        <f t="shared" si="23"/>
        <v>1</v>
      </c>
      <c r="H50" t="str">
        <f t="shared" si="23"/>
        <v>ANS</v>
      </c>
      <c r="I50" t="str">
        <f t="shared" si="6"/>
        <v>ICR-O-i1.*ANS</v>
      </c>
    </row>
    <row r="51" spans="1:9" x14ac:dyDescent="0.3">
      <c r="A51" t="s">
        <v>283</v>
      </c>
      <c r="B51" t="str">
        <f t="shared" si="0"/>
        <v>ICR-U-i1CM-n4siCfo3-ANS</v>
      </c>
      <c r="C51" t="s">
        <v>368</v>
      </c>
      <c r="E51" t="s">
        <v>85</v>
      </c>
      <c r="F51" t="str">
        <f t="shared" ref="F51:H51" si="24">F27</f>
        <v>O-i</v>
      </c>
      <c r="G51">
        <f t="shared" si="24"/>
        <v>2</v>
      </c>
      <c r="H51" t="str">
        <f t="shared" si="24"/>
        <v>ANS</v>
      </c>
      <c r="I51" t="str">
        <f t="shared" si="6"/>
        <v>ICR-O-i2.*ANS</v>
      </c>
    </row>
    <row r="52" spans="1:9" x14ac:dyDescent="0.3">
      <c r="A52" t="s">
        <v>284</v>
      </c>
      <c r="B52" t="str">
        <f t="shared" si="0"/>
        <v>ICR-D-i1CM-n4siCfo3-ANS</v>
      </c>
      <c r="C52" t="s">
        <v>369</v>
      </c>
      <c r="E52" t="s">
        <v>85</v>
      </c>
      <c r="F52" t="str">
        <f t="shared" ref="F52:H52" si="25">F28</f>
        <v>O-i</v>
      </c>
      <c r="G52">
        <f t="shared" si="25"/>
        <v>3</v>
      </c>
      <c r="H52" t="str">
        <f t="shared" si="25"/>
        <v>ANS</v>
      </c>
      <c r="I52" t="str">
        <f t="shared" si="6"/>
        <v>ICR-O-i3.*ANS</v>
      </c>
    </row>
    <row r="53" spans="1:9" x14ac:dyDescent="0.3">
      <c r="A53" t="s">
        <v>285</v>
      </c>
      <c r="B53" t="str">
        <f t="shared" si="0"/>
        <v>ICR-O-i1CM-n4siCfo3-ANS</v>
      </c>
      <c r="C53" t="s">
        <v>370</v>
      </c>
      <c r="E53" t="s">
        <v>85</v>
      </c>
      <c r="F53" t="str">
        <f t="shared" ref="F53:H53" si="26">F29</f>
        <v>O-i</v>
      </c>
      <c r="G53">
        <f t="shared" si="26"/>
        <v>4</v>
      </c>
      <c r="H53" t="str">
        <f t="shared" si="26"/>
        <v>ANS</v>
      </c>
      <c r="I53" t="str">
        <f t="shared" si="6"/>
        <v>ICR-O-i4.*ANS</v>
      </c>
    </row>
    <row r="54" spans="1:9" x14ac:dyDescent="0.3">
      <c r="A54" t="s">
        <v>286</v>
      </c>
      <c r="B54" t="str">
        <f t="shared" si="0"/>
        <v>ICR-N-i2CM-n6so1fiA-ANS</v>
      </c>
      <c r="C54" t="s">
        <v>371</v>
      </c>
      <c r="E54" t="s">
        <v>85</v>
      </c>
      <c r="F54" t="str">
        <f t="shared" ref="F54:H54" si="27">F30</f>
        <v>O-i</v>
      </c>
      <c r="G54">
        <f t="shared" si="27"/>
        <v>5</v>
      </c>
      <c r="H54" t="str">
        <f t="shared" si="27"/>
        <v>ANS</v>
      </c>
      <c r="I54" t="str">
        <f t="shared" si="6"/>
        <v>ICR-O-i5.*ANS</v>
      </c>
    </row>
    <row r="55" spans="1:9" x14ac:dyDescent="0.3">
      <c r="A55" t="s">
        <v>287</v>
      </c>
      <c r="B55" t="str">
        <f t="shared" si="0"/>
        <v>ICR-U-i2CM-n6so1fiA-ANS</v>
      </c>
      <c r="C55" t="s">
        <v>372</v>
      </c>
      <c r="E55" t="s">
        <v>85</v>
      </c>
      <c r="F55" t="str">
        <f t="shared" ref="F55:H55" si="28">F31</f>
        <v>O-i</v>
      </c>
      <c r="G55">
        <f t="shared" si="28"/>
        <v>6</v>
      </c>
      <c r="H55" t="str">
        <f t="shared" si="28"/>
        <v>ANS</v>
      </c>
      <c r="I55" t="str">
        <f t="shared" si="6"/>
        <v>ICR-O-i6.*ANS</v>
      </c>
    </row>
    <row r="56" spans="1:9" x14ac:dyDescent="0.3">
      <c r="A56" t="s">
        <v>288</v>
      </c>
      <c r="B56" t="str">
        <f t="shared" si="0"/>
        <v>ICR-D-i2CM-n6so1fiA-ANS</v>
      </c>
      <c r="C56" t="s">
        <v>373</v>
      </c>
      <c r="E56" t="s">
        <v>87</v>
      </c>
      <c r="F56" t="str">
        <f t="shared" ref="F56:H56" si="29">F32</f>
        <v>N-i</v>
      </c>
      <c r="G56">
        <f t="shared" si="29"/>
        <v>1</v>
      </c>
      <c r="H56" t="str">
        <f t="shared" si="29"/>
        <v>ANS</v>
      </c>
      <c r="I56" t="str">
        <f t="shared" si="6"/>
        <v>IRE-N-i1.*ANS</v>
      </c>
    </row>
    <row r="57" spans="1:9" x14ac:dyDescent="0.3">
      <c r="A57" t="s">
        <v>289</v>
      </c>
      <c r="B57" t="str">
        <f t="shared" si="0"/>
        <v>ICR-O-i2CM-n6so1fiA-ANS</v>
      </c>
      <c r="C57" t="s">
        <v>374</v>
      </c>
      <c r="E57" t="s">
        <v>87</v>
      </c>
      <c r="F57" t="str">
        <f t="shared" ref="F57:H57" si="30">F33</f>
        <v>N-i</v>
      </c>
      <c r="G57">
        <f t="shared" si="30"/>
        <v>2</v>
      </c>
      <c r="H57" t="str">
        <f t="shared" si="30"/>
        <v>ANS</v>
      </c>
      <c r="I57" t="str">
        <f t="shared" si="6"/>
        <v>IRE-N-i2.*ANS</v>
      </c>
    </row>
    <row r="58" spans="1:9" x14ac:dyDescent="0.3">
      <c r="A58" t="s">
        <v>290</v>
      </c>
      <c r="B58" t="str">
        <f t="shared" si="0"/>
        <v>ICR-N-i3CG-n1siBfiD-ANS</v>
      </c>
      <c r="C58" t="s">
        <v>375</v>
      </c>
      <c r="E58" t="s">
        <v>87</v>
      </c>
      <c r="F58" t="str">
        <f t="shared" ref="F58:H58" si="31">F34</f>
        <v>N-i</v>
      </c>
      <c r="G58">
        <f t="shared" si="31"/>
        <v>3</v>
      </c>
      <c r="H58" t="str">
        <f t="shared" si="31"/>
        <v>ANS</v>
      </c>
      <c r="I58" t="str">
        <f t="shared" si="6"/>
        <v>IRE-N-i3.*ANS</v>
      </c>
    </row>
    <row r="59" spans="1:9" x14ac:dyDescent="0.3">
      <c r="A59" t="s">
        <v>291</v>
      </c>
      <c r="B59" t="str">
        <f t="shared" si="0"/>
        <v>ICR-U-i3CG-n1siBfiD-ANS</v>
      </c>
      <c r="C59" t="s">
        <v>376</v>
      </c>
      <c r="E59" t="s">
        <v>87</v>
      </c>
      <c r="F59" t="str">
        <f t="shared" ref="F59:H59" si="32">F35</f>
        <v>N-i</v>
      </c>
      <c r="G59">
        <f t="shared" si="32"/>
        <v>4</v>
      </c>
      <c r="H59" t="str">
        <f t="shared" si="32"/>
        <v>ANS</v>
      </c>
      <c r="I59" t="str">
        <f t="shared" si="6"/>
        <v>IRE-N-i4.*ANS</v>
      </c>
    </row>
    <row r="60" spans="1:9" x14ac:dyDescent="0.3">
      <c r="A60" t="s">
        <v>292</v>
      </c>
      <c r="B60" t="str">
        <f t="shared" si="0"/>
        <v>ICR-D-i3CG-n1siBfiD-ANS</v>
      </c>
      <c r="C60" t="s">
        <v>377</v>
      </c>
      <c r="E60" t="s">
        <v>87</v>
      </c>
      <c r="F60" t="str">
        <f t="shared" ref="F60:H60" si="33">F36</f>
        <v>N-i</v>
      </c>
      <c r="G60">
        <f t="shared" si="33"/>
        <v>5</v>
      </c>
      <c r="H60" t="str">
        <f t="shared" si="33"/>
        <v>ANS</v>
      </c>
      <c r="I60" t="str">
        <f t="shared" si="6"/>
        <v>IRE-N-i5.*ANS</v>
      </c>
    </row>
    <row r="61" spans="1:9" x14ac:dyDescent="0.3">
      <c r="A61" t="s">
        <v>293</v>
      </c>
      <c r="B61" t="str">
        <f t="shared" si="0"/>
        <v>ICR-O-i3CG-n1siBfiD-ANS</v>
      </c>
      <c r="C61" t="s">
        <v>378</v>
      </c>
      <c r="E61" t="s">
        <v>87</v>
      </c>
      <c r="F61" t="str">
        <f t="shared" ref="F61:H61" si="34">F37</f>
        <v>N-i</v>
      </c>
      <c r="G61">
        <f t="shared" si="34"/>
        <v>6</v>
      </c>
      <c r="H61" t="str">
        <f t="shared" si="34"/>
        <v>ANS</v>
      </c>
      <c r="I61" t="str">
        <f t="shared" si="6"/>
        <v>IRE-N-i6.*ANS</v>
      </c>
    </row>
    <row r="62" spans="1:9" x14ac:dyDescent="0.3">
      <c r="A62" t="s">
        <v>294</v>
      </c>
      <c r="B62" t="str">
        <f t="shared" si="0"/>
        <v>ICR-N-i4CG-n3so3fo4-ANS</v>
      </c>
      <c r="C62" t="s">
        <v>379</v>
      </c>
      <c r="E62" t="s">
        <v>87</v>
      </c>
      <c r="F62" t="str">
        <f t="shared" ref="F62:H62" si="35">F38</f>
        <v>U-i</v>
      </c>
      <c r="G62">
        <f t="shared" si="35"/>
        <v>1</v>
      </c>
      <c r="H62" t="str">
        <f t="shared" si="35"/>
        <v>ANS</v>
      </c>
      <c r="I62" t="str">
        <f t="shared" si="6"/>
        <v>IRE-U-i1.*ANS</v>
      </c>
    </row>
    <row r="63" spans="1:9" x14ac:dyDescent="0.3">
      <c r="A63" t="s">
        <v>295</v>
      </c>
      <c r="B63" t="str">
        <f t="shared" si="0"/>
        <v>ICR-U-i4CG-n3so3fo4-ANS</v>
      </c>
      <c r="C63" t="s">
        <v>380</v>
      </c>
      <c r="E63" t="s">
        <v>87</v>
      </c>
      <c r="F63" t="str">
        <f t="shared" ref="F63:H63" si="36">F39</f>
        <v>U-i</v>
      </c>
      <c r="G63">
        <f t="shared" si="36"/>
        <v>2</v>
      </c>
      <c r="H63" t="str">
        <f t="shared" si="36"/>
        <v>ANS</v>
      </c>
      <c r="I63" t="str">
        <f t="shared" si="6"/>
        <v>IRE-U-i2.*ANS</v>
      </c>
    </row>
    <row r="64" spans="1:9" x14ac:dyDescent="0.3">
      <c r="A64" t="s">
        <v>296</v>
      </c>
      <c r="B64" t="str">
        <f t="shared" si="0"/>
        <v>ICR-D-i4CG-n3so3fo4-ANS</v>
      </c>
      <c r="C64" t="s">
        <v>381</v>
      </c>
      <c r="E64" t="s">
        <v>87</v>
      </c>
      <c r="F64" t="str">
        <f t="shared" ref="F64:H64" si="37">F40</f>
        <v>U-i</v>
      </c>
      <c r="G64">
        <f t="shared" si="37"/>
        <v>3</v>
      </c>
      <c r="H64" t="str">
        <f t="shared" si="37"/>
        <v>ANS</v>
      </c>
      <c r="I64" t="str">
        <f t="shared" si="6"/>
        <v>IRE-U-i3.*ANS</v>
      </c>
    </row>
    <row r="65" spans="1:9" x14ac:dyDescent="0.3">
      <c r="A65" t="s">
        <v>297</v>
      </c>
      <c r="B65" t="str">
        <f t="shared" si="0"/>
        <v>ICR-O-i4CG-n3so3fo4-ANS</v>
      </c>
      <c r="C65" t="s">
        <v>382</v>
      </c>
      <c r="E65" t="s">
        <v>87</v>
      </c>
      <c r="F65" t="str">
        <f t="shared" ref="F65:H65" si="38">F41</f>
        <v>U-i</v>
      </c>
      <c r="G65">
        <f t="shared" si="38"/>
        <v>4</v>
      </c>
      <c r="H65" t="str">
        <f t="shared" si="38"/>
        <v>ANS</v>
      </c>
      <c r="I65" t="str">
        <f t="shared" si="6"/>
        <v>IRE-U-i4.*ANS</v>
      </c>
    </row>
    <row r="66" spans="1:9" x14ac:dyDescent="0.3">
      <c r="A66" t="s">
        <v>298</v>
      </c>
      <c r="B66" t="str">
        <f t="shared" ref="B66:B105" si="39">MID(A66,12,50)</f>
        <v>ICR-N-i5IN-n5siAfiC-ANS</v>
      </c>
      <c r="C66" t="s">
        <v>383</v>
      </c>
      <c r="E66" t="s">
        <v>87</v>
      </c>
      <c r="F66" t="str">
        <f t="shared" ref="F66:H66" si="40">F42</f>
        <v>U-i</v>
      </c>
      <c r="G66">
        <f t="shared" si="40"/>
        <v>5</v>
      </c>
      <c r="H66" t="str">
        <f t="shared" si="40"/>
        <v>ANS</v>
      </c>
      <c r="I66" t="str">
        <f t="shared" si="6"/>
        <v>IRE-U-i5.*ANS</v>
      </c>
    </row>
    <row r="67" spans="1:9" x14ac:dyDescent="0.3">
      <c r="A67" t="s">
        <v>299</v>
      </c>
      <c r="B67" t="str">
        <f t="shared" si="39"/>
        <v>ICR-U-i5IN-n5siAfiC-ANS</v>
      </c>
      <c r="C67" t="s">
        <v>384</v>
      </c>
      <c r="E67" t="s">
        <v>87</v>
      </c>
      <c r="F67" t="str">
        <f t="shared" ref="F67:H67" si="41">F43</f>
        <v>U-i</v>
      </c>
      <c r="G67">
        <f t="shared" si="41"/>
        <v>6</v>
      </c>
      <c r="H67" t="str">
        <f t="shared" si="41"/>
        <v>ANS</v>
      </c>
      <c r="I67" t="str">
        <f t="shared" ref="I67:I79" si="42">E67&amp;"-"&amp;F67&amp;G67&amp;".*"&amp;H67</f>
        <v>IRE-U-i6.*ANS</v>
      </c>
    </row>
    <row r="68" spans="1:9" x14ac:dyDescent="0.3">
      <c r="A68" t="s">
        <v>300</v>
      </c>
      <c r="B68" t="str">
        <f t="shared" si="39"/>
        <v>ICR-D-i5IN-n5siAfiC-ANS</v>
      </c>
      <c r="C68" t="s">
        <v>385</v>
      </c>
      <c r="E68" t="s">
        <v>87</v>
      </c>
      <c r="F68" t="str">
        <f t="shared" ref="F68:H68" si="43">F44</f>
        <v>D-i</v>
      </c>
      <c r="G68">
        <f t="shared" si="43"/>
        <v>1</v>
      </c>
      <c r="H68" t="str">
        <f t="shared" si="43"/>
        <v>ANS</v>
      </c>
      <c r="I68" t="str">
        <f t="shared" si="42"/>
        <v>IRE-D-i1.*ANS</v>
      </c>
    </row>
    <row r="69" spans="1:9" x14ac:dyDescent="0.3">
      <c r="A69" t="s">
        <v>301</v>
      </c>
      <c r="B69" t="str">
        <f t="shared" si="39"/>
        <v>ICR-O-i5IN-n5siAfiC-ANS</v>
      </c>
      <c r="C69" t="s">
        <v>386</v>
      </c>
      <c r="E69" t="s">
        <v>87</v>
      </c>
      <c r="F69" t="str">
        <f t="shared" ref="F69:H69" si="44">F45</f>
        <v>D-i</v>
      </c>
      <c r="G69">
        <f t="shared" si="44"/>
        <v>2</v>
      </c>
      <c r="H69" t="str">
        <f t="shared" si="44"/>
        <v>ANS</v>
      </c>
      <c r="I69" t="str">
        <f t="shared" si="42"/>
        <v>IRE-D-i2.*ANS</v>
      </c>
    </row>
    <row r="70" spans="1:9" x14ac:dyDescent="0.3">
      <c r="A70" t="s">
        <v>302</v>
      </c>
      <c r="B70" t="str">
        <f t="shared" si="39"/>
        <v>ICR-N-i6IN-n2so2fiB-ANS</v>
      </c>
      <c r="C70" t="s">
        <v>387</v>
      </c>
      <c r="E70" t="s">
        <v>87</v>
      </c>
      <c r="F70" t="str">
        <f t="shared" ref="F70:H70" si="45">F46</f>
        <v>D-i</v>
      </c>
      <c r="G70">
        <f t="shared" si="45"/>
        <v>3</v>
      </c>
      <c r="H70" t="str">
        <f t="shared" si="45"/>
        <v>ANS</v>
      </c>
      <c r="I70" t="str">
        <f t="shared" si="42"/>
        <v>IRE-D-i3.*ANS</v>
      </c>
    </row>
    <row r="71" spans="1:9" x14ac:dyDescent="0.3">
      <c r="A71" t="s">
        <v>303</v>
      </c>
      <c r="B71" t="str">
        <f t="shared" si="39"/>
        <v>ICR-U-i6IN-n2so2fiB-ANS</v>
      </c>
      <c r="C71" t="s">
        <v>388</v>
      </c>
      <c r="E71" t="s">
        <v>87</v>
      </c>
      <c r="F71" t="str">
        <f t="shared" ref="F71:H71" si="46">F47</f>
        <v>D-i</v>
      </c>
      <c r="G71">
        <f t="shared" si="46"/>
        <v>4</v>
      </c>
      <c r="H71" t="str">
        <f t="shared" si="46"/>
        <v>ANS</v>
      </c>
      <c r="I71" t="str">
        <f t="shared" si="42"/>
        <v>IRE-D-i4.*ANS</v>
      </c>
    </row>
    <row r="72" spans="1:9" x14ac:dyDescent="0.3">
      <c r="A72" t="s">
        <v>304</v>
      </c>
      <c r="B72" t="str">
        <f t="shared" si="39"/>
        <v>ICR-D-i6IN-n2so2fiB-ANS</v>
      </c>
      <c r="C72" t="s">
        <v>389</v>
      </c>
      <c r="E72" t="s">
        <v>87</v>
      </c>
      <c r="F72" t="str">
        <f t="shared" ref="F72:H72" si="47">F48</f>
        <v>D-i</v>
      </c>
      <c r="G72">
        <f t="shared" si="47"/>
        <v>5</v>
      </c>
      <c r="H72" t="str">
        <f t="shared" si="47"/>
        <v>ANS</v>
      </c>
      <c r="I72" t="str">
        <f t="shared" si="42"/>
        <v>IRE-D-i5.*ANS</v>
      </c>
    </row>
    <row r="73" spans="1:9" x14ac:dyDescent="0.3">
      <c r="A73" t="s">
        <v>305</v>
      </c>
      <c r="B73" t="str">
        <f t="shared" si="39"/>
        <v>ICR-O-i6IN-n2so2fiB-ANS</v>
      </c>
      <c r="C73" t="s">
        <v>390</v>
      </c>
      <c r="E73" t="s">
        <v>87</v>
      </c>
      <c r="F73" t="str">
        <f t="shared" ref="F73:H73" si="48">F49</f>
        <v>D-i</v>
      </c>
      <c r="G73">
        <f t="shared" si="48"/>
        <v>6</v>
      </c>
      <c r="H73" t="str">
        <f t="shared" si="48"/>
        <v>ANS</v>
      </c>
      <c r="I73" t="str">
        <f t="shared" si="42"/>
        <v>IRE-D-i6.*ANS</v>
      </c>
    </row>
    <row r="74" spans="1:9" x14ac:dyDescent="0.3">
      <c r="A74" t="s">
        <v>306</v>
      </c>
      <c r="B74" t="str">
        <f t="shared" si="39"/>
        <v>RRE-L-DOOR-ANS</v>
      </c>
      <c r="C74" t="str">
        <f t="shared" ref="C74:C81" si="49">B74</f>
        <v>RRE-L-DOOR-ANS</v>
      </c>
      <c r="E74" t="s">
        <v>87</v>
      </c>
      <c r="F74" t="str">
        <f t="shared" ref="F74:H74" si="50">F50</f>
        <v>O-i</v>
      </c>
      <c r="G74">
        <f t="shared" si="50"/>
        <v>1</v>
      </c>
      <c r="H74" t="str">
        <f t="shared" si="50"/>
        <v>ANS</v>
      </c>
      <c r="I74" t="str">
        <f t="shared" si="42"/>
        <v>IRE-O-i1.*ANS</v>
      </c>
    </row>
    <row r="75" spans="1:9" x14ac:dyDescent="0.3">
      <c r="A75" t="s">
        <v>307</v>
      </c>
      <c r="B75" t="str">
        <f t="shared" si="39"/>
        <v>RRE-L-WIND-ANS</v>
      </c>
      <c r="C75" t="str">
        <f t="shared" si="49"/>
        <v>RRE-L-WIND-ANS</v>
      </c>
      <c r="E75" t="s">
        <v>87</v>
      </c>
      <c r="F75" t="str">
        <f t="shared" ref="F75:H75" si="51">F51</f>
        <v>O-i</v>
      </c>
      <c r="G75">
        <f t="shared" si="51"/>
        <v>2</v>
      </c>
      <c r="H75" t="str">
        <f t="shared" si="51"/>
        <v>ANS</v>
      </c>
      <c r="I75" t="str">
        <f t="shared" si="42"/>
        <v>IRE-O-i2.*ANS</v>
      </c>
    </row>
    <row r="76" spans="1:9" x14ac:dyDescent="0.3">
      <c r="A76" t="s">
        <v>308</v>
      </c>
      <c r="B76" t="str">
        <f t="shared" si="39"/>
        <v>RRE-N-LAND-ANS</v>
      </c>
      <c r="C76" t="str">
        <f t="shared" si="49"/>
        <v>RRE-N-LAND-ANS</v>
      </c>
      <c r="E76" t="s">
        <v>87</v>
      </c>
      <c r="F76" t="str">
        <f t="shared" ref="F76:H76" si="52">F52</f>
        <v>O-i</v>
      </c>
      <c r="G76">
        <f t="shared" si="52"/>
        <v>3</v>
      </c>
      <c r="H76" t="str">
        <f t="shared" si="52"/>
        <v>ANS</v>
      </c>
      <c r="I76" t="str">
        <f t="shared" si="42"/>
        <v>IRE-O-i3.*ANS</v>
      </c>
    </row>
    <row r="77" spans="1:9" x14ac:dyDescent="0.3">
      <c r="A77" t="s">
        <v>309</v>
      </c>
      <c r="B77" t="str">
        <f t="shared" si="39"/>
        <v>RRE-L-LAND-ANS</v>
      </c>
      <c r="C77" t="str">
        <f t="shared" si="49"/>
        <v>RRE-L-LAND-ANS</v>
      </c>
      <c r="E77" t="s">
        <v>87</v>
      </c>
      <c r="F77" t="str">
        <f t="shared" ref="F77:H77" si="53">F53</f>
        <v>O-i</v>
      </c>
      <c r="G77">
        <f t="shared" si="53"/>
        <v>4</v>
      </c>
      <c r="H77" t="str">
        <f t="shared" si="53"/>
        <v>ANS</v>
      </c>
      <c r="I77" t="str">
        <f t="shared" si="42"/>
        <v>IRE-O-i4.*ANS</v>
      </c>
    </row>
    <row r="78" spans="1:9" x14ac:dyDescent="0.3">
      <c r="A78" t="s">
        <v>310</v>
      </c>
      <c r="B78" t="str">
        <f t="shared" si="39"/>
        <v>RRE-N-PORT-ANS</v>
      </c>
      <c r="C78" t="str">
        <f t="shared" si="49"/>
        <v>RRE-N-PORT-ANS</v>
      </c>
      <c r="E78" t="s">
        <v>87</v>
      </c>
      <c r="F78" t="str">
        <f t="shared" ref="F78:H79" si="54">F54</f>
        <v>O-i</v>
      </c>
      <c r="G78">
        <f t="shared" si="54"/>
        <v>5</v>
      </c>
      <c r="H78" t="str">
        <f t="shared" si="54"/>
        <v>ANS</v>
      </c>
      <c r="I78" t="str">
        <f t="shared" si="42"/>
        <v>IRE-O-i5.*ANS</v>
      </c>
    </row>
    <row r="79" spans="1:9" x14ac:dyDescent="0.3">
      <c r="A79" t="s">
        <v>311</v>
      </c>
      <c r="B79" t="str">
        <f t="shared" si="39"/>
        <v>RRE-L-PORT-ANS</v>
      </c>
      <c r="C79" t="str">
        <f t="shared" si="49"/>
        <v>RRE-L-PORT-ANS</v>
      </c>
      <c r="E79" t="s">
        <v>87</v>
      </c>
      <c r="F79" t="str">
        <f t="shared" si="54"/>
        <v>O-i</v>
      </c>
      <c r="G79">
        <f t="shared" si="54"/>
        <v>6</v>
      </c>
      <c r="H79" t="str">
        <f t="shared" si="54"/>
        <v>ANS</v>
      </c>
      <c r="I79" t="str">
        <f t="shared" si="42"/>
        <v>IRE-O-i6.*ANS</v>
      </c>
    </row>
    <row r="80" spans="1:9" x14ac:dyDescent="0.3">
      <c r="A80" t="s">
        <v>312</v>
      </c>
      <c r="B80" t="str">
        <f t="shared" si="39"/>
        <v>RRE-N-STRA-ANS</v>
      </c>
      <c r="C80" t="str">
        <f t="shared" si="49"/>
        <v>RRE-N-STRA-ANS</v>
      </c>
    </row>
    <row r="81" spans="1:3" x14ac:dyDescent="0.3">
      <c r="A81" t="s">
        <v>313</v>
      </c>
      <c r="B81" t="str">
        <f t="shared" si="39"/>
        <v>RRE-L-STRA-ANS</v>
      </c>
      <c r="C81" t="str">
        <f t="shared" si="49"/>
        <v>RRE-L-STRA-ANS</v>
      </c>
    </row>
    <row r="82" spans="1:3" x14ac:dyDescent="0.3">
      <c r="A82" t="s">
        <v>314</v>
      </c>
      <c r="B82" t="str">
        <f t="shared" si="39"/>
        <v>IRE-N-i1CM-n4siCfo3-ANS</v>
      </c>
      <c r="C82" t="s">
        <v>391</v>
      </c>
    </row>
    <row r="83" spans="1:3" x14ac:dyDescent="0.3">
      <c r="A83" t="s">
        <v>315</v>
      </c>
      <c r="B83" t="str">
        <f t="shared" si="39"/>
        <v>IRE-U-i1CM-n4siCfo3-ANS</v>
      </c>
      <c r="C83" t="s">
        <v>392</v>
      </c>
    </row>
    <row r="84" spans="1:3" x14ac:dyDescent="0.3">
      <c r="A84" t="s">
        <v>316</v>
      </c>
      <c r="B84" t="str">
        <f t="shared" si="39"/>
        <v>IRE-D-i1CM-n4siCfo3-ANS</v>
      </c>
      <c r="C84" t="s">
        <v>393</v>
      </c>
    </row>
    <row r="85" spans="1:3" x14ac:dyDescent="0.3">
      <c r="A85" t="s">
        <v>317</v>
      </c>
      <c r="B85" t="str">
        <f t="shared" si="39"/>
        <v>IRE-O-i1CM-n4siCfo3-ANS</v>
      </c>
      <c r="C85" t="s">
        <v>394</v>
      </c>
    </row>
    <row r="86" spans="1:3" x14ac:dyDescent="0.3">
      <c r="A86" t="s">
        <v>318</v>
      </c>
      <c r="B86" t="str">
        <f t="shared" si="39"/>
        <v>IRE-N-i2CM-n6so1fiA-ANS</v>
      </c>
      <c r="C86" t="s">
        <v>395</v>
      </c>
    </row>
    <row r="87" spans="1:3" x14ac:dyDescent="0.3">
      <c r="A87" t="s">
        <v>319</v>
      </c>
      <c r="B87" t="str">
        <f t="shared" si="39"/>
        <v>IRE-U-i2CM-n6so1fiA-ANS</v>
      </c>
      <c r="C87" t="s">
        <v>396</v>
      </c>
    </row>
    <row r="88" spans="1:3" x14ac:dyDescent="0.3">
      <c r="A88" t="s">
        <v>320</v>
      </c>
      <c r="B88" t="str">
        <f t="shared" si="39"/>
        <v>IRE-D-i2CM-n6so1fiA-ANS</v>
      </c>
      <c r="C88" t="s">
        <v>397</v>
      </c>
    </row>
    <row r="89" spans="1:3" x14ac:dyDescent="0.3">
      <c r="A89" t="s">
        <v>321</v>
      </c>
      <c r="B89" t="str">
        <f t="shared" si="39"/>
        <v>IRE-O-i2CM-n6so1fiA-ANS</v>
      </c>
      <c r="C89" t="s">
        <v>398</v>
      </c>
    </row>
    <row r="90" spans="1:3" x14ac:dyDescent="0.3">
      <c r="A90" t="s">
        <v>322</v>
      </c>
      <c r="B90" t="str">
        <f t="shared" si="39"/>
        <v>IRE-N-i3CG-n1siBfiD-ANS</v>
      </c>
      <c r="C90" t="s">
        <v>399</v>
      </c>
    </row>
    <row r="91" spans="1:3" x14ac:dyDescent="0.3">
      <c r="A91" t="s">
        <v>323</v>
      </c>
      <c r="B91" t="str">
        <f t="shared" si="39"/>
        <v>IRE-U-i3CG-n1siBfiD-ANS</v>
      </c>
      <c r="C91" t="s">
        <v>400</v>
      </c>
    </row>
    <row r="92" spans="1:3" x14ac:dyDescent="0.3">
      <c r="A92" t="s">
        <v>324</v>
      </c>
      <c r="B92" t="str">
        <f t="shared" si="39"/>
        <v>IRE-D-i3CG-n1siBfiD-ANS</v>
      </c>
      <c r="C92" t="s">
        <v>401</v>
      </c>
    </row>
    <row r="93" spans="1:3" x14ac:dyDescent="0.3">
      <c r="A93" t="s">
        <v>325</v>
      </c>
      <c r="B93" t="str">
        <f t="shared" si="39"/>
        <v>IRE-O-i3CG-n1siBfiD-ANS</v>
      </c>
      <c r="C93" t="s">
        <v>402</v>
      </c>
    </row>
    <row r="94" spans="1:3" x14ac:dyDescent="0.3">
      <c r="A94" t="s">
        <v>326</v>
      </c>
      <c r="B94" t="str">
        <f t="shared" si="39"/>
        <v>IRE-N-i4CG-n3so3fo4-ANS</v>
      </c>
      <c r="C94" t="s">
        <v>403</v>
      </c>
    </row>
    <row r="95" spans="1:3" x14ac:dyDescent="0.3">
      <c r="A95" t="s">
        <v>327</v>
      </c>
      <c r="B95" t="str">
        <f t="shared" si="39"/>
        <v>IRE-U-i4CG-n3so3fo4-ANS</v>
      </c>
      <c r="C95" t="s">
        <v>404</v>
      </c>
    </row>
    <row r="96" spans="1:3" x14ac:dyDescent="0.3">
      <c r="A96" t="s">
        <v>328</v>
      </c>
      <c r="B96" t="str">
        <f t="shared" si="39"/>
        <v>IRE-D-i4CG-n3so3fo4-ANS</v>
      </c>
      <c r="C96" t="s">
        <v>405</v>
      </c>
    </row>
    <row r="97" spans="1:3" x14ac:dyDescent="0.3">
      <c r="A97" t="s">
        <v>329</v>
      </c>
      <c r="B97" t="str">
        <f t="shared" si="39"/>
        <v>IRE-O-i4CG-n3so3fo4-ANS</v>
      </c>
      <c r="C97" t="s">
        <v>406</v>
      </c>
    </row>
    <row r="98" spans="1:3" x14ac:dyDescent="0.3">
      <c r="A98" t="s">
        <v>330</v>
      </c>
      <c r="B98" t="str">
        <f t="shared" si="39"/>
        <v>IRE-N-i5IN-n5siAfiC-ANS</v>
      </c>
      <c r="C98" t="s">
        <v>407</v>
      </c>
    </row>
    <row r="99" spans="1:3" x14ac:dyDescent="0.3">
      <c r="A99" t="s">
        <v>331</v>
      </c>
      <c r="B99" t="str">
        <f t="shared" si="39"/>
        <v>IRE-U-i5IN-n5siAfiC-ANS</v>
      </c>
      <c r="C99" t="s">
        <v>408</v>
      </c>
    </row>
    <row r="100" spans="1:3" x14ac:dyDescent="0.3">
      <c r="A100" t="s">
        <v>332</v>
      </c>
      <c r="B100" t="str">
        <f t="shared" si="39"/>
        <v>IRE-D-i5IN-n5siAfiC-ANS</v>
      </c>
      <c r="C100" t="s">
        <v>409</v>
      </c>
    </row>
    <row r="101" spans="1:3" x14ac:dyDescent="0.3">
      <c r="A101" t="s">
        <v>333</v>
      </c>
      <c r="B101" t="str">
        <f t="shared" si="39"/>
        <v>IRE-O-i5IN-n5siAfiC-ANS</v>
      </c>
      <c r="C101" t="s">
        <v>410</v>
      </c>
    </row>
    <row r="102" spans="1:3" x14ac:dyDescent="0.3">
      <c r="A102" t="s">
        <v>334</v>
      </c>
      <c r="B102" t="str">
        <f t="shared" si="39"/>
        <v>IRE-N-i6IN-n2so2fiB-ANS</v>
      </c>
      <c r="C102" t="s">
        <v>411</v>
      </c>
    </row>
    <row r="103" spans="1:3" x14ac:dyDescent="0.3">
      <c r="A103" t="s">
        <v>335</v>
      </c>
      <c r="B103" t="str">
        <f t="shared" si="39"/>
        <v>IRE-U-i6IN-n2so2fiB-ANS</v>
      </c>
      <c r="C103" t="s">
        <v>412</v>
      </c>
    </row>
    <row r="104" spans="1:3" x14ac:dyDescent="0.3">
      <c r="A104" t="s">
        <v>336</v>
      </c>
      <c r="B104" t="str">
        <f t="shared" si="39"/>
        <v>IRE-D-i6IN-n2so2fiB-ANS</v>
      </c>
      <c r="C104" t="s">
        <v>413</v>
      </c>
    </row>
    <row r="105" spans="1:3" x14ac:dyDescent="0.3">
      <c r="A105" t="s">
        <v>337</v>
      </c>
      <c r="B105" t="str">
        <f t="shared" si="39"/>
        <v>IRE-O-i6IN-n2so2fiB-ANS</v>
      </c>
      <c r="C105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160"/>
  <sheetViews>
    <sheetView workbookViewId="0"/>
  </sheetViews>
  <sheetFormatPr defaultRowHeight="14.4" x14ac:dyDescent="0.3"/>
  <cols>
    <col min="1" max="2" width="12.5546875" bestFit="1" customWidth="1"/>
    <col min="3" max="3" width="16.109375" bestFit="1" customWidth="1"/>
    <col min="4" max="4" width="6" bestFit="1" customWidth="1"/>
    <col min="5" max="5" width="8.109375" bestFit="1" customWidth="1"/>
    <col min="6" max="6" width="3" bestFit="1" customWidth="1"/>
    <col min="7" max="7" width="11.6640625" bestFit="1" customWidth="1"/>
    <col min="8" max="8" width="3.5546875" bestFit="1" customWidth="1"/>
    <col min="9" max="10" width="2.88671875" bestFit="1" customWidth="1"/>
    <col min="11" max="11" width="37.44140625" bestFit="1" customWidth="1"/>
    <col min="12" max="12" width="14.109375" bestFit="1" customWidth="1"/>
  </cols>
  <sheetData>
    <row r="1" spans="1:12" ht="19.5" customHeight="1" x14ac:dyDescent="0.3">
      <c r="C1" s="6" t="s">
        <v>0</v>
      </c>
      <c r="G1" s="6" t="s">
        <v>1</v>
      </c>
      <c r="K1" s="6" t="s">
        <v>23</v>
      </c>
    </row>
    <row r="2" spans="1:12" ht="19.5" customHeight="1" x14ac:dyDescent="0.3">
      <c r="C2" t="s">
        <v>9</v>
      </c>
      <c r="F2" t="s">
        <v>6</v>
      </c>
      <c r="G2" t="s">
        <v>9</v>
      </c>
      <c r="J2" t="s">
        <v>7</v>
      </c>
      <c r="K2" t="str">
        <f>A2&amp;C2&amp;D2&amp;E2&amp;F2&amp;G2&amp;H2&amp;I2&amp;J2</f>
        <v>TSVR","TSVR"],</v>
      </c>
      <c r="L2" t="s">
        <v>24</v>
      </c>
    </row>
    <row r="3" spans="1:12" ht="19.5" customHeight="1" x14ac:dyDescent="0.3">
      <c r="A3" t="s">
        <v>25</v>
      </c>
      <c r="F3" t="s">
        <v>6</v>
      </c>
      <c r="J3" t="s">
        <v>7</v>
      </c>
    </row>
    <row r="4" spans="1:12" ht="19.5" customHeight="1" x14ac:dyDescent="0.3">
      <c r="A4" t="s">
        <v>25</v>
      </c>
      <c r="E4" t="s">
        <v>26</v>
      </c>
      <c r="F4" t="s">
        <v>6</v>
      </c>
      <c r="G4" t="s">
        <v>27</v>
      </c>
      <c r="I4" t="s">
        <v>28</v>
      </c>
      <c r="J4" t="s">
        <v>7</v>
      </c>
      <c r="K4" t="str">
        <f>A4&amp;C4&amp;D4&amp;E4&amp;F4&amp;G4&amp;H4&amp;I4&amp;J4</f>
        <v>[".*-ANS","total_s"],</v>
      </c>
      <c r="L4" t="s">
        <v>29</v>
      </c>
    </row>
    <row r="5" spans="1:12" ht="19.5" customHeight="1" x14ac:dyDescent="0.3">
      <c r="A5" t="s">
        <v>25</v>
      </c>
      <c r="E5" t="s">
        <v>30</v>
      </c>
      <c r="F5" t="s">
        <v>6</v>
      </c>
      <c r="G5" t="s">
        <v>27</v>
      </c>
      <c r="I5" t="s">
        <v>31</v>
      </c>
      <c r="J5" t="s">
        <v>7</v>
      </c>
      <c r="K5" t="str">
        <f>A5&amp;C5&amp;D5&amp;E5&amp;F5&amp;G5&amp;H5&amp;I5&amp;J5</f>
        <v>[".*-CON","total_c"],</v>
      </c>
      <c r="L5" t="s">
        <v>32</v>
      </c>
    </row>
    <row r="6" spans="1:12" ht="19.5" customHeight="1" x14ac:dyDescent="0.3">
      <c r="A6" t="s">
        <v>25</v>
      </c>
      <c r="F6" t="s">
        <v>6</v>
      </c>
      <c r="J6" t="s">
        <v>7</v>
      </c>
    </row>
    <row r="7" spans="1:12" ht="19.5" customHeight="1" x14ac:dyDescent="0.3">
      <c r="A7" t="s">
        <v>25</v>
      </c>
      <c r="D7" t="s">
        <v>33</v>
      </c>
      <c r="E7" t="s">
        <v>34</v>
      </c>
      <c r="F7" t="s">
        <v>6</v>
      </c>
      <c r="G7" t="s">
        <v>35</v>
      </c>
      <c r="I7" t="s">
        <v>28</v>
      </c>
      <c r="J7" t="s">
        <v>7</v>
      </c>
      <c r="K7" t="str">
        <f t="shared" ref="K7:K12" si="0">A7&amp;C7&amp;D7&amp;E7&amp;F7&amp;G7&amp;H7&amp;I7&amp;J7</f>
        <v>[".*-N-.*-ANS","what_s"],</v>
      </c>
      <c r="L7" t="s">
        <v>36</v>
      </c>
    </row>
    <row r="8" spans="1:12" ht="19.5" customHeight="1" x14ac:dyDescent="0.3">
      <c r="A8" t="s">
        <v>25</v>
      </c>
      <c r="D8" t="s">
        <v>37</v>
      </c>
      <c r="E8" t="s">
        <v>34</v>
      </c>
      <c r="F8" t="s">
        <v>6</v>
      </c>
      <c r="G8" t="s">
        <v>38</v>
      </c>
      <c r="I8" t="s">
        <v>28</v>
      </c>
      <c r="J8" t="s">
        <v>7</v>
      </c>
      <c r="K8" t="str">
        <f t="shared" si="0"/>
        <v>[".*-[UDL]-.*-ANS","where_s"],</v>
      </c>
      <c r="L8" t="s">
        <v>39</v>
      </c>
    </row>
    <row r="9" spans="1:12" ht="19.5" customHeight="1" x14ac:dyDescent="0.3">
      <c r="A9" t="s">
        <v>25</v>
      </c>
      <c r="D9" t="s">
        <v>40</v>
      </c>
      <c r="E9" t="s">
        <v>34</v>
      </c>
      <c r="F9" t="s">
        <v>6</v>
      </c>
      <c r="G9" t="s">
        <v>41</v>
      </c>
      <c r="I9" t="s">
        <v>28</v>
      </c>
      <c r="J9" t="s">
        <v>7</v>
      </c>
      <c r="K9" t="str">
        <f t="shared" si="0"/>
        <v>[".*-O-.*-ANS","when_s"],</v>
      </c>
      <c r="L9" t="s">
        <v>42</v>
      </c>
    </row>
    <row r="10" spans="1:12" ht="19.5" customHeight="1" x14ac:dyDescent="0.3">
      <c r="A10" t="s">
        <v>25</v>
      </c>
      <c r="D10" t="s">
        <v>33</v>
      </c>
      <c r="E10" t="s">
        <v>43</v>
      </c>
      <c r="F10" t="s">
        <v>6</v>
      </c>
      <c r="G10" t="s">
        <v>35</v>
      </c>
      <c r="I10" t="s">
        <v>31</v>
      </c>
      <c r="J10" t="s">
        <v>7</v>
      </c>
      <c r="K10" t="str">
        <f t="shared" si="0"/>
        <v>[".*-N-.*-CON","what_c"],</v>
      </c>
      <c r="L10" t="s">
        <v>44</v>
      </c>
    </row>
    <row r="11" spans="1:12" ht="19.5" customHeight="1" x14ac:dyDescent="0.3">
      <c r="A11" t="s">
        <v>25</v>
      </c>
      <c r="D11" t="s">
        <v>37</v>
      </c>
      <c r="E11" t="s">
        <v>43</v>
      </c>
      <c r="F11" t="s">
        <v>6</v>
      </c>
      <c r="G11" t="s">
        <v>38</v>
      </c>
      <c r="I11" t="s">
        <v>31</v>
      </c>
      <c r="J11" t="s">
        <v>7</v>
      </c>
      <c r="K11" t="str">
        <f t="shared" si="0"/>
        <v>[".*-[UDL]-.*-CON","where_c"],</v>
      </c>
      <c r="L11" t="s">
        <v>45</v>
      </c>
    </row>
    <row r="12" spans="1:12" ht="19.5" customHeight="1" x14ac:dyDescent="0.3">
      <c r="A12" t="s">
        <v>25</v>
      </c>
      <c r="D12" t="s">
        <v>40</v>
      </c>
      <c r="E12" t="s">
        <v>43</v>
      </c>
      <c r="F12" t="s">
        <v>6</v>
      </c>
      <c r="G12" t="s">
        <v>41</v>
      </c>
      <c r="I12" t="s">
        <v>31</v>
      </c>
      <c r="J12" t="s">
        <v>7</v>
      </c>
      <c r="K12" t="str">
        <f t="shared" si="0"/>
        <v>[".*-O-.*-CON","when_c"],</v>
      </c>
      <c r="L12" t="s">
        <v>46</v>
      </c>
    </row>
    <row r="13" spans="1:12" ht="19.5" customHeight="1" x14ac:dyDescent="0.3">
      <c r="A13" t="s">
        <v>25</v>
      </c>
      <c r="F13" t="s">
        <v>6</v>
      </c>
      <c r="J13" t="s">
        <v>7</v>
      </c>
    </row>
    <row r="14" spans="1:12" ht="19.5" customHeight="1" x14ac:dyDescent="0.3">
      <c r="A14" t="s">
        <v>25</v>
      </c>
      <c r="D14" t="s">
        <v>47</v>
      </c>
      <c r="E14" t="s">
        <v>34</v>
      </c>
      <c r="F14" t="s">
        <v>6</v>
      </c>
      <c r="G14" t="s">
        <v>48</v>
      </c>
      <c r="I14" t="s">
        <v>28</v>
      </c>
      <c r="J14" t="s">
        <v>7</v>
      </c>
      <c r="K14" t="str">
        <f>A14&amp;C14&amp;D14&amp;E14&amp;F14&amp;G14&amp;H14&amp;I14&amp;J14</f>
        <v>[".*(RFR|RRE).*-ANS","room_s"],</v>
      </c>
      <c r="L14" t="s">
        <v>49</v>
      </c>
    </row>
    <row r="15" spans="1:12" ht="19.5" customHeight="1" x14ac:dyDescent="0.3">
      <c r="A15" t="s">
        <v>25</v>
      </c>
      <c r="D15" t="s">
        <v>50</v>
      </c>
      <c r="E15" t="s">
        <v>34</v>
      </c>
      <c r="F15" t="s">
        <v>6</v>
      </c>
      <c r="G15" t="s">
        <v>51</v>
      </c>
      <c r="I15" t="s">
        <v>28</v>
      </c>
      <c r="J15" t="s">
        <v>7</v>
      </c>
      <c r="K15" t="str">
        <f>A15&amp;C15&amp;D15&amp;E15&amp;F15&amp;G15&amp;H15&amp;I15&amp;J15</f>
        <v>[".*(IFR|ICR|IRE).*-ANS","item_s"],</v>
      </c>
      <c r="L15" t="s">
        <v>52</v>
      </c>
    </row>
    <row r="16" spans="1:12" ht="19.5" customHeight="1" x14ac:dyDescent="0.3">
      <c r="A16" t="s">
        <v>25</v>
      </c>
      <c r="D16" t="s">
        <v>47</v>
      </c>
      <c r="E16" t="s">
        <v>43</v>
      </c>
      <c r="F16" t="s">
        <v>6</v>
      </c>
      <c r="G16" t="s">
        <v>48</v>
      </c>
      <c r="I16" t="s">
        <v>31</v>
      </c>
      <c r="J16" t="s">
        <v>7</v>
      </c>
      <c r="K16" t="str">
        <f>A16&amp;C16&amp;D16&amp;E16&amp;F16&amp;G16&amp;H16&amp;I16&amp;J16</f>
        <v>[".*(RFR|RRE).*-CON","room_c"],</v>
      </c>
      <c r="L16" t="s">
        <v>53</v>
      </c>
    </row>
    <row r="17" spans="1:12" ht="19.5" customHeight="1" x14ac:dyDescent="0.3">
      <c r="A17" t="s">
        <v>25</v>
      </c>
      <c r="D17" t="s">
        <v>50</v>
      </c>
      <c r="E17" t="s">
        <v>43</v>
      </c>
      <c r="F17" t="s">
        <v>6</v>
      </c>
      <c r="G17" t="s">
        <v>51</v>
      </c>
      <c r="I17" t="s">
        <v>31</v>
      </c>
      <c r="J17" t="s">
        <v>7</v>
      </c>
      <c r="K17" t="str">
        <f>A17&amp;C17&amp;D17&amp;E17&amp;F17&amp;G17&amp;H17&amp;I17&amp;J17</f>
        <v>[".*(IFR|ICR|IRE).*-CON","item_c"],</v>
      </c>
      <c r="L17" t="s">
        <v>54</v>
      </c>
    </row>
    <row r="18" spans="1:12" ht="19.5" customHeight="1" x14ac:dyDescent="0.3">
      <c r="A18" t="s">
        <v>25</v>
      </c>
      <c r="F18" t="s">
        <v>6</v>
      </c>
      <c r="J18" t="s">
        <v>7</v>
      </c>
    </row>
    <row r="19" spans="1:12" ht="19.5" customHeight="1" x14ac:dyDescent="0.3">
      <c r="A19" t="s">
        <v>25</v>
      </c>
      <c r="D19" t="s">
        <v>55</v>
      </c>
      <c r="E19" t="s">
        <v>34</v>
      </c>
      <c r="F19" t="s">
        <v>6</v>
      </c>
      <c r="G19" t="s">
        <v>56</v>
      </c>
      <c r="I19" t="s">
        <v>28</v>
      </c>
      <c r="J19" t="s">
        <v>7</v>
      </c>
      <c r="K19" t="str">
        <f t="shared" ref="K19:K24" si="1">A19&amp;C19&amp;D19&amp;E19&amp;F19&amp;G19&amp;H19&amp;I19&amp;J19</f>
        <v>[".*(IFR|RFR).*-ANS","freeRecall_s"],</v>
      </c>
      <c r="L19" t="s">
        <v>57</v>
      </c>
    </row>
    <row r="20" spans="1:12" ht="19.5" customHeight="1" x14ac:dyDescent="0.3">
      <c r="A20" t="s">
        <v>25</v>
      </c>
      <c r="D20" t="s">
        <v>58</v>
      </c>
      <c r="E20" t="s">
        <v>34</v>
      </c>
      <c r="F20" t="s">
        <v>6</v>
      </c>
      <c r="G20" t="s">
        <v>59</v>
      </c>
      <c r="I20" t="s">
        <v>28</v>
      </c>
      <c r="J20" t="s">
        <v>7</v>
      </c>
      <c r="K20" t="str">
        <f t="shared" si="1"/>
        <v>[".*(ICR|TCR).*-ANS","cuedRecall_s"],</v>
      </c>
      <c r="L20" t="s">
        <v>60</v>
      </c>
    </row>
    <row r="21" spans="1:12" ht="19.5" customHeight="1" x14ac:dyDescent="0.3">
      <c r="A21" t="s">
        <v>25</v>
      </c>
      <c r="D21" t="s">
        <v>61</v>
      </c>
      <c r="E21" t="s">
        <v>34</v>
      </c>
      <c r="F21" t="s">
        <v>6</v>
      </c>
      <c r="G21" t="s">
        <v>62</v>
      </c>
      <c r="I21" t="s">
        <v>28</v>
      </c>
      <c r="J21" t="s">
        <v>7</v>
      </c>
      <c r="K21" t="str">
        <f t="shared" si="1"/>
        <v>[".*(IRE|RRE).*-ANS","recognition_s"],</v>
      </c>
      <c r="L21" t="s">
        <v>63</v>
      </c>
    </row>
    <row r="22" spans="1:12" ht="19.5" customHeight="1" x14ac:dyDescent="0.3">
      <c r="A22" t="s">
        <v>25</v>
      </c>
      <c r="D22" t="s">
        <v>55</v>
      </c>
      <c r="E22" t="s">
        <v>43</v>
      </c>
      <c r="F22" t="s">
        <v>6</v>
      </c>
      <c r="G22" t="s">
        <v>56</v>
      </c>
      <c r="I22" t="s">
        <v>31</v>
      </c>
      <c r="J22" t="s">
        <v>7</v>
      </c>
      <c r="K22" t="str">
        <f t="shared" si="1"/>
        <v>[".*(IFR|RFR).*-CON","freeRecall_c"],</v>
      </c>
      <c r="L22" t="s">
        <v>64</v>
      </c>
    </row>
    <row r="23" spans="1:12" ht="19.5" customHeight="1" x14ac:dyDescent="0.3">
      <c r="A23" t="s">
        <v>25</v>
      </c>
      <c r="D23" t="s">
        <v>58</v>
      </c>
      <c r="E23" t="s">
        <v>43</v>
      </c>
      <c r="F23" t="s">
        <v>6</v>
      </c>
      <c r="G23" t="s">
        <v>59</v>
      </c>
      <c r="I23" t="s">
        <v>31</v>
      </c>
      <c r="J23" t="s">
        <v>7</v>
      </c>
      <c r="K23" t="str">
        <f t="shared" si="1"/>
        <v>[".*(ICR|TCR).*-CON","cuedRecall_c"],</v>
      </c>
      <c r="L23" t="s">
        <v>65</v>
      </c>
    </row>
    <row r="24" spans="1:12" ht="19.5" customHeight="1" x14ac:dyDescent="0.3">
      <c r="A24" t="s">
        <v>25</v>
      </c>
      <c r="D24" t="s">
        <v>61</v>
      </c>
      <c r="E24" t="s">
        <v>43</v>
      </c>
      <c r="F24" t="s">
        <v>6</v>
      </c>
      <c r="G24" t="s">
        <v>62</v>
      </c>
      <c r="I24" t="s">
        <v>31</v>
      </c>
      <c r="J24" t="s">
        <v>7</v>
      </c>
      <c r="K24" t="str">
        <f t="shared" si="1"/>
        <v>[".*(IRE|RRE).*-CON","recognition_c"],</v>
      </c>
      <c r="L24" t="s">
        <v>66</v>
      </c>
    </row>
    <row r="25" spans="1:12" ht="19.5" customHeight="1" x14ac:dyDescent="0.3">
      <c r="A25" t="s">
        <v>25</v>
      </c>
      <c r="F25" t="s">
        <v>6</v>
      </c>
      <c r="J25" t="s">
        <v>7</v>
      </c>
    </row>
    <row r="26" spans="1:12" ht="19.5" customHeight="1" x14ac:dyDescent="0.3">
      <c r="A26" t="s">
        <v>25</v>
      </c>
      <c r="C26" t="s">
        <v>67</v>
      </c>
      <c r="E26" t="s">
        <v>68</v>
      </c>
      <c r="F26" t="s">
        <v>6</v>
      </c>
      <c r="G26" t="s">
        <v>69</v>
      </c>
      <c r="J26" t="s">
        <v>7</v>
      </c>
      <c r="K26" t="str">
        <f>A26&amp;C26&amp;D26&amp;E26&amp;F26&amp;G26&amp;H26&amp;I26&amp;J26</f>
        <v>[".*SLP.*TIRE-","tiredness"],</v>
      </c>
      <c r="L26" t="s">
        <v>70</v>
      </c>
    </row>
    <row r="27" spans="1:12" ht="19.5" customHeight="1" x14ac:dyDescent="0.3">
      <c r="A27" t="s">
        <v>25</v>
      </c>
      <c r="F27" t="s">
        <v>6</v>
      </c>
      <c r="J27" t="s">
        <v>7</v>
      </c>
    </row>
    <row r="28" spans="1:12" ht="19.5" customHeight="1" x14ac:dyDescent="0.3">
      <c r="A28" t="s">
        <v>25</v>
      </c>
      <c r="F28" t="s">
        <v>6</v>
      </c>
      <c r="J28" t="s">
        <v>7</v>
      </c>
    </row>
    <row r="29" spans="1:12" ht="19.5" customHeight="1" x14ac:dyDescent="0.3">
      <c r="A29" t="s">
        <v>25</v>
      </c>
      <c r="F29" t="s">
        <v>6</v>
      </c>
      <c r="J29" t="s">
        <v>7</v>
      </c>
    </row>
    <row r="30" spans="1:12" ht="19.5" customHeight="1" x14ac:dyDescent="0.3">
      <c r="A30" t="s">
        <v>25</v>
      </c>
      <c r="C30" t="s">
        <v>71</v>
      </c>
      <c r="E30" t="s">
        <v>34</v>
      </c>
      <c r="F30" t="s">
        <v>6</v>
      </c>
      <c r="G30" t="str">
        <f t="shared" ref="G30:G75" si="2">C30</f>
        <v>RFR</v>
      </c>
      <c r="H30" t="s">
        <v>72</v>
      </c>
      <c r="I30" t="s">
        <v>28</v>
      </c>
      <c r="J30" t="s">
        <v>7</v>
      </c>
      <c r="K30" t="str">
        <f t="shared" ref="K30:K75" si="3">A30&amp;C30&amp;D30&amp;E30&amp;F30&amp;G30&amp;H30&amp;I30&amp;J30</f>
        <v>[".*RFR.*-ANS","RFR_t_s"],</v>
      </c>
    </row>
    <row r="31" spans="1:12" ht="19.5" customHeight="1" x14ac:dyDescent="0.3">
      <c r="A31" t="s">
        <v>25</v>
      </c>
      <c r="C31" t="s">
        <v>71</v>
      </c>
      <c r="D31" t="s">
        <v>73</v>
      </c>
      <c r="E31" t="s">
        <v>34</v>
      </c>
      <c r="F31" t="s">
        <v>6</v>
      </c>
      <c r="G31" t="str">
        <f t="shared" si="2"/>
        <v>RFR</v>
      </c>
      <c r="H31" t="s">
        <v>74</v>
      </c>
      <c r="I31" t="s">
        <v>28</v>
      </c>
      <c r="J31" t="s">
        <v>7</v>
      </c>
      <c r="K31" t="str">
        <f t="shared" si="3"/>
        <v>[".*RFR.*-N-.*-ANS","RFR_n_s"],</v>
      </c>
    </row>
    <row r="32" spans="1:12" ht="19.5" customHeight="1" x14ac:dyDescent="0.3">
      <c r="A32" t="s">
        <v>25</v>
      </c>
      <c r="C32" t="s">
        <v>71</v>
      </c>
      <c r="D32" t="s">
        <v>75</v>
      </c>
      <c r="E32" t="s">
        <v>34</v>
      </c>
      <c r="F32" t="s">
        <v>6</v>
      </c>
      <c r="G32" t="str">
        <f t="shared" si="2"/>
        <v>RFR</v>
      </c>
      <c r="H32" t="s">
        <v>76</v>
      </c>
      <c r="I32" t="s">
        <v>28</v>
      </c>
      <c r="J32" t="s">
        <v>7</v>
      </c>
      <c r="K32" t="str">
        <f t="shared" si="3"/>
        <v>[".*RFR.*-L-.*-ANS","RFR_l_s"],</v>
      </c>
    </row>
    <row r="33" spans="1:11" ht="19.5" customHeight="1" x14ac:dyDescent="0.3">
      <c r="A33" t="s">
        <v>25</v>
      </c>
      <c r="C33" t="s">
        <v>71</v>
      </c>
      <c r="D33" t="s">
        <v>77</v>
      </c>
      <c r="E33" t="s">
        <v>34</v>
      </c>
      <c r="F33" t="s">
        <v>6</v>
      </c>
      <c r="G33" t="str">
        <f t="shared" si="2"/>
        <v>RFR</v>
      </c>
      <c r="H33" t="s">
        <v>78</v>
      </c>
      <c r="I33" t="s">
        <v>28</v>
      </c>
      <c r="J33" t="s">
        <v>7</v>
      </c>
      <c r="K33" t="str">
        <f t="shared" si="3"/>
        <v>[".*RFR.*-O-.*-ANS","RFR_o_s"],</v>
      </c>
    </row>
    <row r="34" spans="1:11" ht="19.5" customHeight="1" x14ac:dyDescent="0.3">
      <c r="A34" t="s">
        <v>25</v>
      </c>
      <c r="C34" t="s">
        <v>79</v>
      </c>
      <c r="E34" t="s">
        <v>34</v>
      </c>
      <c r="F34" t="s">
        <v>6</v>
      </c>
      <c r="G34" t="str">
        <f t="shared" si="2"/>
        <v>IFR</v>
      </c>
      <c r="H34" t="s">
        <v>72</v>
      </c>
      <c r="I34" t="s">
        <v>28</v>
      </c>
      <c r="J34" t="s">
        <v>7</v>
      </c>
      <c r="K34" t="str">
        <f t="shared" si="3"/>
        <v>[".*IFR.*-ANS","IFR_t_s"],</v>
      </c>
    </row>
    <row r="35" spans="1:11" ht="19.5" customHeight="1" x14ac:dyDescent="0.3">
      <c r="A35" t="s">
        <v>25</v>
      </c>
      <c r="C35" t="s">
        <v>79</v>
      </c>
      <c r="D35" t="s">
        <v>73</v>
      </c>
      <c r="E35" t="s">
        <v>34</v>
      </c>
      <c r="F35" t="s">
        <v>6</v>
      </c>
      <c r="G35" t="str">
        <f t="shared" si="2"/>
        <v>IFR</v>
      </c>
      <c r="H35" t="s">
        <v>74</v>
      </c>
      <c r="I35" t="s">
        <v>28</v>
      </c>
      <c r="J35" t="s">
        <v>7</v>
      </c>
      <c r="K35" t="str">
        <f t="shared" si="3"/>
        <v>[".*IFR.*-N-.*-ANS","IFR_n_s"],</v>
      </c>
    </row>
    <row r="36" spans="1:11" ht="19.5" customHeight="1" x14ac:dyDescent="0.3">
      <c r="A36" t="s">
        <v>25</v>
      </c>
      <c r="C36" t="s">
        <v>79</v>
      </c>
      <c r="D36" t="s">
        <v>80</v>
      </c>
      <c r="E36" t="s">
        <v>34</v>
      </c>
      <c r="F36" t="s">
        <v>6</v>
      </c>
      <c r="G36" t="str">
        <f t="shared" si="2"/>
        <v>IFR</v>
      </c>
      <c r="H36" t="s">
        <v>81</v>
      </c>
      <c r="I36" t="s">
        <v>28</v>
      </c>
      <c r="J36" t="s">
        <v>7</v>
      </c>
      <c r="K36" t="str">
        <f t="shared" si="3"/>
        <v>[".*IFR.*-U-.*-ANS","IFR_u_s"],</v>
      </c>
    </row>
    <row r="37" spans="1:11" ht="19.5" customHeight="1" x14ac:dyDescent="0.3">
      <c r="A37" t="s">
        <v>25</v>
      </c>
      <c r="C37" t="s">
        <v>79</v>
      </c>
      <c r="D37" t="s">
        <v>82</v>
      </c>
      <c r="E37" t="s">
        <v>34</v>
      </c>
      <c r="F37" t="s">
        <v>6</v>
      </c>
      <c r="G37" t="str">
        <f t="shared" si="2"/>
        <v>IFR</v>
      </c>
      <c r="H37" t="s">
        <v>83</v>
      </c>
      <c r="I37" t="s">
        <v>28</v>
      </c>
      <c r="J37" t="s">
        <v>7</v>
      </c>
      <c r="K37" t="str">
        <f t="shared" si="3"/>
        <v>[".*IFR.*-D-.*-ANS","IFR_d_s"],</v>
      </c>
    </row>
    <row r="38" spans="1:11" ht="19.5" customHeight="1" x14ac:dyDescent="0.3">
      <c r="A38" t="s">
        <v>25</v>
      </c>
      <c r="C38" t="s">
        <v>79</v>
      </c>
      <c r="D38" t="s">
        <v>77</v>
      </c>
      <c r="E38" t="s">
        <v>34</v>
      </c>
      <c r="F38" t="s">
        <v>6</v>
      </c>
      <c r="G38" t="str">
        <f t="shared" si="2"/>
        <v>IFR</v>
      </c>
      <c r="H38" t="s">
        <v>78</v>
      </c>
      <c r="I38" t="s">
        <v>28</v>
      </c>
      <c r="J38" t="s">
        <v>7</v>
      </c>
      <c r="K38" t="str">
        <f t="shared" si="3"/>
        <v>[".*IFR.*-O-.*-ANS","IFR_o_s"],</v>
      </c>
    </row>
    <row r="39" spans="1:11" ht="19.5" customHeight="1" x14ac:dyDescent="0.3">
      <c r="A39" t="s">
        <v>25</v>
      </c>
      <c r="C39" t="s">
        <v>84</v>
      </c>
      <c r="E39" t="s">
        <v>34</v>
      </c>
      <c r="F39" t="s">
        <v>6</v>
      </c>
      <c r="G39" t="str">
        <f t="shared" si="2"/>
        <v>TCR</v>
      </c>
      <c r="H39" t="s">
        <v>72</v>
      </c>
      <c r="I39" t="s">
        <v>28</v>
      </c>
      <c r="J39" t="s">
        <v>7</v>
      </c>
      <c r="K39" t="str">
        <f t="shared" si="3"/>
        <v>[".*TCR.*-ANS","TCR_t_s"],</v>
      </c>
    </row>
    <row r="40" spans="1:11" ht="19.5" customHeight="1" x14ac:dyDescent="0.3">
      <c r="A40" t="s">
        <v>25</v>
      </c>
      <c r="C40" t="s">
        <v>85</v>
      </c>
      <c r="E40" t="s">
        <v>34</v>
      </c>
      <c r="F40" t="s">
        <v>6</v>
      </c>
      <c r="G40" t="str">
        <f t="shared" si="2"/>
        <v>ICR</v>
      </c>
      <c r="H40" t="s">
        <v>72</v>
      </c>
      <c r="I40" t="s">
        <v>28</v>
      </c>
      <c r="J40" t="s">
        <v>7</v>
      </c>
      <c r="K40" t="str">
        <f t="shared" si="3"/>
        <v>[".*ICR.*-ANS","ICR_t_s"],</v>
      </c>
    </row>
    <row r="41" spans="1:11" ht="19.5" customHeight="1" x14ac:dyDescent="0.3">
      <c r="A41" t="s">
        <v>25</v>
      </c>
      <c r="C41" t="s">
        <v>85</v>
      </c>
      <c r="D41" t="s">
        <v>73</v>
      </c>
      <c r="E41" t="s">
        <v>34</v>
      </c>
      <c r="F41" t="s">
        <v>6</v>
      </c>
      <c r="G41" t="str">
        <f t="shared" si="2"/>
        <v>ICR</v>
      </c>
      <c r="H41" t="s">
        <v>74</v>
      </c>
      <c r="I41" t="s">
        <v>28</v>
      </c>
      <c r="J41" t="s">
        <v>7</v>
      </c>
      <c r="K41" t="str">
        <f t="shared" si="3"/>
        <v>[".*ICR.*-N-.*-ANS","ICR_n_s"],</v>
      </c>
    </row>
    <row r="42" spans="1:11" ht="19.5" customHeight="1" x14ac:dyDescent="0.3">
      <c r="A42" t="s">
        <v>25</v>
      </c>
      <c r="C42" t="s">
        <v>85</v>
      </c>
      <c r="D42" t="s">
        <v>80</v>
      </c>
      <c r="E42" t="s">
        <v>34</v>
      </c>
      <c r="F42" t="s">
        <v>6</v>
      </c>
      <c r="G42" t="str">
        <f t="shared" si="2"/>
        <v>ICR</v>
      </c>
      <c r="H42" t="s">
        <v>81</v>
      </c>
      <c r="I42" t="s">
        <v>28</v>
      </c>
      <c r="J42" t="s">
        <v>7</v>
      </c>
      <c r="K42" t="str">
        <f t="shared" si="3"/>
        <v>[".*ICR.*-U-.*-ANS","ICR_u_s"],</v>
      </c>
    </row>
    <row r="43" spans="1:11" ht="19.5" customHeight="1" x14ac:dyDescent="0.3">
      <c r="A43" t="s">
        <v>25</v>
      </c>
      <c r="C43" t="s">
        <v>85</v>
      </c>
      <c r="D43" t="s">
        <v>82</v>
      </c>
      <c r="E43" t="s">
        <v>34</v>
      </c>
      <c r="F43" t="s">
        <v>6</v>
      </c>
      <c r="G43" t="str">
        <f t="shared" si="2"/>
        <v>ICR</v>
      </c>
      <c r="H43" t="s">
        <v>83</v>
      </c>
      <c r="I43" t="s">
        <v>28</v>
      </c>
      <c r="J43" t="s">
        <v>7</v>
      </c>
      <c r="K43" t="str">
        <f t="shared" si="3"/>
        <v>[".*ICR.*-D-.*-ANS","ICR_d_s"],</v>
      </c>
    </row>
    <row r="44" spans="1:11" ht="19.5" customHeight="1" x14ac:dyDescent="0.3">
      <c r="A44" t="s">
        <v>25</v>
      </c>
      <c r="C44" t="s">
        <v>85</v>
      </c>
      <c r="D44" t="s">
        <v>77</v>
      </c>
      <c r="E44" t="s">
        <v>34</v>
      </c>
      <c r="F44" t="s">
        <v>6</v>
      </c>
      <c r="G44" t="str">
        <f t="shared" si="2"/>
        <v>ICR</v>
      </c>
      <c r="H44" t="s">
        <v>78</v>
      </c>
      <c r="I44" t="s">
        <v>28</v>
      </c>
      <c r="J44" t="s">
        <v>7</v>
      </c>
      <c r="K44" t="str">
        <f t="shared" si="3"/>
        <v>[".*ICR.*-O-.*-ANS","ICR_o_s"],</v>
      </c>
    </row>
    <row r="45" spans="1:11" ht="19.5" customHeight="1" x14ac:dyDescent="0.3">
      <c r="A45" t="s">
        <v>25</v>
      </c>
      <c r="C45" t="s">
        <v>86</v>
      </c>
      <c r="E45" t="s">
        <v>34</v>
      </c>
      <c r="F45" t="s">
        <v>6</v>
      </c>
      <c r="G45" t="str">
        <f t="shared" si="2"/>
        <v>RRE</v>
      </c>
      <c r="H45" t="s">
        <v>72</v>
      </c>
      <c r="I45" t="s">
        <v>28</v>
      </c>
      <c r="J45" t="s">
        <v>7</v>
      </c>
      <c r="K45" t="str">
        <f t="shared" si="3"/>
        <v>[".*RRE.*-ANS","RRE_t_s"],</v>
      </c>
    </row>
    <row r="46" spans="1:11" ht="19.5" customHeight="1" x14ac:dyDescent="0.3">
      <c r="A46" t="s">
        <v>25</v>
      </c>
      <c r="C46" t="s">
        <v>86</v>
      </c>
      <c r="D46" t="s">
        <v>73</v>
      </c>
      <c r="E46" t="s">
        <v>34</v>
      </c>
      <c r="F46" t="s">
        <v>6</v>
      </c>
      <c r="G46" t="str">
        <f t="shared" si="2"/>
        <v>RRE</v>
      </c>
      <c r="H46" t="s">
        <v>74</v>
      </c>
      <c r="I46" t="s">
        <v>28</v>
      </c>
      <c r="J46" t="s">
        <v>7</v>
      </c>
      <c r="K46" t="str">
        <f t="shared" si="3"/>
        <v>[".*RRE.*-N-.*-ANS","RRE_n_s"],</v>
      </c>
    </row>
    <row r="47" spans="1:11" ht="19.5" customHeight="1" x14ac:dyDescent="0.3">
      <c r="A47" t="s">
        <v>25</v>
      </c>
      <c r="C47" t="s">
        <v>86</v>
      </c>
      <c r="D47" t="s">
        <v>75</v>
      </c>
      <c r="E47" t="s">
        <v>34</v>
      </c>
      <c r="F47" t="s">
        <v>6</v>
      </c>
      <c r="G47" t="str">
        <f t="shared" si="2"/>
        <v>RRE</v>
      </c>
      <c r="H47" t="s">
        <v>76</v>
      </c>
      <c r="I47" t="s">
        <v>28</v>
      </c>
      <c r="J47" t="s">
        <v>7</v>
      </c>
      <c r="K47" t="str">
        <f t="shared" si="3"/>
        <v>[".*RRE.*-L-.*-ANS","RRE_l_s"],</v>
      </c>
    </row>
    <row r="48" spans="1:11" ht="19.5" customHeight="1" x14ac:dyDescent="0.3">
      <c r="A48" t="s">
        <v>25</v>
      </c>
      <c r="C48" t="s">
        <v>87</v>
      </c>
      <c r="E48" t="s">
        <v>34</v>
      </c>
      <c r="F48" t="s">
        <v>6</v>
      </c>
      <c r="G48" t="str">
        <f t="shared" si="2"/>
        <v>IRE</v>
      </c>
      <c r="H48" t="s">
        <v>72</v>
      </c>
      <c r="I48" t="s">
        <v>28</v>
      </c>
      <c r="J48" t="s">
        <v>7</v>
      </c>
      <c r="K48" t="str">
        <f t="shared" si="3"/>
        <v>[".*IRE.*-ANS","IRE_t_s"],</v>
      </c>
    </row>
    <row r="49" spans="1:11" ht="19.5" customHeight="1" x14ac:dyDescent="0.3">
      <c r="A49" t="s">
        <v>25</v>
      </c>
      <c r="C49" t="s">
        <v>87</v>
      </c>
      <c r="D49" t="s">
        <v>73</v>
      </c>
      <c r="E49" t="s">
        <v>34</v>
      </c>
      <c r="F49" t="s">
        <v>6</v>
      </c>
      <c r="G49" t="str">
        <f t="shared" si="2"/>
        <v>IRE</v>
      </c>
      <c r="H49" t="s">
        <v>74</v>
      </c>
      <c r="I49" t="s">
        <v>28</v>
      </c>
      <c r="J49" t="s">
        <v>7</v>
      </c>
      <c r="K49" t="str">
        <f t="shared" si="3"/>
        <v>[".*IRE.*-N-.*-ANS","IRE_n_s"],</v>
      </c>
    </row>
    <row r="50" spans="1:11" ht="19.5" customHeight="1" x14ac:dyDescent="0.3">
      <c r="A50" t="s">
        <v>25</v>
      </c>
      <c r="C50" t="s">
        <v>87</v>
      </c>
      <c r="D50" t="s">
        <v>80</v>
      </c>
      <c r="E50" t="s">
        <v>34</v>
      </c>
      <c r="F50" t="s">
        <v>6</v>
      </c>
      <c r="G50" t="str">
        <f t="shared" si="2"/>
        <v>IRE</v>
      </c>
      <c r="H50" t="s">
        <v>81</v>
      </c>
      <c r="I50" t="s">
        <v>28</v>
      </c>
      <c r="J50" t="s">
        <v>7</v>
      </c>
      <c r="K50" t="str">
        <f t="shared" si="3"/>
        <v>[".*IRE.*-U-.*-ANS","IRE_u_s"],</v>
      </c>
    </row>
    <row r="51" spans="1:11" ht="19.5" customHeight="1" x14ac:dyDescent="0.3">
      <c r="A51" t="s">
        <v>25</v>
      </c>
      <c r="C51" t="s">
        <v>87</v>
      </c>
      <c r="D51" t="s">
        <v>82</v>
      </c>
      <c r="E51" t="s">
        <v>34</v>
      </c>
      <c r="F51" t="s">
        <v>6</v>
      </c>
      <c r="G51" t="str">
        <f t="shared" si="2"/>
        <v>IRE</v>
      </c>
      <c r="H51" t="s">
        <v>83</v>
      </c>
      <c r="I51" t="s">
        <v>28</v>
      </c>
      <c r="J51" t="s">
        <v>7</v>
      </c>
      <c r="K51" t="str">
        <f t="shared" si="3"/>
        <v>[".*IRE.*-D-.*-ANS","IRE_d_s"],</v>
      </c>
    </row>
    <row r="52" spans="1:11" ht="19.5" customHeight="1" x14ac:dyDescent="0.3">
      <c r="A52" t="s">
        <v>25</v>
      </c>
      <c r="C52" t="s">
        <v>87</v>
      </c>
      <c r="D52" t="s">
        <v>77</v>
      </c>
      <c r="E52" t="s">
        <v>34</v>
      </c>
      <c r="F52" t="s">
        <v>6</v>
      </c>
      <c r="G52" t="str">
        <f t="shared" si="2"/>
        <v>IRE</v>
      </c>
      <c r="H52" t="s">
        <v>78</v>
      </c>
      <c r="I52" t="s">
        <v>28</v>
      </c>
      <c r="J52" t="s">
        <v>7</v>
      </c>
      <c r="K52" t="str">
        <f t="shared" si="3"/>
        <v>[".*IRE.*-O-.*-ANS","IRE_o_s"],</v>
      </c>
    </row>
    <row r="53" spans="1:11" ht="19.5" customHeight="1" x14ac:dyDescent="0.3">
      <c r="A53" t="s">
        <v>25</v>
      </c>
      <c r="C53" t="s">
        <v>71</v>
      </c>
      <c r="E53" t="s">
        <v>43</v>
      </c>
      <c r="F53" t="s">
        <v>6</v>
      </c>
      <c r="G53" t="str">
        <f t="shared" si="2"/>
        <v>RFR</v>
      </c>
      <c r="H53" t="s">
        <v>72</v>
      </c>
      <c r="I53" t="s">
        <v>31</v>
      </c>
      <c r="J53" t="s">
        <v>7</v>
      </c>
      <c r="K53" t="str">
        <f t="shared" si="3"/>
        <v>[".*RFR.*-CON","RFR_t_c"],</v>
      </c>
    </row>
    <row r="54" spans="1:11" ht="19.5" customHeight="1" x14ac:dyDescent="0.3">
      <c r="A54" t="s">
        <v>25</v>
      </c>
      <c r="C54" t="s">
        <v>71</v>
      </c>
      <c r="D54" t="s">
        <v>73</v>
      </c>
      <c r="E54" t="s">
        <v>43</v>
      </c>
      <c r="F54" t="s">
        <v>6</v>
      </c>
      <c r="G54" t="str">
        <f t="shared" si="2"/>
        <v>RFR</v>
      </c>
      <c r="H54" t="s">
        <v>74</v>
      </c>
      <c r="I54" t="s">
        <v>31</v>
      </c>
      <c r="J54" t="s">
        <v>7</v>
      </c>
      <c r="K54" t="str">
        <f t="shared" si="3"/>
        <v>[".*RFR.*-N-.*-CON","RFR_n_c"],</v>
      </c>
    </row>
    <row r="55" spans="1:11" ht="19.5" customHeight="1" x14ac:dyDescent="0.3">
      <c r="A55" t="s">
        <v>25</v>
      </c>
      <c r="C55" t="s">
        <v>71</v>
      </c>
      <c r="D55" t="s">
        <v>75</v>
      </c>
      <c r="E55" t="s">
        <v>43</v>
      </c>
      <c r="F55" t="s">
        <v>6</v>
      </c>
      <c r="G55" t="str">
        <f t="shared" si="2"/>
        <v>RFR</v>
      </c>
      <c r="H55" t="s">
        <v>76</v>
      </c>
      <c r="I55" t="s">
        <v>31</v>
      </c>
      <c r="J55" t="s">
        <v>7</v>
      </c>
      <c r="K55" t="str">
        <f t="shared" si="3"/>
        <v>[".*RFR.*-L-.*-CON","RFR_l_c"],</v>
      </c>
    </row>
    <row r="56" spans="1:11" ht="19.5" customHeight="1" x14ac:dyDescent="0.3">
      <c r="A56" t="s">
        <v>25</v>
      </c>
      <c r="C56" t="s">
        <v>71</v>
      </c>
      <c r="D56" t="s">
        <v>77</v>
      </c>
      <c r="E56" t="s">
        <v>43</v>
      </c>
      <c r="F56" t="s">
        <v>6</v>
      </c>
      <c r="G56" t="str">
        <f t="shared" si="2"/>
        <v>RFR</v>
      </c>
      <c r="H56" t="s">
        <v>78</v>
      </c>
      <c r="I56" t="s">
        <v>31</v>
      </c>
      <c r="J56" t="s">
        <v>7</v>
      </c>
      <c r="K56" t="str">
        <f t="shared" si="3"/>
        <v>[".*RFR.*-O-.*-CON","RFR_o_c"],</v>
      </c>
    </row>
    <row r="57" spans="1:11" ht="19.5" customHeight="1" x14ac:dyDescent="0.3">
      <c r="A57" t="s">
        <v>25</v>
      </c>
      <c r="C57" t="s">
        <v>79</v>
      </c>
      <c r="E57" t="s">
        <v>43</v>
      </c>
      <c r="F57" t="s">
        <v>6</v>
      </c>
      <c r="G57" t="str">
        <f t="shared" si="2"/>
        <v>IFR</v>
      </c>
      <c r="H57" t="s">
        <v>72</v>
      </c>
      <c r="I57" t="s">
        <v>31</v>
      </c>
      <c r="J57" t="s">
        <v>7</v>
      </c>
      <c r="K57" t="str">
        <f t="shared" si="3"/>
        <v>[".*IFR.*-CON","IFR_t_c"],</v>
      </c>
    </row>
    <row r="58" spans="1:11" ht="19.5" customHeight="1" x14ac:dyDescent="0.3">
      <c r="A58" t="s">
        <v>25</v>
      </c>
      <c r="C58" t="s">
        <v>79</v>
      </c>
      <c r="D58" t="s">
        <v>73</v>
      </c>
      <c r="E58" t="s">
        <v>43</v>
      </c>
      <c r="F58" t="s">
        <v>6</v>
      </c>
      <c r="G58" t="str">
        <f t="shared" si="2"/>
        <v>IFR</v>
      </c>
      <c r="H58" t="s">
        <v>74</v>
      </c>
      <c r="I58" t="s">
        <v>31</v>
      </c>
      <c r="J58" t="s">
        <v>7</v>
      </c>
      <c r="K58" t="str">
        <f t="shared" si="3"/>
        <v>[".*IFR.*-N-.*-CON","IFR_n_c"],</v>
      </c>
    </row>
    <row r="59" spans="1:11" ht="19.5" customHeight="1" x14ac:dyDescent="0.3">
      <c r="A59" t="s">
        <v>25</v>
      </c>
      <c r="C59" t="s">
        <v>79</v>
      </c>
      <c r="D59" t="s">
        <v>80</v>
      </c>
      <c r="E59" t="s">
        <v>43</v>
      </c>
      <c r="F59" t="s">
        <v>6</v>
      </c>
      <c r="G59" t="str">
        <f t="shared" si="2"/>
        <v>IFR</v>
      </c>
      <c r="H59" t="s">
        <v>81</v>
      </c>
      <c r="I59" t="s">
        <v>31</v>
      </c>
      <c r="J59" t="s">
        <v>7</v>
      </c>
      <c r="K59" t="str">
        <f t="shared" si="3"/>
        <v>[".*IFR.*-U-.*-CON","IFR_u_c"],</v>
      </c>
    </row>
    <row r="60" spans="1:11" ht="19.5" customHeight="1" x14ac:dyDescent="0.3">
      <c r="A60" t="s">
        <v>25</v>
      </c>
      <c r="C60" t="s">
        <v>79</v>
      </c>
      <c r="D60" t="s">
        <v>82</v>
      </c>
      <c r="E60" t="s">
        <v>43</v>
      </c>
      <c r="F60" t="s">
        <v>6</v>
      </c>
      <c r="G60" t="str">
        <f t="shared" si="2"/>
        <v>IFR</v>
      </c>
      <c r="H60" t="s">
        <v>83</v>
      </c>
      <c r="I60" t="s">
        <v>31</v>
      </c>
      <c r="J60" t="s">
        <v>7</v>
      </c>
      <c r="K60" t="str">
        <f t="shared" si="3"/>
        <v>[".*IFR.*-D-.*-CON","IFR_d_c"],</v>
      </c>
    </row>
    <row r="61" spans="1:11" ht="19.5" customHeight="1" x14ac:dyDescent="0.3">
      <c r="A61" t="s">
        <v>25</v>
      </c>
      <c r="C61" t="s">
        <v>79</v>
      </c>
      <c r="D61" t="s">
        <v>77</v>
      </c>
      <c r="E61" t="s">
        <v>43</v>
      </c>
      <c r="F61" t="s">
        <v>6</v>
      </c>
      <c r="G61" t="str">
        <f t="shared" si="2"/>
        <v>IFR</v>
      </c>
      <c r="H61" t="s">
        <v>78</v>
      </c>
      <c r="I61" t="s">
        <v>31</v>
      </c>
      <c r="J61" t="s">
        <v>7</v>
      </c>
      <c r="K61" t="str">
        <f t="shared" si="3"/>
        <v>[".*IFR.*-O-.*-CON","IFR_o_c"],</v>
      </c>
    </row>
    <row r="62" spans="1:11" ht="19.5" customHeight="1" x14ac:dyDescent="0.3">
      <c r="A62" t="s">
        <v>25</v>
      </c>
      <c r="C62" t="s">
        <v>84</v>
      </c>
      <c r="E62" t="s">
        <v>43</v>
      </c>
      <c r="F62" t="s">
        <v>6</v>
      </c>
      <c r="G62" t="str">
        <f t="shared" si="2"/>
        <v>TCR</v>
      </c>
      <c r="H62" t="s">
        <v>72</v>
      </c>
      <c r="I62" t="s">
        <v>31</v>
      </c>
      <c r="J62" t="s">
        <v>7</v>
      </c>
      <c r="K62" t="str">
        <f t="shared" si="3"/>
        <v>[".*TCR.*-CON","TCR_t_c"],</v>
      </c>
    </row>
    <row r="63" spans="1:11" ht="19.5" customHeight="1" x14ac:dyDescent="0.3">
      <c r="A63" t="s">
        <v>25</v>
      </c>
      <c r="C63" t="s">
        <v>85</v>
      </c>
      <c r="E63" t="s">
        <v>43</v>
      </c>
      <c r="F63" t="s">
        <v>6</v>
      </c>
      <c r="G63" t="str">
        <f t="shared" si="2"/>
        <v>ICR</v>
      </c>
      <c r="H63" t="s">
        <v>72</v>
      </c>
      <c r="I63" t="s">
        <v>31</v>
      </c>
      <c r="J63" t="s">
        <v>7</v>
      </c>
      <c r="K63" t="str">
        <f t="shared" si="3"/>
        <v>[".*ICR.*-CON","ICR_t_c"],</v>
      </c>
    </row>
    <row r="64" spans="1:11" ht="19.5" customHeight="1" x14ac:dyDescent="0.3">
      <c r="A64" t="s">
        <v>25</v>
      </c>
      <c r="C64" t="s">
        <v>85</v>
      </c>
      <c r="D64" t="s">
        <v>73</v>
      </c>
      <c r="E64" t="s">
        <v>43</v>
      </c>
      <c r="F64" t="s">
        <v>6</v>
      </c>
      <c r="G64" t="str">
        <f t="shared" si="2"/>
        <v>ICR</v>
      </c>
      <c r="H64" t="s">
        <v>74</v>
      </c>
      <c r="I64" t="s">
        <v>31</v>
      </c>
      <c r="J64" t="s">
        <v>7</v>
      </c>
      <c r="K64" t="str">
        <f t="shared" si="3"/>
        <v>[".*ICR.*-N-.*-CON","ICR_n_c"],</v>
      </c>
    </row>
    <row r="65" spans="1:11" ht="19.5" customHeight="1" x14ac:dyDescent="0.3">
      <c r="A65" t="s">
        <v>25</v>
      </c>
      <c r="C65" t="s">
        <v>85</v>
      </c>
      <c r="D65" t="s">
        <v>80</v>
      </c>
      <c r="E65" t="s">
        <v>43</v>
      </c>
      <c r="F65" t="s">
        <v>6</v>
      </c>
      <c r="G65" t="str">
        <f t="shared" si="2"/>
        <v>ICR</v>
      </c>
      <c r="H65" t="s">
        <v>81</v>
      </c>
      <c r="I65" t="s">
        <v>31</v>
      </c>
      <c r="J65" t="s">
        <v>7</v>
      </c>
      <c r="K65" t="str">
        <f t="shared" si="3"/>
        <v>[".*ICR.*-U-.*-CON","ICR_u_c"],</v>
      </c>
    </row>
    <row r="66" spans="1:11" ht="19.5" customHeight="1" x14ac:dyDescent="0.3">
      <c r="A66" t="s">
        <v>25</v>
      </c>
      <c r="C66" t="s">
        <v>85</v>
      </c>
      <c r="D66" t="s">
        <v>82</v>
      </c>
      <c r="E66" t="s">
        <v>43</v>
      </c>
      <c r="F66" t="s">
        <v>6</v>
      </c>
      <c r="G66" t="str">
        <f t="shared" si="2"/>
        <v>ICR</v>
      </c>
      <c r="H66" t="s">
        <v>83</v>
      </c>
      <c r="I66" t="s">
        <v>31</v>
      </c>
      <c r="J66" t="s">
        <v>7</v>
      </c>
      <c r="K66" t="str">
        <f t="shared" si="3"/>
        <v>[".*ICR.*-D-.*-CON","ICR_d_c"],</v>
      </c>
    </row>
    <row r="67" spans="1:11" ht="19.5" customHeight="1" x14ac:dyDescent="0.3">
      <c r="A67" t="s">
        <v>25</v>
      </c>
      <c r="C67" t="s">
        <v>85</v>
      </c>
      <c r="D67" t="s">
        <v>77</v>
      </c>
      <c r="E67" t="s">
        <v>43</v>
      </c>
      <c r="F67" t="s">
        <v>6</v>
      </c>
      <c r="G67" t="str">
        <f t="shared" si="2"/>
        <v>ICR</v>
      </c>
      <c r="H67" t="s">
        <v>78</v>
      </c>
      <c r="I67" t="s">
        <v>31</v>
      </c>
      <c r="J67" t="s">
        <v>7</v>
      </c>
      <c r="K67" t="str">
        <f t="shared" si="3"/>
        <v>[".*ICR.*-O-.*-CON","ICR_o_c"],</v>
      </c>
    </row>
    <row r="68" spans="1:11" ht="19.5" customHeight="1" x14ac:dyDescent="0.3">
      <c r="A68" t="s">
        <v>25</v>
      </c>
      <c r="C68" t="s">
        <v>86</v>
      </c>
      <c r="E68" t="s">
        <v>43</v>
      </c>
      <c r="F68" t="s">
        <v>6</v>
      </c>
      <c r="G68" t="str">
        <f t="shared" si="2"/>
        <v>RRE</v>
      </c>
      <c r="H68" t="s">
        <v>72</v>
      </c>
      <c r="I68" t="s">
        <v>31</v>
      </c>
      <c r="J68" t="s">
        <v>7</v>
      </c>
      <c r="K68" t="str">
        <f t="shared" si="3"/>
        <v>[".*RRE.*-CON","RRE_t_c"],</v>
      </c>
    </row>
    <row r="69" spans="1:11" ht="19.5" customHeight="1" x14ac:dyDescent="0.3">
      <c r="A69" t="s">
        <v>25</v>
      </c>
      <c r="C69" t="s">
        <v>86</v>
      </c>
      <c r="D69" t="s">
        <v>73</v>
      </c>
      <c r="E69" t="s">
        <v>43</v>
      </c>
      <c r="F69" t="s">
        <v>6</v>
      </c>
      <c r="G69" t="str">
        <f t="shared" si="2"/>
        <v>RRE</v>
      </c>
      <c r="H69" t="s">
        <v>74</v>
      </c>
      <c r="I69" t="s">
        <v>31</v>
      </c>
      <c r="J69" t="s">
        <v>7</v>
      </c>
      <c r="K69" t="str">
        <f t="shared" si="3"/>
        <v>[".*RRE.*-N-.*-CON","RRE_n_c"],</v>
      </c>
    </row>
    <row r="70" spans="1:11" ht="19.5" customHeight="1" x14ac:dyDescent="0.3">
      <c r="A70" t="s">
        <v>25</v>
      </c>
      <c r="C70" t="s">
        <v>86</v>
      </c>
      <c r="D70" t="s">
        <v>75</v>
      </c>
      <c r="E70" t="s">
        <v>43</v>
      </c>
      <c r="F70" t="s">
        <v>6</v>
      </c>
      <c r="G70" t="str">
        <f t="shared" si="2"/>
        <v>RRE</v>
      </c>
      <c r="H70" t="s">
        <v>76</v>
      </c>
      <c r="I70" t="s">
        <v>31</v>
      </c>
      <c r="J70" t="s">
        <v>7</v>
      </c>
      <c r="K70" t="str">
        <f t="shared" si="3"/>
        <v>[".*RRE.*-L-.*-CON","RRE_l_c"],</v>
      </c>
    </row>
    <row r="71" spans="1:11" ht="19.5" customHeight="1" x14ac:dyDescent="0.3">
      <c r="A71" t="s">
        <v>25</v>
      </c>
      <c r="C71" t="s">
        <v>87</v>
      </c>
      <c r="E71" t="s">
        <v>43</v>
      </c>
      <c r="F71" t="s">
        <v>6</v>
      </c>
      <c r="G71" t="str">
        <f t="shared" si="2"/>
        <v>IRE</v>
      </c>
      <c r="H71" t="s">
        <v>72</v>
      </c>
      <c r="I71" t="s">
        <v>31</v>
      </c>
      <c r="J71" t="s">
        <v>7</v>
      </c>
      <c r="K71" t="str">
        <f t="shared" si="3"/>
        <v>[".*IRE.*-CON","IRE_t_c"],</v>
      </c>
    </row>
    <row r="72" spans="1:11" ht="19.5" customHeight="1" x14ac:dyDescent="0.3">
      <c r="A72" t="s">
        <v>25</v>
      </c>
      <c r="C72" t="s">
        <v>87</v>
      </c>
      <c r="D72" t="s">
        <v>73</v>
      </c>
      <c r="E72" t="s">
        <v>43</v>
      </c>
      <c r="F72" t="s">
        <v>6</v>
      </c>
      <c r="G72" t="str">
        <f t="shared" si="2"/>
        <v>IRE</v>
      </c>
      <c r="H72" t="s">
        <v>74</v>
      </c>
      <c r="I72" t="s">
        <v>31</v>
      </c>
      <c r="J72" t="s">
        <v>7</v>
      </c>
      <c r="K72" t="str">
        <f t="shared" si="3"/>
        <v>[".*IRE.*-N-.*-CON","IRE_n_c"],</v>
      </c>
    </row>
    <row r="73" spans="1:11" ht="19.5" customHeight="1" x14ac:dyDescent="0.3">
      <c r="A73" t="s">
        <v>25</v>
      </c>
      <c r="C73" t="s">
        <v>87</v>
      </c>
      <c r="D73" t="s">
        <v>80</v>
      </c>
      <c r="E73" t="s">
        <v>43</v>
      </c>
      <c r="F73" t="s">
        <v>6</v>
      </c>
      <c r="G73" t="str">
        <f t="shared" si="2"/>
        <v>IRE</v>
      </c>
      <c r="H73" t="s">
        <v>81</v>
      </c>
      <c r="I73" t="s">
        <v>31</v>
      </c>
      <c r="J73" t="s">
        <v>7</v>
      </c>
      <c r="K73" t="str">
        <f t="shared" si="3"/>
        <v>[".*IRE.*-U-.*-CON","IRE_u_c"],</v>
      </c>
    </row>
    <row r="74" spans="1:11" ht="19.5" customHeight="1" x14ac:dyDescent="0.3">
      <c r="A74" t="s">
        <v>25</v>
      </c>
      <c r="C74" t="s">
        <v>87</v>
      </c>
      <c r="D74" t="s">
        <v>82</v>
      </c>
      <c r="E74" t="s">
        <v>43</v>
      </c>
      <c r="F74" t="s">
        <v>6</v>
      </c>
      <c r="G74" t="str">
        <f t="shared" si="2"/>
        <v>IRE</v>
      </c>
      <c r="H74" t="s">
        <v>83</v>
      </c>
      <c r="I74" t="s">
        <v>31</v>
      </c>
      <c r="J74" t="s">
        <v>7</v>
      </c>
      <c r="K74" t="str">
        <f t="shared" si="3"/>
        <v>[".*IRE.*-D-.*-CON","IRE_d_c"],</v>
      </c>
    </row>
    <row r="75" spans="1:11" ht="19.5" customHeight="1" x14ac:dyDescent="0.3">
      <c r="A75" t="s">
        <v>25</v>
      </c>
      <c r="C75" t="s">
        <v>87</v>
      </c>
      <c r="D75" t="s">
        <v>77</v>
      </c>
      <c r="E75" t="s">
        <v>43</v>
      </c>
      <c r="F75" t="s">
        <v>6</v>
      </c>
      <c r="G75" t="str">
        <f t="shared" si="2"/>
        <v>IRE</v>
      </c>
      <c r="H75" t="s">
        <v>78</v>
      </c>
      <c r="I75" t="s">
        <v>31</v>
      </c>
      <c r="J75" t="s">
        <v>7</v>
      </c>
      <c r="K75" t="str">
        <f t="shared" si="3"/>
        <v>[".*IRE.*-O-.*-CON","IRE_o_c"],</v>
      </c>
    </row>
    <row r="76" spans="1:11" ht="19.5" customHeight="1" x14ac:dyDescent="0.3">
      <c r="A76" t="s">
        <v>25</v>
      </c>
      <c r="F76" t="s">
        <v>6</v>
      </c>
      <c r="J76" t="s">
        <v>7</v>
      </c>
    </row>
    <row r="77" spans="1:11" ht="19.5" customHeight="1" x14ac:dyDescent="0.3">
      <c r="A77" t="s">
        <v>25</v>
      </c>
      <c r="D77" t="s">
        <v>88</v>
      </c>
      <c r="E77" t="s">
        <v>34</v>
      </c>
      <c r="F77" t="s">
        <v>6</v>
      </c>
      <c r="G77" t="s">
        <v>89</v>
      </c>
      <c r="H77" t="s">
        <v>72</v>
      </c>
      <c r="I77" t="s">
        <v>28</v>
      </c>
      <c r="J77" t="s">
        <v>7</v>
      </c>
      <c r="K77" t="str">
        <f t="shared" ref="K77:K100" si="4">A77&amp;C77&amp;D77&amp;E77&amp;F77&amp;G77&amp;H77&amp;I77&amp;J77</f>
        <v>[".*CG-.*-ANS","item_cong_t_s"],</v>
      </c>
    </row>
    <row r="78" spans="1:11" ht="19.5" customHeight="1" x14ac:dyDescent="0.3">
      <c r="A78" t="s">
        <v>25</v>
      </c>
      <c r="C78" t="s">
        <v>79</v>
      </c>
      <c r="D78" t="s">
        <v>90</v>
      </c>
      <c r="E78" t="s">
        <v>34</v>
      </c>
      <c r="F78" t="s">
        <v>6</v>
      </c>
      <c r="G78" t="s">
        <v>89</v>
      </c>
      <c r="H78" t="s">
        <v>91</v>
      </c>
      <c r="I78" t="s">
        <v>28</v>
      </c>
      <c r="J78" t="s">
        <v>7</v>
      </c>
      <c r="K78" t="str">
        <f t="shared" si="4"/>
        <v>[".*IFR.*CG-.*-ANS","item_cong_fr_s"],</v>
      </c>
    </row>
    <row r="79" spans="1:11" ht="19.5" customHeight="1" x14ac:dyDescent="0.3">
      <c r="A79" t="s">
        <v>25</v>
      </c>
      <c r="C79" t="s">
        <v>85</v>
      </c>
      <c r="D79" t="s">
        <v>90</v>
      </c>
      <c r="E79" t="s">
        <v>34</v>
      </c>
      <c r="F79" t="s">
        <v>6</v>
      </c>
      <c r="G79" t="s">
        <v>89</v>
      </c>
      <c r="H79" t="s">
        <v>92</v>
      </c>
      <c r="I79" t="s">
        <v>28</v>
      </c>
      <c r="J79" t="s">
        <v>7</v>
      </c>
      <c r="K79" t="str">
        <f t="shared" si="4"/>
        <v>[".*ICR.*CG-.*-ANS","item_cong_cr_s"],</v>
      </c>
    </row>
    <row r="80" spans="1:11" ht="19.5" customHeight="1" x14ac:dyDescent="0.3">
      <c r="A80" t="s">
        <v>25</v>
      </c>
      <c r="C80" t="s">
        <v>87</v>
      </c>
      <c r="D80" t="s">
        <v>90</v>
      </c>
      <c r="E80" t="s">
        <v>34</v>
      </c>
      <c r="F80" t="s">
        <v>6</v>
      </c>
      <c r="G80" t="s">
        <v>89</v>
      </c>
      <c r="H80" t="s">
        <v>93</v>
      </c>
      <c r="I80" t="s">
        <v>28</v>
      </c>
      <c r="J80" t="s">
        <v>7</v>
      </c>
      <c r="K80" t="str">
        <f t="shared" si="4"/>
        <v>[".*IRE.*CG-.*-ANS","item_cong_re_s"],</v>
      </c>
    </row>
    <row r="81" spans="1:11" ht="19.5" customHeight="1" x14ac:dyDescent="0.3">
      <c r="A81" t="s">
        <v>25</v>
      </c>
      <c r="D81" t="s">
        <v>94</v>
      </c>
      <c r="E81" t="s">
        <v>34</v>
      </c>
      <c r="F81" t="s">
        <v>6</v>
      </c>
      <c r="G81" t="s">
        <v>95</v>
      </c>
      <c r="H81" t="s">
        <v>72</v>
      </c>
      <c r="I81" t="s">
        <v>28</v>
      </c>
      <c r="J81" t="s">
        <v>7</v>
      </c>
      <c r="K81" t="str">
        <f t="shared" si="4"/>
        <v>[".*IN-.*-ANS","item_incong_t_s"],</v>
      </c>
    </row>
    <row r="82" spans="1:11" ht="19.5" customHeight="1" x14ac:dyDescent="0.3">
      <c r="A82" t="s">
        <v>25</v>
      </c>
      <c r="C82" t="s">
        <v>79</v>
      </c>
      <c r="D82" t="s">
        <v>96</v>
      </c>
      <c r="E82" t="s">
        <v>34</v>
      </c>
      <c r="F82" t="s">
        <v>6</v>
      </c>
      <c r="G82" t="s">
        <v>95</v>
      </c>
      <c r="H82" t="s">
        <v>91</v>
      </c>
      <c r="I82" t="s">
        <v>28</v>
      </c>
      <c r="J82" t="s">
        <v>7</v>
      </c>
      <c r="K82" t="str">
        <f t="shared" si="4"/>
        <v>[".*IFR.*IN-.*-ANS","item_incong_fr_s"],</v>
      </c>
    </row>
    <row r="83" spans="1:11" ht="19.5" customHeight="1" x14ac:dyDescent="0.3">
      <c r="A83" t="s">
        <v>25</v>
      </c>
      <c r="C83" t="s">
        <v>85</v>
      </c>
      <c r="D83" t="s">
        <v>96</v>
      </c>
      <c r="E83" t="s">
        <v>34</v>
      </c>
      <c r="F83" t="s">
        <v>6</v>
      </c>
      <c r="G83" t="s">
        <v>95</v>
      </c>
      <c r="H83" t="s">
        <v>92</v>
      </c>
      <c r="I83" t="s">
        <v>28</v>
      </c>
      <c r="J83" t="s">
        <v>7</v>
      </c>
      <c r="K83" t="str">
        <f t="shared" si="4"/>
        <v>[".*ICR.*IN-.*-ANS","item_incong_cr_s"],</v>
      </c>
    </row>
    <row r="84" spans="1:11" ht="19.5" customHeight="1" x14ac:dyDescent="0.3">
      <c r="A84" t="s">
        <v>25</v>
      </c>
      <c r="C84" t="s">
        <v>87</v>
      </c>
      <c r="D84" t="s">
        <v>96</v>
      </c>
      <c r="E84" t="s">
        <v>34</v>
      </c>
      <c r="F84" t="s">
        <v>6</v>
      </c>
      <c r="G84" t="s">
        <v>95</v>
      </c>
      <c r="H84" t="s">
        <v>93</v>
      </c>
      <c r="I84" t="s">
        <v>28</v>
      </c>
      <c r="J84" t="s">
        <v>7</v>
      </c>
      <c r="K84" t="str">
        <f t="shared" si="4"/>
        <v>[".*IRE.*IN-.*-ANS","item_incong_re_s"],</v>
      </c>
    </row>
    <row r="85" spans="1:11" ht="19.5" customHeight="1" x14ac:dyDescent="0.3">
      <c r="A85" t="s">
        <v>25</v>
      </c>
      <c r="D85" t="s">
        <v>97</v>
      </c>
      <c r="E85" t="s">
        <v>34</v>
      </c>
      <c r="F85" t="s">
        <v>6</v>
      </c>
      <c r="G85" t="s">
        <v>98</v>
      </c>
      <c r="H85" t="s">
        <v>72</v>
      </c>
      <c r="I85" t="s">
        <v>28</v>
      </c>
      <c r="J85" t="s">
        <v>7</v>
      </c>
      <c r="K85" t="str">
        <f t="shared" si="4"/>
        <v>[".*CM-.*-ANS","item_comm_t_s"],</v>
      </c>
    </row>
    <row r="86" spans="1:11" ht="19.5" customHeight="1" x14ac:dyDescent="0.3">
      <c r="A86" t="s">
        <v>25</v>
      </c>
      <c r="C86" t="s">
        <v>79</v>
      </c>
      <c r="D86" t="s">
        <v>99</v>
      </c>
      <c r="E86" t="s">
        <v>34</v>
      </c>
      <c r="F86" t="s">
        <v>6</v>
      </c>
      <c r="G86" t="s">
        <v>98</v>
      </c>
      <c r="H86" t="s">
        <v>91</v>
      </c>
      <c r="I86" t="s">
        <v>28</v>
      </c>
      <c r="J86" t="s">
        <v>7</v>
      </c>
      <c r="K86" t="str">
        <f t="shared" si="4"/>
        <v>[".*IFR.*CM-.*-ANS","item_comm_fr_s"],</v>
      </c>
    </row>
    <row r="87" spans="1:11" ht="19.5" customHeight="1" x14ac:dyDescent="0.3">
      <c r="A87" t="s">
        <v>25</v>
      </c>
      <c r="C87" t="s">
        <v>85</v>
      </c>
      <c r="D87" t="s">
        <v>99</v>
      </c>
      <c r="E87" t="s">
        <v>34</v>
      </c>
      <c r="F87" t="s">
        <v>6</v>
      </c>
      <c r="G87" t="s">
        <v>98</v>
      </c>
      <c r="H87" t="s">
        <v>92</v>
      </c>
      <c r="I87" t="s">
        <v>28</v>
      </c>
      <c r="J87" t="s">
        <v>7</v>
      </c>
      <c r="K87" t="str">
        <f t="shared" si="4"/>
        <v>[".*ICR.*CM-.*-ANS","item_comm_cr_s"],</v>
      </c>
    </row>
    <row r="88" spans="1:11" ht="19.5" customHeight="1" x14ac:dyDescent="0.3">
      <c r="A88" t="s">
        <v>25</v>
      </c>
      <c r="C88" t="s">
        <v>87</v>
      </c>
      <c r="D88" t="s">
        <v>99</v>
      </c>
      <c r="E88" t="s">
        <v>34</v>
      </c>
      <c r="F88" t="s">
        <v>6</v>
      </c>
      <c r="G88" t="s">
        <v>98</v>
      </c>
      <c r="H88" t="s">
        <v>93</v>
      </c>
      <c r="I88" t="s">
        <v>28</v>
      </c>
      <c r="J88" t="s">
        <v>7</v>
      </c>
      <c r="K88" t="str">
        <f t="shared" si="4"/>
        <v>[".*IRE.*CM-.*-ANS","item_comm_re_s"],</v>
      </c>
    </row>
    <row r="89" spans="1:11" ht="19.5" customHeight="1" x14ac:dyDescent="0.3">
      <c r="A89" t="s">
        <v>25</v>
      </c>
      <c r="D89" t="s">
        <v>88</v>
      </c>
      <c r="E89" t="s">
        <v>43</v>
      </c>
      <c r="F89" t="s">
        <v>6</v>
      </c>
      <c r="G89" t="s">
        <v>89</v>
      </c>
      <c r="H89" t="s">
        <v>72</v>
      </c>
      <c r="I89" t="s">
        <v>31</v>
      </c>
      <c r="J89" t="s">
        <v>7</v>
      </c>
      <c r="K89" t="str">
        <f t="shared" si="4"/>
        <v>[".*CG-.*-CON","item_cong_t_c"],</v>
      </c>
    </row>
    <row r="90" spans="1:11" ht="19.5" customHeight="1" x14ac:dyDescent="0.3">
      <c r="A90" t="s">
        <v>25</v>
      </c>
      <c r="C90" t="s">
        <v>79</v>
      </c>
      <c r="D90" t="s">
        <v>90</v>
      </c>
      <c r="E90" t="s">
        <v>43</v>
      </c>
      <c r="F90" t="s">
        <v>6</v>
      </c>
      <c r="G90" t="s">
        <v>89</v>
      </c>
      <c r="H90" t="s">
        <v>91</v>
      </c>
      <c r="I90" t="s">
        <v>31</v>
      </c>
      <c r="J90" t="s">
        <v>7</v>
      </c>
      <c r="K90" t="str">
        <f t="shared" si="4"/>
        <v>[".*IFR.*CG-.*-CON","item_cong_fr_c"],</v>
      </c>
    </row>
    <row r="91" spans="1:11" ht="19.5" customHeight="1" x14ac:dyDescent="0.3">
      <c r="A91" t="s">
        <v>25</v>
      </c>
      <c r="C91" t="s">
        <v>85</v>
      </c>
      <c r="D91" t="s">
        <v>90</v>
      </c>
      <c r="E91" t="s">
        <v>43</v>
      </c>
      <c r="F91" t="s">
        <v>6</v>
      </c>
      <c r="G91" t="s">
        <v>89</v>
      </c>
      <c r="H91" t="s">
        <v>92</v>
      </c>
      <c r="I91" t="s">
        <v>31</v>
      </c>
      <c r="J91" t="s">
        <v>7</v>
      </c>
      <c r="K91" t="str">
        <f t="shared" si="4"/>
        <v>[".*ICR.*CG-.*-CON","item_cong_cr_c"],</v>
      </c>
    </row>
    <row r="92" spans="1:11" ht="19.5" customHeight="1" x14ac:dyDescent="0.3">
      <c r="A92" t="s">
        <v>25</v>
      </c>
      <c r="C92" t="s">
        <v>87</v>
      </c>
      <c r="D92" t="s">
        <v>90</v>
      </c>
      <c r="E92" t="s">
        <v>43</v>
      </c>
      <c r="F92" t="s">
        <v>6</v>
      </c>
      <c r="G92" t="s">
        <v>89</v>
      </c>
      <c r="H92" t="s">
        <v>93</v>
      </c>
      <c r="I92" t="s">
        <v>31</v>
      </c>
      <c r="J92" t="s">
        <v>7</v>
      </c>
      <c r="K92" t="str">
        <f t="shared" si="4"/>
        <v>[".*IRE.*CG-.*-CON","item_cong_re_c"],</v>
      </c>
    </row>
    <row r="93" spans="1:11" ht="19.5" customHeight="1" x14ac:dyDescent="0.3">
      <c r="A93" t="s">
        <v>25</v>
      </c>
      <c r="D93" t="s">
        <v>94</v>
      </c>
      <c r="E93" t="s">
        <v>43</v>
      </c>
      <c r="F93" t="s">
        <v>6</v>
      </c>
      <c r="G93" t="s">
        <v>95</v>
      </c>
      <c r="H93" t="s">
        <v>72</v>
      </c>
      <c r="I93" t="s">
        <v>31</v>
      </c>
      <c r="J93" t="s">
        <v>7</v>
      </c>
      <c r="K93" t="str">
        <f t="shared" si="4"/>
        <v>[".*IN-.*-CON","item_incong_t_c"],</v>
      </c>
    </row>
    <row r="94" spans="1:11" ht="19.5" customHeight="1" x14ac:dyDescent="0.3">
      <c r="A94" t="s">
        <v>25</v>
      </c>
      <c r="C94" t="s">
        <v>79</v>
      </c>
      <c r="D94" t="s">
        <v>96</v>
      </c>
      <c r="E94" t="s">
        <v>43</v>
      </c>
      <c r="F94" t="s">
        <v>6</v>
      </c>
      <c r="G94" t="s">
        <v>95</v>
      </c>
      <c r="H94" t="s">
        <v>91</v>
      </c>
      <c r="I94" t="s">
        <v>31</v>
      </c>
      <c r="J94" t="s">
        <v>7</v>
      </c>
      <c r="K94" t="str">
        <f t="shared" si="4"/>
        <v>[".*IFR.*IN-.*-CON","item_incong_fr_c"],</v>
      </c>
    </row>
    <row r="95" spans="1:11" ht="19.5" customHeight="1" x14ac:dyDescent="0.3">
      <c r="A95" t="s">
        <v>25</v>
      </c>
      <c r="C95" t="s">
        <v>85</v>
      </c>
      <c r="D95" t="s">
        <v>96</v>
      </c>
      <c r="E95" t="s">
        <v>43</v>
      </c>
      <c r="F95" t="s">
        <v>6</v>
      </c>
      <c r="G95" t="s">
        <v>95</v>
      </c>
      <c r="H95" t="s">
        <v>92</v>
      </c>
      <c r="I95" t="s">
        <v>31</v>
      </c>
      <c r="J95" t="s">
        <v>7</v>
      </c>
      <c r="K95" t="str">
        <f t="shared" si="4"/>
        <v>[".*ICR.*IN-.*-CON","item_incong_cr_c"],</v>
      </c>
    </row>
    <row r="96" spans="1:11" ht="19.5" customHeight="1" x14ac:dyDescent="0.3">
      <c r="A96" t="s">
        <v>25</v>
      </c>
      <c r="C96" t="s">
        <v>87</v>
      </c>
      <c r="D96" t="s">
        <v>96</v>
      </c>
      <c r="E96" t="s">
        <v>43</v>
      </c>
      <c r="F96" t="s">
        <v>6</v>
      </c>
      <c r="G96" t="s">
        <v>95</v>
      </c>
      <c r="H96" t="s">
        <v>93</v>
      </c>
      <c r="I96" t="s">
        <v>31</v>
      </c>
      <c r="J96" t="s">
        <v>7</v>
      </c>
      <c r="K96" t="str">
        <f t="shared" si="4"/>
        <v>[".*IRE.*IN-.*-CON","item_incong_re_c"],</v>
      </c>
    </row>
    <row r="97" spans="1:11" ht="19.5" customHeight="1" x14ac:dyDescent="0.3">
      <c r="A97" t="s">
        <v>25</v>
      </c>
      <c r="D97" t="s">
        <v>97</v>
      </c>
      <c r="E97" t="s">
        <v>43</v>
      </c>
      <c r="F97" t="s">
        <v>6</v>
      </c>
      <c r="G97" t="s">
        <v>98</v>
      </c>
      <c r="H97" t="s">
        <v>72</v>
      </c>
      <c r="I97" t="s">
        <v>31</v>
      </c>
      <c r="J97" t="s">
        <v>7</v>
      </c>
      <c r="K97" t="str">
        <f t="shared" si="4"/>
        <v>[".*CM-.*-CON","item_comm_t_c"],</v>
      </c>
    </row>
    <row r="98" spans="1:11" ht="19.5" customHeight="1" x14ac:dyDescent="0.3">
      <c r="A98" t="s">
        <v>25</v>
      </c>
      <c r="C98" t="s">
        <v>79</v>
      </c>
      <c r="D98" t="s">
        <v>99</v>
      </c>
      <c r="E98" t="s">
        <v>43</v>
      </c>
      <c r="F98" t="s">
        <v>6</v>
      </c>
      <c r="G98" t="s">
        <v>98</v>
      </c>
      <c r="H98" t="s">
        <v>91</v>
      </c>
      <c r="I98" t="s">
        <v>31</v>
      </c>
      <c r="J98" t="s">
        <v>7</v>
      </c>
      <c r="K98" t="str">
        <f t="shared" si="4"/>
        <v>[".*IFR.*CM-.*-CON","item_comm_fr_c"],</v>
      </c>
    </row>
    <row r="99" spans="1:11" ht="19.5" customHeight="1" x14ac:dyDescent="0.3">
      <c r="A99" t="s">
        <v>25</v>
      </c>
      <c r="C99" t="s">
        <v>85</v>
      </c>
      <c r="D99" t="s">
        <v>99</v>
      </c>
      <c r="E99" t="s">
        <v>43</v>
      </c>
      <c r="F99" t="s">
        <v>6</v>
      </c>
      <c r="G99" t="s">
        <v>98</v>
      </c>
      <c r="H99" t="s">
        <v>92</v>
      </c>
      <c r="I99" t="s">
        <v>31</v>
      </c>
      <c r="J99" t="s">
        <v>7</v>
      </c>
      <c r="K99" t="str">
        <f t="shared" si="4"/>
        <v>[".*ICR.*CM-.*-CON","item_comm_cr_c"],</v>
      </c>
    </row>
    <row r="100" spans="1:11" ht="19.5" customHeight="1" x14ac:dyDescent="0.3">
      <c r="A100" t="s">
        <v>25</v>
      </c>
      <c r="C100" t="s">
        <v>87</v>
      </c>
      <c r="D100" t="s">
        <v>99</v>
      </c>
      <c r="E100" t="s">
        <v>43</v>
      </c>
      <c r="F100" t="s">
        <v>6</v>
      </c>
      <c r="G100" t="s">
        <v>98</v>
      </c>
      <c r="H100" t="s">
        <v>93</v>
      </c>
      <c r="I100" t="s">
        <v>31</v>
      </c>
      <c r="J100" t="s">
        <v>7</v>
      </c>
      <c r="K100" t="str">
        <f t="shared" si="4"/>
        <v>[".*IRE.*CM-.*-CON","item_comm_re_c"],</v>
      </c>
    </row>
    <row r="101" spans="1:11" ht="19.5" customHeight="1" x14ac:dyDescent="0.3">
      <c r="A101" t="s">
        <v>25</v>
      </c>
      <c r="F101" t="s">
        <v>6</v>
      </c>
      <c r="J101" t="s">
        <v>7</v>
      </c>
    </row>
    <row r="102" spans="1:11" ht="19.5" customHeight="1" x14ac:dyDescent="0.3">
      <c r="A102" t="s">
        <v>25</v>
      </c>
      <c r="D102" t="s">
        <v>100</v>
      </c>
      <c r="E102" t="s">
        <v>14</v>
      </c>
      <c r="F102" t="s">
        <v>6</v>
      </c>
      <c r="G102" t="s">
        <v>101</v>
      </c>
      <c r="H102" t="s">
        <v>72</v>
      </c>
      <c r="I102" t="s">
        <v>28</v>
      </c>
      <c r="J102" t="s">
        <v>7</v>
      </c>
      <c r="K102" t="str">
        <f t="shared" ref="K102:K133" si="5">A102&amp;C102&amp;D102&amp;E102&amp;F102&amp;G102&amp;H102&amp;I102&amp;J102</f>
        <v>[".*PORT.*ANS","port_t_s"],</v>
      </c>
    </row>
    <row r="103" spans="1:11" ht="19.5" customHeight="1" x14ac:dyDescent="0.3">
      <c r="A103" t="s">
        <v>25</v>
      </c>
      <c r="C103" t="s">
        <v>102</v>
      </c>
      <c r="D103" t="s">
        <v>100</v>
      </c>
      <c r="E103" t="s">
        <v>14</v>
      </c>
      <c r="F103" t="s">
        <v>6</v>
      </c>
      <c r="G103" t="s">
        <v>101</v>
      </c>
      <c r="H103" t="s">
        <v>74</v>
      </c>
      <c r="I103" t="s">
        <v>28</v>
      </c>
      <c r="J103" t="s">
        <v>7</v>
      </c>
      <c r="K103" t="str">
        <f t="shared" si="5"/>
        <v>[".*-N-.*PORT.*ANS","port_n_s"],</v>
      </c>
    </row>
    <row r="104" spans="1:11" ht="19.5" customHeight="1" x14ac:dyDescent="0.3">
      <c r="A104" t="s">
        <v>25</v>
      </c>
      <c r="C104" t="s">
        <v>103</v>
      </c>
      <c r="D104" t="s">
        <v>100</v>
      </c>
      <c r="E104" t="s">
        <v>14</v>
      </c>
      <c r="F104" t="s">
        <v>6</v>
      </c>
      <c r="G104" t="s">
        <v>101</v>
      </c>
      <c r="H104" t="s">
        <v>76</v>
      </c>
      <c r="I104" t="s">
        <v>28</v>
      </c>
      <c r="J104" t="s">
        <v>7</v>
      </c>
      <c r="K104" t="str">
        <f t="shared" si="5"/>
        <v>[".*-L-.*PORT.*ANS","port_l_s"],</v>
      </c>
    </row>
    <row r="105" spans="1:11" ht="19.5" customHeight="1" x14ac:dyDescent="0.3">
      <c r="A105" t="s">
        <v>25</v>
      </c>
      <c r="D105" t="s">
        <v>104</v>
      </c>
      <c r="E105" t="s">
        <v>14</v>
      </c>
      <c r="F105" t="s">
        <v>6</v>
      </c>
      <c r="G105" t="s">
        <v>105</v>
      </c>
      <c r="H105" t="s">
        <v>72</v>
      </c>
      <c r="I105" t="s">
        <v>28</v>
      </c>
      <c r="J105" t="s">
        <v>7</v>
      </c>
      <c r="K105" t="str">
        <f t="shared" si="5"/>
        <v>[".*LAND.*ANS","land_t_s"],</v>
      </c>
    </row>
    <row r="106" spans="1:11" ht="19.5" customHeight="1" x14ac:dyDescent="0.3">
      <c r="A106" t="s">
        <v>25</v>
      </c>
      <c r="C106" t="s">
        <v>102</v>
      </c>
      <c r="D106" t="s">
        <v>104</v>
      </c>
      <c r="E106" t="s">
        <v>14</v>
      </c>
      <c r="F106" t="s">
        <v>6</v>
      </c>
      <c r="G106" t="s">
        <v>105</v>
      </c>
      <c r="H106" t="s">
        <v>74</v>
      </c>
      <c r="I106" t="s">
        <v>28</v>
      </c>
      <c r="J106" t="s">
        <v>7</v>
      </c>
      <c r="K106" t="str">
        <f t="shared" si="5"/>
        <v>[".*-N-.*LAND.*ANS","land_n_s"],</v>
      </c>
    </row>
    <row r="107" spans="1:11" ht="19.5" customHeight="1" x14ac:dyDescent="0.3">
      <c r="A107" t="s">
        <v>25</v>
      </c>
      <c r="C107" t="s">
        <v>103</v>
      </c>
      <c r="D107" t="s">
        <v>104</v>
      </c>
      <c r="E107" t="s">
        <v>14</v>
      </c>
      <c r="F107" t="s">
        <v>6</v>
      </c>
      <c r="G107" t="s">
        <v>105</v>
      </c>
      <c r="H107" t="s">
        <v>76</v>
      </c>
      <c r="I107" t="s">
        <v>28</v>
      </c>
      <c r="J107" t="s">
        <v>7</v>
      </c>
      <c r="K107" t="str">
        <f t="shared" si="5"/>
        <v>[".*-L-.*LAND.*ANS","land_l_s"],</v>
      </c>
    </row>
    <row r="108" spans="1:11" ht="19.5" customHeight="1" x14ac:dyDescent="0.3">
      <c r="A108" t="s">
        <v>25</v>
      </c>
      <c r="F108" t="s">
        <v>6</v>
      </c>
      <c r="J108" t="s">
        <v>7</v>
      </c>
      <c r="K108" t="str">
        <f t="shared" si="5"/>
        <v>[".*",""],</v>
      </c>
    </row>
    <row r="109" spans="1:11" ht="19.5" customHeight="1" x14ac:dyDescent="0.3">
      <c r="A109" t="s">
        <v>25</v>
      </c>
      <c r="F109" t="s">
        <v>6</v>
      </c>
      <c r="J109" t="s">
        <v>7</v>
      </c>
      <c r="K109" t="str">
        <f t="shared" si="5"/>
        <v>[".*",""],</v>
      </c>
    </row>
    <row r="110" spans="1:11" ht="19.5" customHeight="1" x14ac:dyDescent="0.3">
      <c r="A110" t="s">
        <v>25</v>
      </c>
      <c r="F110" t="s">
        <v>6</v>
      </c>
      <c r="J110" t="s">
        <v>7</v>
      </c>
      <c r="K110" t="str">
        <f t="shared" si="5"/>
        <v>[".*",""],</v>
      </c>
    </row>
    <row r="111" spans="1:11" ht="19.5" customHeight="1" x14ac:dyDescent="0.3">
      <c r="A111" t="s">
        <v>25</v>
      </c>
      <c r="F111" t="s">
        <v>6</v>
      </c>
      <c r="J111" t="s">
        <v>7</v>
      </c>
      <c r="K111" t="str">
        <f t="shared" si="5"/>
        <v>[".*",""],</v>
      </c>
    </row>
    <row r="112" spans="1:11" ht="19.5" customHeight="1" x14ac:dyDescent="0.3">
      <c r="A112" t="s">
        <v>25</v>
      </c>
      <c r="F112" t="s">
        <v>6</v>
      </c>
      <c r="J112" t="s">
        <v>7</v>
      </c>
      <c r="K112" t="str">
        <f t="shared" si="5"/>
        <v>[".*",""],</v>
      </c>
    </row>
    <row r="113" spans="1:11" ht="19.5" customHeight="1" x14ac:dyDescent="0.3">
      <c r="A113" t="s">
        <v>25</v>
      </c>
      <c r="F113" t="s">
        <v>6</v>
      </c>
      <c r="J113" t="s">
        <v>7</v>
      </c>
      <c r="K113" t="str">
        <f t="shared" si="5"/>
        <v>[".*",""],</v>
      </c>
    </row>
    <row r="114" spans="1:11" ht="19.5" customHeight="1" x14ac:dyDescent="0.3">
      <c r="A114" t="s">
        <v>25</v>
      </c>
      <c r="F114" t="s">
        <v>6</v>
      </c>
      <c r="J114" t="s">
        <v>7</v>
      </c>
      <c r="K114" t="str">
        <f t="shared" si="5"/>
        <v>[".*",""],</v>
      </c>
    </row>
    <row r="115" spans="1:11" ht="19.5" customHeight="1" x14ac:dyDescent="0.3">
      <c r="A115" t="s">
        <v>25</v>
      </c>
      <c r="F115" t="s">
        <v>6</v>
      </c>
      <c r="J115" t="s">
        <v>7</v>
      </c>
      <c r="K115" t="str">
        <f t="shared" si="5"/>
        <v>[".*",""],</v>
      </c>
    </row>
    <row r="116" spans="1:11" ht="19.5" customHeight="1" x14ac:dyDescent="0.3">
      <c r="A116" t="s">
        <v>25</v>
      </c>
      <c r="F116" t="s">
        <v>6</v>
      </c>
      <c r="J116" t="s">
        <v>7</v>
      </c>
      <c r="K116" t="str">
        <f t="shared" si="5"/>
        <v>[".*",""],</v>
      </c>
    </row>
    <row r="117" spans="1:11" ht="19.5" customHeight="1" x14ac:dyDescent="0.3">
      <c r="A117" t="s">
        <v>25</v>
      </c>
      <c r="F117" t="s">
        <v>6</v>
      </c>
      <c r="J117" t="s">
        <v>7</v>
      </c>
      <c r="K117" t="str">
        <f t="shared" si="5"/>
        <v>[".*",""],</v>
      </c>
    </row>
    <row r="118" spans="1:11" ht="19.5" customHeight="1" x14ac:dyDescent="0.3">
      <c r="A118" t="s">
        <v>25</v>
      </c>
      <c r="F118" t="s">
        <v>6</v>
      </c>
      <c r="J118" t="s">
        <v>7</v>
      </c>
      <c r="K118" t="str">
        <f t="shared" si="5"/>
        <v>[".*",""],</v>
      </c>
    </row>
    <row r="119" spans="1:11" ht="19.5" customHeight="1" x14ac:dyDescent="0.3">
      <c r="A119" t="s">
        <v>25</v>
      </c>
      <c r="F119" t="s">
        <v>6</v>
      </c>
      <c r="J119" t="s">
        <v>7</v>
      </c>
      <c r="K119" t="str">
        <f t="shared" si="5"/>
        <v>[".*",""],</v>
      </c>
    </row>
    <row r="120" spans="1:11" ht="19.5" customHeight="1" x14ac:dyDescent="0.3">
      <c r="A120" t="s">
        <v>25</v>
      </c>
      <c r="F120" t="s">
        <v>6</v>
      </c>
      <c r="J120" t="s">
        <v>7</v>
      </c>
      <c r="K120" t="str">
        <f t="shared" si="5"/>
        <v>[".*",""],</v>
      </c>
    </row>
    <row r="121" spans="1:11" ht="19.5" customHeight="1" x14ac:dyDescent="0.3">
      <c r="A121" t="s">
        <v>25</v>
      </c>
      <c r="F121" t="s">
        <v>6</v>
      </c>
      <c r="J121" t="s">
        <v>7</v>
      </c>
      <c r="K121" t="str">
        <f t="shared" si="5"/>
        <v>[".*",""],</v>
      </c>
    </row>
    <row r="122" spans="1:11" ht="19.5" customHeight="1" x14ac:dyDescent="0.3">
      <c r="A122" t="s">
        <v>25</v>
      </c>
      <c r="F122" t="s">
        <v>6</v>
      </c>
      <c r="J122" t="s">
        <v>7</v>
      </c>
      <c r="K122" t="str">
        <f t="shared" si="5"/>
        <v>[".*",""],</v>
      </c>
    </row>
    <row r="123" spans="1:11" ht="19.5" customHeight="1" x14ac:dyDescent="0.3">
      <c r="A123" t="s">
        <v>25</v>
      </c>
      <c r="F123" t="s">
        <v>6</v>
      </c>
      <c r="J123" t="s">
        <v>7</v>
      </c>
      <c r="K123" t="str">
        <f t="shared" si="5"/>
        <v>[".*",""],</v>
      </c>
    </row>
    <row r="124" spans="1:11" ht="19.5" customHeight="1" x14ac:dyDescent="0.3">
      <c r="A124" t="s">
        <v>25</v>
      </c>
      <c r="F124" t="s">
        <v>6</v>
      </c>
      <c r="J124" t="s">
        <v>7</v>
      </c>
      <c r="K124" t="str">
        <f t="shared" si="5"/>
        <v>[".*",""],</v>
      </c>
    </row>
    <row r="125" spans="1:11" ht="19.5" customHeight="1" x14ac:dyDescent="0.3">
      <c r="A125" t="s">
        <v>25</v>
      </c>
      <c r="F125" t="s">
        <v>6</v>
      </c>
      <c r="J125" t="s">
        <v>7</v>
      </c>
      <c r="K125" t="str">
        <f t="shared" si="5"/>
        <v>[".*",""],</v>
      </c>
    </row>
    <row r="126" spans="1:11" ht="19.5" customHeight="1" x14ac:dyDescent="0.3">
      <c r="A126" t="s">
        <v>25</v>
      </c>
      <c r="F126" t="s">
        <v>6</v>
      </c>
      <c r="J126" t="s">
        <v>7</v>
      </c>
      <c r="K126" t="str">
        <f t="shared" si="5"/>
        <v>[".*",""],</v>
      </c>
    </row>
    <row r="127" spans="1:11" ht="19.5" customHeight="1" x14ac:dyDescent="0.3">
      <c r="A127" t="s">
        <v>25</v>
      </c>
      <c r="F127" t="s">
        <v>6</v>
      </c>
      <c r="J127" t="s">
        <v>7</v>
      </c>
      <c r="K127" t="str">
        <f t="shared" si="5"/>
        <v>[".*",""],</v>
      </c>
    </row>
    <row r="128" spans="1:11" ht="19.5" customHeight="1" x14ac:dyDescent="0.3">
      <c r="A128" t="s">
        <v>25</v>
      </c>
      <c r="F128" t="s">
        <v>6</v>
      </c>
      <c r="J128" t="s">
        <v>7</v>
      </c>
      <c r="K128" t="str">
        <f t="shared" si="5"/>
        <v>[".*",""],</v>
      </c>
    </row>
    <row r="129" spans="1:11" ht="19.5" customHeight="1" x14ac:dyDescent="0.3">
      <c r="A129" t="s">
        <v>25</v>
      </c>
      <c r="F129" t="s">
        <v>6</v>
      </c>
      <c r="J129" t="s">
        <v>7</v>
      </c>
      <c r="K129" t="str">
        <f t="shared" si="5"/>
        <v>[".*",""],</v>
      </c>
    </row>
    <row r="130" spans="1:11" ht="19.5" customHeight="1" x14ac:dyDescent="0.3">
      <c r="A130" t="s">
        <v>25</v>
      </c>
      <c r="F130" t="s">
        <v>6</v>
      </c>
      <c r="J130" t="s">
        <v>7</v>
      </c>
      <c r="K130" t="str">
        <f t="shared" si="5"/>
        <v>[".*",""],</v>
      </c>
    </row>
    <row r="131" spans="1:11" ht="19.5" customHeight="1" x14ac:dyDescent="0.3">
      <c r="A131" t="s">
        <v>25</v>
      </c>
      <c r="F131" t="s">
        <v>6</v>
      </c>
      <c r="J131" t="s">
        <v>7</v>
      </c>
      <c r="K131" t="str">
        <f t="shared" si="5"/>
        <v>[".*",""],</v>
      </c>
    </row>
    <row r="132" spans="1:11" ht="19.5" customHeight="1" x14ac:dyDescent="0.3">
      <c r="A132" t="s">
        <v>25</v>
      </c>
      <c r="F132" t="s">
        <v>6</v>
      </c>
      <c r="J132" t="s">
        <v>7</v>
      </c>
      <c r="K132" t="str">
        <f t="shared" si="5"/>
        <v>[".*",""],</v>
      </c>
    </row>
    <row r="133" spans="1:11" ht="19.5" customHeight="1" x14ac:dyDescent="0.3">
      <c r="A133" t="s">
        <v>25</v>
      </c>
      <c r="F133" t="s">
        <v>6</v>
      </c>
      <c r="J133" t="s">
        <v>7</v>
      </c>
      <c r="K133" t="str">
        <f t="shared" si="5"/>
        <v>[".*",""],</v>
      </c>
    </row>
    <row r="134" spans="1:11" ht="19.5" customHeight="1" x14ac:dyDescent="0.3">
      <c r="A134" t="s">
        <v>25</v>
      </c>
      <c r="F134" t="s">
        <v>6</v>
      </c>
      <c r="J134" t="s">
        <v>7</v>
      </c>
      <c r="K134" t="str">
        <f t="shared" ref="K134:K160" si="6">A134&amp;C134&amp;D134&amp;E134&amp;F134&amp;G134&amp;H134&amp;I134&amp;J134</f>
        <v>[".*",""],</v>
      </c>
    </row>
    <row r="135" spans="1:11" ht="19.5" customHeight="1" x14ac:dyDescent="0.3">
      <c r="A135" t="s">
        <v>25</v>
      </c>
      <c r="F135" t="s">
        <v>6</v>
      </c>
      <c r="J135" t="s">
        <v>7</v>
      </c>
      <c r="K135" t="str">
        <f t="shared" si="6"/>
        <v>[".*",""],</v>
      </c>
    </row>
    <row r="136" spans="1:11" ht="19.5" customHeight="1" x14ac:dyDescent="0.3">
      <c r="A136" t="s">
        <v>25</v>
      </c>
      <c r="F136" t="s">
        <v>6</v>
      </c>
      <c r="J136" t="s">
        <v>7</v>
      </c>
      <c r="K136" t="str">
        <f t="shared" si="6"/>
        <v>[".*",""],</v>
      </c>
    </row>
    <row r="137" spans="1:11" ht="19.5" customHeight="1" x14ac:dyDescent="0.3">
      <c r="A137" t="s">
        <v>25</v>
      </c>
      <c r="F137" t="s">
        <v>6</v>
      </c>
      <c r="J137" t="s">
        <v>7</v>
      </c>
      <c r="K137" t="str">
        <f t="shared" si="6"/>
        <v>[".*",""],</v>
      </c>
    </row>
    <row r="138" spans="1:11" ht="19.5" customHeight="1" x14ac:dyDescent="0.3">
      <c r="A138" t="s">
        <v>25</v>
      </c>
      <c r="F138" t="s">
        <v>6</v>
      </c>
      <c r="J138" t="s">
        <v>7</v>
      </c>
      <c r="K138" t="str">
        <f t="shared" si="6"/>
        <v>[".*",""],</v>
      </c>
    </row>
    <row r="139" spans="1:11" ht="19.5" customHeight="1" x14ac:dyDescent="0.3">
      <c r="A139" t="s">
        <v>25</v>
      </c>
      <c r="F139" t="s">
        <v>6</v>
      </c>
      <c r="J139" t="s">
        <v>7</v>
      </c>
      <c r="K139" t="str">
        <f t="shared" si="6"/>
        <v>[".*",""],</v>
      </c>
    </row>
    <row r="140" spans="1:11" ht="19.5" customHeight="1" x14ac:dyDescent="0.3">
      <c r="A140" t="s">
        <v>25</v>
      </c>
      <c r="F140" t="s">
        <v>6</v>
      </c>
      <c r="J140" t="s">
        <v>7</v>
      </c>
      <c r="K140" t="str">
        <f t="shared" si="6"/>
        <v>[".*",""],</v>
      </c>
    </row>
    <row r="141" spans="1:11" ht="19.5" customHeight="1" x14ac:dyDescent="0.3">
      <c r="A141" t="s">
        <v>25</v>
      </c>
      <c r="F141" t="s">
        <v>6</v>
      </c>
      <c r="J141" t="s">
        <v>7</v>
      </c>
      <c r="K141" t="str">
        <f t="shared" si="6"/>
        <v>[".*",""],</v>
      </c>
    </row>
    <row r="142" spans="1:11" ht="19.5" customHeight="1" x14ac:dyDescent="0.3">
      <c r="A142" t="s">
        <v>25</v>
      </c>
      <c r="F142" t="s">
        <v>6</v>
      </c>
      <c r="J142" t="s">
        <v>7</v>
      </c>
      <c r="K142" t="str">
        <f t="shared" si="6"/>
        <v>[".*",""],</v>
      </c>
    </row>
    <row r="143" spans="1:11" ht="19.5" customHeight="1" x14ac:dyDescent="0.3">
      <c r="A143" t="s">
        <v>25</v>
      </c>
      <c r="F143" t="s">
        <v>6</v>
      </c>
      <c r="J143" t="s">
        <v>7</v>
      </c>
      <c r="K143" t="str">
        <f t="shared" si="6"/>
        <v>[".*",""],</v>
      </c>
    </row>
    <row r="144" spans="1:11" ht="19.5" customHeight="1" x14ac:dyDescent="0.3">
      <c r="A144" t="s">
        <v>25</v>
      </c>
      <c r="F144" t="s">
        <v>6</v>
      </c>
      <c r="J144" t="s">
        <v>7</v>
      </c>
      <c r="K144" t="str">
        <f t="shared" si="6"/>
        <v>[".*",""],</v>
      </c>
    </row>
    <row r="145" spans="1:11" ht="19.5" customHeight="1" x14ac:dyDescent="0.3">
      <c r="A145" t="s">
        <v>25</v>
      </c>
      <c r="F145" t="s">
        <v>6</v>
      </c>
      <c r="J145" t="s">
        <v>7</v>
      </c>
      <c r="K145" t="str">
        <f t="shared" si="6"/>
        <v>[".*",""],</v>
      </c>
    </row>
    <row r="146" spans="1:11" ht="19.5" customHeight="1" x14ac:dyDescent="0.3">
      <c r="A146" t="s">
        <v>25</v>
      </c>
      <c r="F146" t="s">
        <v>6</v>
      </c>
      <c r="J146" t="s">
        <v>7</v>
      </c>
      <c r="K146" t="str">
        <f t="shared" si="6"/>
        <v>[".*",""],</v>
      </c>
    </row>
    <row r="147" spans="1:11" ht="19.5" customHeight="1" x14ac:dyDescent="0.3">
      <c r="A147" t="s">
        <v>25</v>
      </c>
      <c r="F147" t="s">
        <v>6</v>
      </c>
      <c r="J147" t="s">
        <v>7</v>
      </c>
      <c r="K147" t="str">
        <f t="shared" si="6"/>
        <v>[".*",""],</v>
      </c>
    </row>
    <row r="148" spans="1:11" ht="19.5" customHeight="1" x14ac:dyDescent="0.3">
      <c r="A148" t="s">
        <v>25</v>
      </c>
      <c r="F148" t="s">
        <v>6</v>
      </c>
      <c r="J148" t="s">
        <v>7</v>
      </c>
      <c r="K148" t="str">
        <f t="shared" si="6"/>
        <v>[".*",""],</v>
      </c>
    </row>
    <row r="149" spans="1:11" ht="19.5" customHeight="1" x14ac:dyDescent="0.3">
      <c r="A149" t="s">
        <v>25</v>
      </c>
      <c r="F149" t="s">
        <v>6</v>
      </c>
      <c r="J149" t="s">
        <v>7</v>
      </c>
      <c r="K149" t="str">
        <f t="shared" si="6"/>
        <v>[".*",""],</v>
      </c>
    </row>
    <row r="150" spans="1:11" ht="19.5" customHeight="1" x14ac:dyDescent="0.3">
      <c r="A150" t="s">
        <v>25</v>
      </c>
      <c r="F150" t="s">
        <v>6</v>
      </c>
      <c r="J150" t="s">
        <v>7</v>
      </c>
      <c r="K150" t="str">
        <f t="shared" si="6"/>
        <v>[".*",""],</v>
      </c>
    </row>
    <row r="151" spans="1:11" ht="19.5" customHeight="1" x14ac:dyDescent="0.3">
      <c r="A151" t="s">
        <v>25</v>
      </c>
      <c r="F151" t="s">
        <v>6</v>
      </c>
      <c r="J151" t="s">
        <v>7</v>
      </c>
      <c r="K151" t="str">
        <f t="shared" si="6"/>
        <v>[".*",""],</v>
      </c>
    </row>
    <row r="152" spans="1:11" ht="19.5" customHeight="1" x14ac:dyDescent="0.3">
      <c r="A152" t="s">
        <v>25</v>
      </c>
      <c r="F152" t="s">
        <v>6</v>
      </c>
      <c r="J152" t="s">
        <v>7</v>
      </c>
      <c r="K152" t="str">
        <f t="shared" si="6"/>
        <v>[".*",""],</v>
      </c>
    </row>
    <row r="153" spans="1:11" ht="19.5" customHeight="1" x14ac:dyDescent="0.3">
      <c r="A153" t="s">
        <v>25</v>
      </c>
      <c r="F153" t="s">
        <v>6</v>
      </c>
      <c r="J153" t="s">
        <v>7</v>
      </c>
      <c r="K153" t="str">
        <f t="shared" si="6"/>
        <v>[".*",""],</v>
      </c>
    </row>
    <row r="154" spans="1:11" ht="19.5" customHeight="1" x14ac:dyDescent="0.3">
      <c r="A154" t="s">
        <v>25</v>
      </c>
      <c r="F154" t="s">
        <v>6</v>
      </c>
      <c r="J154" t="s">
        <v>7</v>
      </c>
      <c r="K154" t="str">
        <f t="shared" si="6"/>
        <v>[".*",""],</v>
      </c>
    </row>
    <row r="155" spans="1:11" ht="19.5" customHeight="1" x14ac:dyDescent="0.3">
      <c r="A155" t="s">
        <v>25</v>
      </c>
      <c r="F155" t="s">
        <v>6</v>
      </c>
      <c r="J155" t="s">
        <v>7</v>
      </c>
      <c r="K155" t="str">
        <f t="shared" si="6"/>
        <v>[".*",""],</v>
      </c>
    </row>
    <row r="156" spans="1:11" ht="19.5" customHeight="1" x14ac:dyDescent="0.3">
      <c r="A156" t="s">
        <v>25</v>
      </c>
      <c r="F156" t="s">
        <v>6</v>
      </c>
      <c r="J156" t="s">
        <v>7</v>
      </c>
      <c r="K156" t="str">
        <f t="shared" si="6"/>
        <v>[".*",""],</v>
      </c>
    </row>
    <row r="157" spans="1:11" ht="19.5" customHeight="1" x14ac:dyDescent="0.3">
      <c r="A157" t="s">
        <v>25</v>
      </c>
      <c r="F157" t="s">
        <v>6</v>
      </c>
      <c r="J157" t="s">
        <v>7</v>
      </c>
      <c r="K157" t="str">
        <f t="shared" si="6"/>
        <v>[".*",""],</v>
      </c>
    </row>
    <row r="158" spans="1:11" ht="19.5" customHeight="1" x14ac:dyDescent="0.3">
      <c r="A158" t="s">
        <v>25</v>
      </c>
      <c r="F158" t="s">
        <v>6</v>
      </c>
      <c r="J158" t="s">
        <v>7</v>
      </c>
      <c r="K158" t="str">
        <f t="shared" si="6"/>
        <v>[".*",""],</v>
      </c>
    </row>
    <row r="159" spans="1:11" ht="19.5" customHeight="1" x14ac:dyDescent="0.3">
      <c r="A159" t="s">
        <v>25</v>
      </c>
      <c r="F159" t="s">
        <v>6</v>
      </c>
      <c r="J159" t="s">
        <v>7</v>
      </c>
      <c r="K159" t="str">
        <f t="shared" si="6"/>
        <v>[".*",""],</v>
      </c>
    </row>
    <row r="160" spans="1:11" ht="19.5" customHeight="1" x14ac:dyDescent="0.3">
      <c r="A160" t="s">
        <v>25</v>
      </c>
      <c r="F160" t="s">
        <v>6</v>
      </c>
      <c r="J160" t="s">
        <v>7</v>
      </c>
      <c r="K160" t="str">
        <f t="shared" si="6"/>
        <v>[".*",""],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443"/>
  <sheetViews>
    <sheetView workbookViewId="0"/>
  </sheetViews>
  <sheetFormatPr defaultRowHeight="14.4" x14ac:dyDescent="0.3"/>
  <cols>
    <col min="1" max="1" width="6.5546875" bestFit="1" customWidth="1"/>
    <col min="2" max="2" width="10.6640625" bestFit="1" customWidth="1"/>
    <col min="3" max="3" width="6.109375" bestFit="1" customWidth="1"/>
    <col min="4" max="4" width="55.44140625" style="5" bestFit="1" customWidth="1"/>
    <col min="5" max="5" width="2.88671875" bestFit="1" customWidth="1"/>
    <col min="6" max="6" width="3.5546875" bestFit="1" customWidth="1"/>
    <col min="7" max="7" width="3" bestFit="1" customWidth="1"/>
    <col min="8" max="8" width="2.88671875" bestFit="1" customWidth="1"/>
    <col min="9" max="13" width="14.109375" bestFit="1" customWidth="1"/>
  </cols>
  <sheetData>
    <row r="1" spans="1:13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0</v>
      </c>
    </row>
    <row r="2" spans="1:13" ht="19.5" customHeight="1" x14ac:dyDescent="0.3">
      <c r="A2" s="1"/>
      <c r="B2" s="1"/>
      <c r="C2" s="1"/>
      <c r="D2" s="3" t="s">
        <v>8</v>
      </c>
      <c r="F2" s="4"/>
    </row>
    <row r="3" spans="1:13" ht="19.5" customHeight="1" x14ac:dyDescent="0.3">
      <c r="A3" s="3" t="str">
        <f t="shared" ref="A3:A35" si="0">I3&amp;J3&amp;K3&amp;L3&amp;M3&amp;N3&amp;O3&amp;P3&amp;Q3&amp;R3&amp;S3&amp;T3&amp;U3&amp;V3&amp;W3&amp;X3</f>
        <v>.*TSVR</v>
      </c>
      <c r="B3" s="3" t="s">
        <v>9</v>
      </c>
      <c r="C3" s="3" t="s">
        <v>10</v>
      </c>
      <c r="D3" s="3" t="str">
        <f t="shared" ref="D3:D66" si="1">IF(A3&lt;&gt;"",$E$1&amp;A3&amp;$F$1&amp;B3&amp;$G$1&amp;C3&amp;$H$1,"")</f>
        <v>[[".*TSVR"],"TSVR","sum"],</v>
      </c>
      <c r="I3" s="3" t="s">
        <v>11</v>
      </c>
    </row>
    <row r="4" spans="1:13" ht="19.5" customHeight="1" x14ac:dyDescent="0.3">
      <c r="A4" s="3" t="str">
        <f t="shared" si="0"/>
        <v>.*ANS</v>
      </c>
      <c r="B4" s="3" t="s">
        <v>12</v>
      </c>
      <c r="C4" s="3" t="s">
        <v>13</v>
      </c>
      <c r="D4" s="3" t="str">
        <f t="shared" si="1"/>
        <v>[[".*ANS"],"Mean Score","mean"],</v>
      </c>
      <c r="I4" s="3" t="s">
        <v>14</v>
      </c>
    </row>
    <row r="5" spans="1:13" ht="19.5" customHeight="1" x14ac:dyDescent="0.3">
      <c r="A5" s="3" t="str">
        <f t="shared" si="0"/>
        <v>.*-N-.*-ANS</v>
      </c>
      <c r="B5" s="3" t="s">
        <v>15</v>
      </c>
      <c r="C5" s="3" t="s">
        <v>13</v>
      </c>
      <c r="D5" s="3" t="str">
        <f t="shared" si="1"/>
        <v>[[".*-N-.*-ANS"],"What","mean"],</v>
      </c>
      <c r="I5" s="3" t="s">
        <v>16</v>
      </c>
    </row>
    <row r="6" spans="1:13" ht="19.5" customHeight="1" x14ac:dyDescent="0.3">
      <c r="A6" s="3" t="str">
        <f t="shared" si="0"/>
        <v>.*-U-.*-ANS",".*-D-.*-ANS",".*-L-.*-ANS</v>
      </c>
      <c r="B6" s="3" t="s">
        <v>17</v>
      </c>
      <c r="C6" s="3" t="s">
        <v>13</v>
      </c>
      <c r="D6" s="3" t="str">
        <f t="shared" si="1"/>
        <v>[[".*-U-.*-ANS",".*-D-.*-ANS",".*-L-.*-ANS"],"Where","mean"],</v>
      </c>
      <c r="I6" s="3" t="s">
        <v>18</v>
      </c>
      <c r="J6" s="3" t="s">
        <v>6</v>
      </c>
      <c r="K6" s="3" t="s">
        <v>19</v>
      </c>
      <c r="L6" s="3" t="s">
        <v>6</v>
      </c>
      <c r="M6" s="3" t="s">
        <v>20</v>
      </c>
    </row>
    <row r="7" spans="1:13" ht="19.5" customHeight="1" x14ac:dyDescent="0.3">
      <c r="A7" s="3" t="str">
        <f t="shared" si="0"/>
        <v>.*-O-.*-ANS</v>
      </c>
      <c r="B7" s="3" t="s">
        <v>21</v>
      </c>
      <c r="C7" s="3" t="s">
        <v>13</v>
      </c>
      <c r="D7" s="3" t="str">
        <f t="shared" si="1"/>
        <v>[[".*-O-.*-ANS"],"When","mean"],</v>
      </c>
      <c r="I7" s="3" t="s">
        <v>22</v>
      </c>
    </row>
    <row r="8" spans="1:13" ht="19.5" customHeight="1" x14ac:dyDescent="0.3">
      <c r="A8" s="3" t="str">
        <f t="shared" si="0"/>
        <v/>
      </c>
      <c r="D8" s="3" t="str">
        <f t="shared" si="1"/>
        <v/>
      </c>
    </row>
    <row r="9" spans="1:13" ht="19.5" customHeight="1" x14ac:dyDescent="0.3">
      <c r="A9" s="3" t="str">
        <f t="shared" si="0"/>
        <v/>
      </c>
      <c r="D9" s="3" t="str">
        <f t="shared" si="1"/>
        <v/>
      </c>
    </row>
    <row r="10" spans="1:13" ht="19.5" customHeight="1" x14ac:dyDescent="0.3">
      <c r="A10" s="3" t="str">
        <f t="shared" si="0"/>
        <v/>
      </c>
      <c r="D10" s="3" t="str">
        <f t="shared" si="1"/>
        <v/>
      </c>
    </row>
    <row r="11" spans="1:13" ht="19.5" customHeight="1" x14ac:dyDescent="0.3">
      <c r="A11" s="3" t="str">
        <f t="shared" si="0"/>
        <v/>
      </c>
      <c r="D11" s="3" t="str">
        <f t="shared" si="1"/>
        <v/>
      </c>
    </row>
    <row r="12" spans="1:13" ht="19.5" customHeight="1" x14ac:dyDescent="0.3">
      <c r="A12" s="3" t="str">
        <f t="shared" si="0"/>
        <v/>
      </c>
      <c r="D12" s="3" t="str">
        <f t="shared" si="1"/>
        <v/>
      </c>
    </row>
    <row r="13" spans="1:13" ht="19.5" customHeight="1" x14ac:dyDescent="0.3">
      <c r="A13" s="3" t="str">
        <f t="shared" si="0"/>
        <v/>
      </c>
      <c r="D13" s="3" t="str">
        <f t="shared" si="1"/>
        <v/>
      </c>
    </row>
    <row r="14" spans="1:13" ht="19.5" customHeight="1" x14ac:dyDescent="0.3">
      <c r="A14" s="3" t="str">
        <f t="shared" si="0"/>
        <v/>
      </c>
      <c r="D14" s="3" t="str">
        <f t="shared" si="1"/>
        <v/>
      </c>
    </row>
    <row r="15" spans="1:13" ht="19.5" customHeight="1" x14ac:dyDescent="0.3">
      <c r="A15" s="3" t="str">
        <f t="shared" si="0"/>
        <v/>
      </c>
      <c r="D15" s="3" t="str">
        <f t="shared" si="1"/>
        <v/>
      </c>
    </row>
    <row r="16" spans="1:13" ht="19.5" customHeight="1" x14ac:dyDescent="0.3">
      <c r="A16" s="3" t="str">
        <f t="shared" si="0"/>
        <v/>
      </c>
      <c r="D16" s="3" t="str">
        <f t="shared" si="1"/>
        <v/>
      </c>
    </row>
    <row r="17" spans="1:4" ht="19.5" customHeight="1" x14ac:dyDescent="0.3">
      <c r="A17" s="3" t="str">
        <f t="shared" si="0"/>
        <v/>
      </c>
      <c r="D17" s="3" t="str">
        <f t="shared" si="1"/>
        <v/>
      </c>
    </row>
    <row r="18" spans="1:4" ht="19.5" customHeight="1" x14ac:dyDescent="0.3">
      <c r="A18" s="3" t="str">
        <f t="shared" si="0"/>
        <v/>
      </c>
      <c r="D18" s="3" t="str">
        <f t="shared" si="1"/>
        <v/>
      </c>
    </row>
    <row r="19" spans="1:4" ht="19.5" customHeight="1" x14ac:dyDescent="0.3">
      <c r="A19" s="3" t="str">
        <f t="shared" si="0"/>
        <v/>
      </c>
      <c r="D19" s="3" t="str">
        <f t="shared" si="1"/>
        <v/>
      </c>
    </row>
    <row r="20" spans="1:4" ht="19.5" customHeight="1" x14ac:dyDescent="0.3">
      <c r="A20" s="3" t="str">
        <f t="shared" si="0"/>
        <v/>
      </c>
      <c r="D20" s="3" t="str">
        <f t="shared" si="1"/>
        <v/>
      </c>
    </row>
    <row r="21" spans="1:4" ht="19.5" customHeight="1" x14ac:dyDescent="0.3">
      <c r="A21" s="3" t="str">
        <f t="shared" si="0"/>
        <v/>
      </c>
      <c r="D21" s="3" t="str">
        <f t="shared" si="1"/>
        <v/>
      </c>
    </row>
    <row r="22" spans="1:4" ht="19.5" customHeight="1" x14ac:dyDescent="0.3">
      <c r="A22" s="3" t="str">
        <f t="shared" si="0"/>
        <v/>
      </c>
      <c r="D22" s="3" t="str">
        <f t="shared" si="1"/>
        <v/>
      </c>
    </row>
    <row r="23" spans="1:4" ht="19.5" customHeight="1" x14ac:dyDescent="0.3">
      <c r="A23" s="3" t="str">
        <f t="shared" si="0"/>
        <v/>
      </c>
      <c r="D23" s="3" t="str">
        <f t="shared" si="1"/>
        <v/>
      </c>
    </row>
    <row r="24" spans="1:4" ht="19.5" customHeight="1" x14ac:dyDescent="0.3">
      <c r="A24" s="3" t="str">
        <f t="shared" si="0"/>
        <v/>
      </c>
      <c r="D24" s="3" t="str">
        <f t="shared" si="1"/>
        <v/>
      </c>
    </row>
    <row r="25" spans="1:4" ht="19.5" customHeight="1" x14ac:dyDescent="0.3">
      <c r="A25" s="3" t="str">
        <f t="shared" si="0"/>
        <v/>
      </c>
      <c r="D25" s="3" t="str">
        <f t="shared" si="1"/>
        <v/>
      </c>
    </row>
    <row r="26" spans="1:4" ht="19.5" customHeight="1" x14ac:dyDescent="0.3">
      <c r="A26" s="3" t="str">
        <f t="shared" si="0"/>
        <v/>
      </c>
      <c r="D26" s="3" t="str">
        <f t="shared" si="1"/>
        <v/>
      </c>
    </row>
    <row r="27" spans="1:4" ht="19.5" customHeight="1" x14ac:dyDescent="0.3">
      <c r="A27" s="3" t="str">
        <f t="shared" si="0"/>
        <v/>
      </c>
      <c r="D27" s="3" t="str">
        <f t="shared" si="1"/>
        <v/>
      </c>
    </row>
    <row r="28" spans="1:4" ht="19.5" customHeight="1" x14ac:dyDescent="0.3">
      <c r="A28" s="3" t="str">
        <f t="shared" si="0"/>
        <v/>
      </c>
      <c r="D28" s="3" t="str">
        <f t="shared" si="1"/>
        <v/>
      </c>
    </row>
    <row r="29" spans="1:4" ht="19.5" customHeight="1" x14ac:dyDescent="0.3">
      <c r="A29" s="3" t="str">
        <f t="shared" si="0"/>
        <v/>
      </c>
      <c r="D29" s="3" t="str">
        <f t="shared" si="1"/>
        <v/>
      </c>
    </row>
    <row r="30" spans="1:4" ht="19.5" customHeight="1" x14ac:dyDescent="0.3">
      <c r="A30" s="3" t="str">
        <f t="shared" si="0"/>
        <v/>
      </c>
      <c r="D30" s="3" t="str">
        <f t="shared" si="1"/>
        <v/>
      </c>
    </row>
    <row r="31" spans="1:4" ht="19.5" customHeight="1" x14ac:dyDescent="0.3">
      <c r="A31" s="3" t="str">
        <f t="shared" si="0"/>
        <v/>
      </c>
      <c r="D31" s="3" t="str">
        <f t="shared" si="1"/>
        <v/>
      </c>
    </row>
    <row r="32" spans="1:4" ht="19.5" customHeight="1" x14ac:dyDescent="0.3">
      <c r="A32" s="3" t="str">
        <f t="shared" si="0"/>
        <v/>
      </c>
      <c r="D32" s="3" t="str">
        <f t="shared" si="1"/>
        <v/>
      </c>
    </row>
    <row r="33" spans="1:4" ht="19.5" customHeight="1" x14ac:dyDescent="0.3">
      <c r="A33" s="3" t="str">
        <f t="shared" si="0"/>
        <v/>
      </c>
      <c r="D33" s="3" t="str">
        <f t="shared" si="1"/>
        <v/>
      </c>
    </row>
    <row r="34" spans="1:4" ht="19.5" customHeight="1" x14ac:dyDescent="0.3">
      <c r="A34" s="3" t="str">
        <f t="shared" si="0"/>
        <v/>
      </c>
      <c r="D34" s="3" t="str">
        <f t="shared" si="1"/>
        <v/>
      </c>
    </row>
    <row r="35" spans="1:4" ht="19.5" customHeight="1" x14ac:dyDescent="0.3">
      <c r="A35" s="3" t="str">
        <f t="shared" si="0"/>
        <v/>
      </c>
      <c r="D35" s="3" t="str">
        <f t="shared" si="1"/>
        <v/>
      </c>
    </row>
    <row r="36" spans="1:4" ht="19.5" customHeight="1" x14ac:dyDescent="0.3">
      <c r="D36" s="3" t="str">
        <f t="shared" si="1"/>
        <v/>
      </c>
    </row>
    <row r="37" spans="1:4" ht="19.5" customHeight="1" x14ac:dyDescent="0.3">
      <c r="D37" s="3" t="str">
        <f t="shared" si="1"/>
        <v/>
      </c>
    </row>
    <row r="38" spans="1:4" ht="19.5" customHeight="1" x14ac:dyDescent="0.3">
      <c r="D38" s="3" t="str">
        <f t="shared" si="1"/>
        <v/>
      </c>
    </row>
    <row r="39" spans="1:4" ht="19.5" customHeight="1" x14ac:dyDescent="0.3">
      <c r="D39" s="3" t="str">
        <f t="shared" si="1"/>
        <v/>
      </c>
    </row>
    <row r="40" spans="1:4" ht="19.5" customHeight="1" x14ac:dyDescent="0.3">
      <c r="D40" s="3" t="str">
        <f t="shared" si="1"/>
        <v/>
      </c>
    </row>
    <row r="41" spans="1:4" ht="19.5" customHeight="1" x14ac:dyDescent="0.3">
      <c r="D41" s="3" t="str">
        <f t="shared" si="1"/>
        <v/>
      </c>
    </row>
    <row r="42" spans="1:4" ht="19.5" customHeight="1" x14ac:dyDescent="0.3">
      <c r="D42" s="3" t="str">
        <f t="shared" si="1"/>
        <v/>
      </c>
    </row>
    <row r="43" spans="1:4" ht="19.5" customHeight="1" x14ac:dyDescent="0.3">
      <c r="D43" s="3" t="str">
        <f t="shared" si="1"/>
        <v/>
      </c>
    </row>
    <row r="44" spans="1:4" ht="19.5" customHeight="1" x14ac:dyDescent="0.3">
      <c r="D44" s="3" t="str">
        <f t="shared" si="1"/>
        <v/>
      </c>
    </row>
    <row r="45" spans="1:4" ht="19.5" customHeight="1" x14ac:dyDescent="0.3">
      <c r="D45" s="3" t="str">
        <f t="shared" si="1"/>
        <v/>
      </c>
    </row>
    <row r="46" spans="1:4" ht="19.5" customHeight="1" x14ac:dyDescent="0.3">
      <c r="D46" s="3" t="str">
        <f t="shared" si="1"/>
        <v/>
      </c>
    </row>
    <row r="47" spans="1:4" ht="19.5" customHeight="1" x14ac:dyDescent="0.3">
      <c r="D47" s="3" t="str">
        <f t="shared" si="1"/>
        <v/>
      </c>
    </row>
    <row r="48" spans="1:4" ht="19.5" customHeight="1" x14ac:dyDescent="0.3">
      <c r="D48" s="3" t="str">
        <f t="shared" si="1"/>
        <v/>
      </c>
    </row>
    <row r="49" spans="4:4" ht="19.5" customHeight="1" x14ac:dyDescent="0.3">
      <c r="D49" s="3" t="str">
        <f t="shared" si="1"/>
        <v/>
      </c>
    </row>
    <row r="50" spans="4:4" ht="19.5" customHeight="1" x14ac:dyDescent="0.3">
      <c r="D50" s="3" t="str">
        <f t="shared" si="1"/>
        <v/>
      </c>
    </row>
    <row r="51" spans="4:4" ht="19.5" customHeight="1" x14ac:dyDescent="0.3">
      <c r="D51" s="3" t="str">
        <f t="shared" si="1"/>
        <v/>
      </c>
    </row>
    <row r="52" spans="4:4" ht="19.5" customHeight="1" x14ac:dyDescent="0.3">
      <c r="D52" s="3" t="str">
        <f t="shared" si="1"/>
        <v/>
      </c>
    </row>
    <row r="53" spans="4:4" ht="19.5" customHeight="1" x14ac:dyDescent="0.3">
      <c r="D53" s="3" t="str">
        <f t="shared" si="1"/>
        <v/>
      </c>
    </row>
    <row r="54" spans="4:4" ht="19.5" customHeight="1" x14ac:dyDescent="0.3">
      <c r="D54" s="3" t="str">
        <f t="shared" si="1"/>
        <v/>
      </c>
    </row>
    <row r="55" spans="4:4" ht="19.5" customHeight="1" x14ac:dyDescent="0.3">
      <c r="D55" s="3" t="str">
        <f t="shared" si="1"/>
        <v/>
      </c>
    </row>
    <row r="56" spans="4:4" ht="19.5" customHeight="1" x14ac:dyDescent="0.3">
      <c r="D56" s="3" t="str">
        <f t="shared" si="1"/>
        <v/>
      </c>
    </row>
    <row r="57" spans="4:4" ht="19.5" customHeight="1" x14ac:dyDescent="0.3">
      <c r="D57" s="3" t="str">
        <f t="shared" si="1"/>
        <v/>
      </c>
    </row>
    <row r="58" spans="4:4" ht="19.5" customHeight="1" x14ac:dyDescent="0.3">
      <c r="D58" s="3" t="str">
        <f t="shared" si="1"/>
        <v/>
      </c>
    </row>
    <row r="59" spans="4:4" ht="19.5" customHeight="1" x14ac:dyDescent="0.3">
      <c r="D59" s="3" t="str">
        <f t="shared" si="1"/>
        <v/>
      </c>
    </row>
    <row r="60" spans="4:4" ht="19.5" customHeight="1" x14ac:dyDescent="0.3">
      <c r="D60" s="3" t="str">
        <f t="shared" si="1"/>
        <v/>
      </c>
    </row>
    <row r="61" spans="4:4" ht="19.5" customHeight="1" x14ac:dyDescent="0.3">
      <c r="D61" s="3" t="str">
        <f t="shared" si="1"/>
        <v/>
      </c>
    </row>
    <row r="62" spans="4:4" ht="19.5" customHeight="1" x14ac:dyDescent="0.3">
      <c r="D62" s="3" t="str">
        <f t="shared" si="1"/>
        <v/>
      </c>
    </row>
    <row r="63" spans="4:4" ht="19.5" customHeight="1" x14ac:dyDescent="0.3">
      <c r="D63" s="3" t="str">
        <f t="shared" si="1"/>
        <v/>
      </c>
    </row>
    <row r="64" spans="4:4" ht="19.5" customHeight="1" x14ac:dyDescent="0.3">
      <c r="D64" s="3" t="str">
        <f t="shared" si="1"/>
        <v/>
      </c>
    </row>
    <row r="65" spans="4:4" ht="19.5" customHeight="1" x14ac:dyDescent="0.3">
      <c r="D65" s="3" t="str">
        <f t="shared" si="1"/>
        <v/>
      </c>
    </row>
    <row r="66" spans="4:4" ht="19.5" customHeight="1" x14ac:dyDescent="0.3">
      <c r="D66" s="3" t="str">
        <f t="shared" si="1"/>
        <v/>
      </c>
    </row>
    <row r="67" spans="4:4" ht="19.5" customHeight="1" x14ac:dyDescent="0.3">
      <c r="D67" s="3" t="str">
        <f t="shared" ref="D67:D130" si="2">IF(A67&lt;&gt;"",$E$1&amp;A67&amp;$F$1&amp;B67&amp;$G$1&amp;C67&amp;$H$1,"")</f>
        <v/>
      </c>
    </row>
    <row r="68" spans="4:4" ht="19.5" customHeight="1" x14ac:dyDescent="0.3">
      <c r="D68" s="3" t="str">
        <f t="shared" si="2"/>
        <v/>
      </c>
    </row>
    <row r="69" spans="4:4" ht="19.5" customHeight="1" x14ac:dyDescent="0.3">
      <c r="D69" s="3" t="str">
        <f t="shared" si="2"/>
        <v/>
      </c>
    </row>
    <row r="70" spans="4:4" ht="19.5" customHeight="1" x14ac:dyDescent="0.3">
      <c r="D70" s="3" t="str">
        <f t="shared" si="2"/>
        <v/>
      </c>
    </row>
    <row r="71" spans="4:4" ht="19.5" customHeight="1" x14ac:dyDescent="0.3">
      <c r="D71" s="3" t="str">
        <f t="shared" si="2"/>
        <v/>
      </c>
    </row>
    <row r="72" spans="4:4" ht="19.5" customHeight="1" x14ac:dyDescent="0.3">
      <c r="D72" s="3" t="str">
        <f t="shared" si="2"/>
        <v/>
      </c>
    </row>
    <row r="73" spans="4:4" ht="19.5" customHeight="1" x14ac:dyDescent="0.3">
      <c r="D73" s="3" t="str">
        <f t="shared" si="2"/>
        <v/>
      </c>
    </row>
    <row r="74" spans="4:4" ht="19.5" customHeight="1" x14ac:dyDescent="0.3">
      <c r="D74" s="3" t="str">
        <f t="shared" si="2"/>
        <v/>
      </c>
    </row>
    <row r="75" spans="4:4" ht="19.5" customHeight="1" x14ac:dyDescent="0.3">
      <c r="D75" s="3" t="str">
        <f t="shared" si="2"/>
        <v/>
      </c>
    </row>
    <row r="76" spans="4:4" ht="19.5" customHeight="1" x14ac:dyDescent="0.3">
      <c r="D76" s="3" t="str">
        <f t="shared" si="2"/>
        <v/>
      </c>
    </row>
    <row r="77" spans="4:4" ht="19.5" customHeight="1" x14ac:dyDescent="0.3">
      <c r="D77" s="3" t="str">
        <f t="shared" si="2"/>
        <v/>
      </c>
    </row>
    <row r="78" spans="4:4" ht="19.5" customHeight="1" x14ac:dyDescent="0.3">
      <c r="D78" s="3" t="str">
        <f t="shared" si="2"/>
        <v/>
      </c>
    </row>
    <row r="79" spans="4:4" ht="19.5" customHeight="1" x14ac:dyDescent="0.3">
      <c r="D79" s="3" t="str">
        <f t="shared" si="2"/>
        <v/>
      </c>
    </row>
    <row r="80" spans="4:4" ht="19.5" customHeight="1" x14ac:dyDescent="0.3">
      <c r="D80" s="3" t="str">
        <f t="shared" si="2"/>
        <v/>
      </c>
    </row>
    <row r="81" spans="4:4" ht="19.5" customHeight="1" x14ac:dyDescent="0.3">
      <c r="D81" s="3" t="str">
        <f t="shared" si="2"/>
        <v/>
      </c>
    </row>
    <row r="82" spans="4:4" ht="19.5" customHeight="1" x14ac:dyDescent="0.3">
      <c r="D82" s="3" t="str">
        <f t="shared" si="2"/>
        <v/>
      </c>
    </row>
    <row r="83" spans="4:4" ht="19.5" customHeight="1" x14ac:dyDescent="0.3">
      <c r="D83" s="3" t="str">
        <f t="shared" si="2"/>
        <v/>
      </c>
    </row>
    <row r="84" spans="4:4" ht="19.5" customHeight="1" x14ac:dyDescent="0.3">
      <c r="D84" s="3" t="str">
        <f t="shared" si="2"/>
        <v/>
      </c>
    </row>
    <row r="85" spans="4:4" ht="19.5" customHeight="1" x14ac:dyDescent="0.3">
      <c r="D85" s="3" t="str">
        <f t="shared" si="2"/>
        <v/>
      </c>
    </row>
    <row r="86" spans="4:4" ht="19.5" customHeight="1" x14ac:dyDescent="0.3">
      <c r="D86" s="3" t="str">
        <f t="shared" si="2"/>
        <v/>
      </c>
    </row>
    <row r="87" spans="4:4" ht="19.5" customHeight="1" x14ac:dyDescent="0.3">
      <c r="D87" s="3" t="str">
        <f t="shared" si="2"/>
        <v/>
      </c>
    </row>
    <row r="88" spans="4:4" ht="19.5" customHeight="1" x14ac:dyDescent="0.3">
      <c r="D88" s="3" t="str">
        <f t="shared" si="2"/>
        <v/>
      </c>
    </row>
    <row r="89" spans="4:4" ht="19.5" customHeight="1" x14ac:dyDescent="0.3">
      <c r="D89" s="3" t="str">
        <f t="shared" si="2"/>
        <v/>
      </c>
    </row>
    <row r="90" spans="4:4" ht="19.5" customHeight="1" x14ac:dyDescent="0.3">
      <c r="D90" s="3" t="str">
        <f t="shared" si="2"/>
        <v/>
      </c>
    </row>
    <row r="91" spans="4:4" ht="19.5" customHeight="1" x14ac:dyDescent="0.3">
      <c r="D91" s="3" t="str">
        <f t="shared" si="2"/>
        <v/>
      </c>
    </row>
    <row r="92" spans="4:4" ht="19.5" customHeight="1" x14ac:dyDescent="0.3">
      <c r="D92" s="3" t="str">
        <f t="shared" si="2"/>
        <v/>
      </c>
    </row>
    <row r="93" spans="4:4" ht="19.5" customHeight="1" x14ac:dyDescent="0.3">
      <c r="D93" s="3" t="str">
        <f t="shared" si="2"/>
        <v/>
      </c>
    </row>
    <row r="94" spans="4:4" ht="19.5" customHeight="1" x14ac:dyDescent="0.3">
      <c r="D94" s="3" t="str">
        <f t="shared" si="2"/>
        <v/>
      </c>
    </row>
    <row r="95" spans="4:4" ht="19.5" customHeight="1" x14ac:dyDescent="0.3">
      <c r="D95" s="3" t="str">
        <f t="shared" si="2"/>
        <v/>
      </c>
    </row>
    <row r="96" spans="4:4" ht="19.5" customHeight="1" x14ac:dyDescent="0.3">
      <c r="D96" s="3" t="str">
        <f t="shared" si="2"/>
        <v/>
      </c>
    </row>
    <row r="97" spans="4:4" ht="19.5" customHeight="1" x14ac:dyDescent="0.3">
      <c r="D97" s="3" t="str">
        <f t="shared" si="2"/>
        <v/>
      </c>
    </row>
    <row r="98" spans="4:4" ht="19.5" customHeight="1" x14ac:dyDescent="0.3">
      <c r="D98" s="3" t="str">
        <f t="shared" si="2"/>
        <v/>
      </c>
    </row>
    <row r="99" spans="4:4" ht="19.5" customHeight="1" x14ac:dyDescent="0.3">
      <c r="D99" s="3" t="str">
        <f t="shared" si="2"/>
        <v/>
      </c>
    </row>
    <row r="100" spans="4:4" ht="19.5" customHeight="1" x14ac:dyDescent="0.3">
      <c r="D100" s="3" t="str">
        <f t="shared" si="2"/>
        <v/>
      </c>
    </row>
    <row r="101" spans="4:4" ht="19.5" customHeight="1" x14ac:dyDescent="0.3">
      <c r="D101" s="3" t="str">
        <f t="shared" si="2"/>
        <v/>
      </c>
    </row>
    <row r="102" spans="4:4" ht="19.5" customHeight="1" x14ac:dyDescent="0.3">
      <c r="D102" s="3" t="str">
        <f t="shared" si="2"/>
        <v/>
      </c>
    </row>
    <row r="103" spans="4:4" ht="19.5" customHeight="1" x14ac:dyDescent="0.3">
      <c r="D103" s="3" t="str">
        <f t="shared" si="2"/>
        <v/>
      </c>
    </row>
    <row r="104" spans="4:4" ht="19.5" customHeight="1" x14ac:dyDescent="0.3">
      <c r="D104" s="3" t="str">
        <f t="shared" si="2"/>
        <v/>
      </c>
    </row>
    <row r="105" spans="4:4" ht="19.5" customHeight="1" x14ac:dyDescent="0.3">
      <c r="D105" s="3" t="str">
        <f t="shared" si="2"/>
        <v/>
      </c>
    </row>
    <row r="106" spans="4:4" ht="19.5" customHeight="1" x14ac:dyDescent="0.3">
      <c r="D106" s="3" t="str">
        <f t="shared" si="2"/>
        <v/>
      </c>
    </row>
    <row r="107" spans="4:4" ht="19.5" customHeight="1" x14ac:dyDescent="0.3">
      <c r="D107" s="3" t="str">
        <f t="shared" si="2"/>
        <v/>
      </c>
    </row>
    <row r="108" spans="4:4" ht="19.5" customHeight="1" x14ac:dyDescent="0.3">
      <c r="D108" s="3" t="str">
        <f t="shared" si="2"/>
        <v/>
      </c>
    </row>
    <row r="109" spans="4:4" ht="19.5" customHeight="1" x14ac:dyDescent="0.3">
      <c r="D109" s="3" t="str">
        <f t="shared" si="2"/>
        <v/>
      </c>
    </row>
    <row r="110" spans="4:4" ht="19.5" customHeight="1" x14ac:dyDescent="0.3">
      <c r="D110" s="3" t="str">
        <f t="shared" si="2"/>
        <v/>
      </c>
    </row>
    <row r="111" spans="4:4" ht="19.5" customHeight="1" x14ac:dyDescent="0.3">
      <c r="D111" s="3" t="str">
        <f t="shared" si="2"/>
        <v/>
      </c>
    </row>
    <row r="112" spans="4:4" ht="19.5" customHeight="1" x14ac:dyDescent="0.3">
      <c r="D112" s="3" t="str">
        <f t="shared" si="2"/>
        <v/>
      </c>
    </row>
    <row r="113" spans="4:4" ht="19.5" customHeight="1" x14ac:dyDescent="0.3">
      <c r="D113" s="3" t="str">
        <f t="shared" si="2"/>
        <v/>
      </c>
    </row>
    <row r="114" spans="4:4" ht="19.5" customHeight="1" x14ac:dyDescent="0.3">
      <c r="D114" s="3" t="str">
        <f t="shared" si="2"/>
        <v/>
      </c>
    </row>
    <row r="115" spans="4:4" ht="19.5" customHeight="1" x14ac:dyDescent="0.3">
      <c r="D115" s="3" t="str">
        <f t="shared" si="2"/>
        <v/>
      </c>
    </row>
    <row r="116" spans="4:4" ht="19.5" customHeight="1" x14ac:dyDescent="0.3">
      <c r="D116" s="3" t="str">
        <f t="shared" si="2"/>
        <v/>
      </c>
    </row>
    <row r="117" spans="4:4" ht="19.5" customHeight="1" x14ac:dyDescent="0.3">
      <c r="D117" s="3" t="str">
        <f t="shared" si="2"/>
        <v/>
      </c>
    </row>
    <row r="118" spans="4:4" ht="19.5" customHeight="1" x14ac:dyDescent="0.3">
      <c r="D118" s="3" t="str">
        <f t="shared" si="2"/>
        <v/>
      </c>
    </row>
    <row r="119" spans="4:4" ht="19.5" customHeight="1" x14ac:dyDescent="0.3">
      <c r="D119" s="3" t="str">
        <f t="shared" si="2"/>
        <v/>
      </c>
    </row>
    <row r="120" spans="4:4" ht="19.5" customHeight="1" x14ac:dyDescent="0.3">
      <c r="D120" s="3" t="str">
        <f t="shared" si="2"/>
        <v/>
      </c>
    </row>
    <row r="121" spans="4:4" ht="19.5" customHeight="1" x14ac:dyDescent="0.3">
      <c r="D121" s="3" t="str">
        <f t="shared" si="2"/>
        <v/>
      </c>
    </row>
    <row r="122" spans="4:4" ht="19.5" customHeight="1" x14ac:dyDescent="0.3">
      <c r="D122" s="3" t="str">
        <f t="shared" si="2"/>
        <v/>
      </c>
    </row>
    <row r="123" spans="4:4" ht="19.5" customHeight="1" x14ac:dyDescent="0.3">
      <c r="D123" s="3" t="str">
        <f t="shared" si="2"/>
        <v/>
      </c>
    </row>
    <row r="124" spans="4:4" ht="19.5" customHeight="1" x14ac:dyDescent="0.3">
      <c r="D124" s="3" t="str">
        <f t="shared" si="2"/>
        <v/>
      </c>
    </row>
    <row r="125" spans="4:4" ht="19.5" customHeight="1" x14ac:dyDescent="0.3">
      <c r="D125" s="3" t="str">
        <f t="shared" si="2"/>
        <v/>
      </c>
    </row>
    <row r="126" spans="4:4" ht="19.5" customHeight="1" x14ac:dyDescent="0.3">
      <c r="D126" s="3" t="str">
        <f t="shared" si="2"/>
        <v/>
      </c>
    </row>
    <row r="127" spans="4:4" ht="19.5" customHeight="1" x14ac:dyDescent="0.3">
      <c r="D127" s="3" t="str">
        <f t="shared" si="2"/>
        <v/>
      </c>
    </row>
    <row r="128" spans="4:4" ht="19.5" customHeight="1" x14ac:dyDescent="0.3">
      <c r="D128" s="3" t="str">
        <f t="shared" si="2"/>
        <v/>
      </c>
    </row>
    <row r="129" spans="4:4" ht="19.5" customHeight="1" x14ac:dyDescent="0.3">
      <c r="D129" s="3" t="str">
        <f t="shared" si="2"/>
        <v/>
      </c>
    </row>
    <row r="130" spans="4:4" ht="19.5" customHeight="1" x14ac:dyDescent="0.3">
      <c r="D130" s="3" t="str">
        <f t="shared" si="2"/>
        <v/>
      </c>
    </row>
    <row r="131" spans="4:4" ht="19.5" customHeight="1" x14ac:dyDescent="0.3">
      <c r="D131" s="3" t="str">
        <f t="shared" ref="D131:D194" si="3">IF(A131&lt;&gt;"",$E$1&amp;A131&amp;$F$1&amp;B131&amp;$G$1&amp;C131&amp;$H$1,"")</f>
        <v/>
      </c>
    </row>
    <row r="132" spans="4:4" ht="19.5" customHeight="1" x14ac:dyDescent="0.3">
      <c r="D132" s="3" t="str">
        <f t="shared" si="3"/>
        <v/>
      </c>
    </row>
    <row r="133" spans="4:4" ht="19.5" customHeight="1" x14ac:dyDescent="0.3">
      <c r="D133" s="3" t="str">
        <f t="shared" si="3"/>
        <v/>
      </c>
    </row>
    <row r="134" spans="4:4" ht="19.5" customHeight="1" x14ac:dyDescent="0.3">
      <c r="D134" s="3" t="str">
        <f t="shared" si="3"/>
        <v/>
      </c>
    </row>
    <row r="135" spans="4:4" ht="19.5" customHeight="1" x14ac:dyDescent="0.3">
      <c r="D135" s="3" t="str">
        <f t="shared" si="3"/>
        <v/>
      </c>
    </row>
    <row r="136" spans="4:4" ht="19.5" customHeight="1" x14ac:dyDescent="0.3">
      <c r="D136" s="3" t="str">
        <f t="shared" si="3"/>
        <v/>
      </c>
    </row>
    <row r="137" spans="4:4" ht="19.5" customHeight="1" x14ac:dyDescent="0.3">
      <c r="D137" s="3" t="str">
        <f t="shared" si="3"/>
        <v/>
      </c>
    </row>
    <row r="138" spans="4:4" ht="19.5" customHeight="1" x14ac:dyDescent="0.3">
      <c r="D138" s="3" t="str">
        <f t="shared" si="3"/>
        <v/>
      </c>
    </row>
    <row r="139" spans="4:4" ht="19.5" customHeight="1" x14ac:dyDescent="0.3">
      <c r="D139" s="3" t="str">
        <f t="shared" si="3"/>
        <v/>
      </c>
    </row>
    <row r="140" spans="4:4" ht="19.5" customHeight="1" x14ac:dyDescent="0.3">
      <c r="D140" s="3" t="str">
        <f t="shared" si="3"/>
        <v/>
      </c>
    </row>
    <row r="141" spans="4:4" ht="19.5" customHeight="1" x14ac:dyDescent="0.3">
      <c r="D141" s="3" t="str">
        <f t="shared" si="3"/>
        <v/>
      </c>
    </row>
    <row r="142" spans="4:4" ht="19.5" customHeight="1" x14ac:dyDescent="0.3">
      <c r="D142" s="3" t="str">
        <f t="shared" si="3"/>
        <v/>
      </c>
    </row>
    <row r="143" spans="4:4" ht="19.5" customHeight="1" x14ac:dyDescent="0.3">
      <c r="D143" s="3" t="str">
        <f t="shared" si="3"/>
        <v/>
      </c>
    </row>
    <row r="144" spans="4:4" ht="19.5" customHeight="1" x14ac:dyDescent="0.3">
      <c r="D144" s="3" t="str">
        <f t="shared" si="3"/>
        <v/>
      </c>
    </row>
    <row r="145" spans="4:4" ht="19.5" customHeight="1" x14ac:dyDescent="0.3">
      <c r="D145" s="3" t="str">
        <f t="shared" si="3"/>
        <v/>
      </c>
    </row>
    <row r="146" spans="4:4" ht="19.5" customHeight="1" x14ac:dyDescent="0.3">
      <c r="D146" s="3" t="str">
        <f t="shared" si="3"/>
        <v/>
      </c>
    </row>
    <row r="147" spans="4:4" ht="19.5" customHeight="1" x14ac:dyDescent="0.3">
      <c r="D147" s="3" t="str">
        <f t="shared" si="3"/>
        <v/>
      </c>
    </row>
    <row r="148" spans="4:4" ht="19.5" customHeight="1" x14ac:dyDescent="0.3">
      <c r="D148" s="3" t="str">
        <f t="shared" si="3"/>
        <v/>
      </c>
    </row>
    <row r="149" spans="4:4" ht="19.5" customHeight="1" x14ac:dyDescent="0.3">
      <c r="D149" s="3" t="str">
        <f t="shared" si="3"/>
        <v/>
      </c>
    </row>
    <row r="150" spans="4:4" ht="19.5" customHeight="1" x14ac:dyDescent="0.3">
      <c r="D150" s="3" t="str">
        <f t="shared" si="3"/>
        <v/>
      </c>
    </row>
    <row r="151" spans="4:4" ht="19.5" customHeight="1" x14ac:dyDescent="0.3">
      <c r="D151" s="3" t="str">
        <f t="shared" si="3"/>
        <v/>
      </c>
    </row>
    <row r="152" spans="4:4" ht="19.5" customHeight="1" x14ac:dyDescent="0.3">
      <c r="D152" s="3" t="str">
        <f t="shared" si="3"/>
        <v/>
      </c>
    </row>
    <row r="153" spans="4:4" ht="19.5" customHeight="1" x14ac:dyDescent="0.3">
      <c r="D153" s="3" t="str">
        <f t="shared" si="3"/>
        <v/>
      </c>
    </row>
    <row r="154" spans="4:4" ht="19.5" customHeight="1" x14ac:dyDescent="0.3">
      <c r="D154" s="3" t="str">
        <f t="shared" si="3"/>
        <v/>
      </c>
    </row>
    <row r="155" spans="4:4" ht="19.5" customHeight="1" x14ac:dyDescent="0.3">
      <c r="D155" s="3" t="str">
        <f t="shared" si="3"/>
        <v/>
      </c>
    </row>
    <row r="156" spans="4:4" ht="19.5" customHeight="1" x14ac:dyDescent="0.3">
      <c r="D156" s="3" t="str">
        <f t="shared" si="3"/>
        <v/>
      </c>
    </row>
    <row r="157" spans="4:4" ht="19.5" customHeight="1" x14ac:dyDescent="0.3">
      <c r="D157" s="3" t="str">
        <f t="shared" si="3"/>
        <v/>
      </c>
    </row>
    <row r="158" spans="4:4" ht="19.5" customHeight="1" x14ac:dyDescent="0.3">
      <c r="D158" s="3" t="str">
        <f t="shared" si="3"/>
        <v/>
      </c>
    </row>
    <row r="159" spans="4:4" ht="19.5" customHeight="1" x14ac:dyDescent="0.3">
      <c r="D159" s="3" t="str">
        <f t="shared" si="3"/>
        <v/>
      </c>
    </row>
    <row r="160" spans="4:4" ht="19.5" customHeight="1" x14ac:dyDescent="0.3">
      <c r="D160" s="3" t="str">
        <f t="shared" si="3"/>
        <v/>
      </c>
    </row>
    <row r="161" spans="4:4" ht="19.5" customHeight="1" x14ac:dyDescent="0.3">
      <c r="D161" s="3" t="str">
        <f t="shared" si="3"/>
        <v/>
      </c>
    </row>
    <row r="162" spans="4:4" ht="19.5" customHeight="1" x14ac:dyDescent="0.3">
      <c r="D162" s="3" t="str">
        <f t="shared" si="3"/>
        <v/>
      </c>
    </row>
    <row r="163" spans="4:4" ht="19.5" customHeight="1" x14ac:dyDescent="0.3">
      <c r="D163" s="3" t="str">
        <f t="shared" si="3"/>
        <v/>
      </c>
    </row>
    <row r="164" spans="4:4" ht="19.5" customHeight="1" x14ac:dyDescent="0.3">
      <c r="D164" s="3" t="str">
        <f t="shared" si="3"/>
        <v/>
      </c>
    </row>
    <row r="165" spans="4:4" ht="19.5" customHeight="1" x14ac:dyDescent="0.3">
      <c r="D165" s="3" t="str">
        <f t="shared" si="3"/>
        <v/>
      </c>
    </row>
    <row r="166" spans="4:4" ht="19.5" customHeight="1" x14ac:dyDescent="0.3">
      <c r="D166" s="3" t="str">
        <f t="shared" si="3"/>
        <v/>
      </c>
    </row>
    <row r="167" spans="4:4" ht="19.5" customHeight="1" x14ac:dyDescent="0.3">
      <c r="D167" s="3" t="str">
        <f t="shared" si="3"/>
        <v/>
      </c>
    </row>
    <row r="168" spans="4:4" ht="19.5" customHeight="1" x14ac:dyDescent="0.3">
      <c r="D168" s="3" t="str">
        <f t="shared" si="3"/>
        <v/>
      </c>
    </row>
    <row r="169" spans="4:4" ht="19.5" customHeight="1" x14ac:dyDescent="0.3">
      <c r="D169" s="3" t="str">
        <f t="shared" si="3"/>
        <v/>
      </c>
    </row>
    <row r="170" spans="4:4" ht="19.5" customHeight="1" x14ac:dyDescent="0.3">
      <c r="D170" s="3" t="str">
        <f t="shared" si="3"/>
        <v/>
      </c>
    </row>
    <row r="171" spans="4:4" ht="19.5" customHeight="1" x14ac:dyDescent="0.3">
      <c r="D171" s="3" t="str">
        <f t="shared" si="3"/>
        <v/>
      </c>
    </row>
    <row r="172" spans="4:4" ht="19.5" customHeight="1" x14ac:dyDescent="0.3">
      <c r="D172" s="3" t="str">
        <f t="shared" si="3"/>
        <v/>
      </c>
    </row>
    <row r="173" spans="4:4" ht="19.5" customHeight="1" x14ac:dyDescent="0.3">
      <c r="D173" s="3" t="str">
        <f t="shared" si="3"/>
        <v/>
      </c>
    </row>
    <row r="174" spans="4:4" ht="19.5" customHeight="1" x14ac:dyDescent="0.3">
      <c r="D174" s="3" t="str">
        <f t="shared" si="3"/>
        <v/>
      </c>
    </row>
    <row r="175" spans="4:4" ht="19.5" customHeight="1" x14ac:dyDescent="0.3">
      <c r="D175" s="3" t="str">
        <f t="shared" si="3"/>
        <v/>
      </c>
    </row>
    <row r="176" spans="4:4" ht="19.5" customHeight="1" x14ac:dyDescent="0.3">
      <c r="D176" s="3" t="str">
        <f t="shared" si="3"/>
        <v/>
      </c>
    </row>
    <row r="177" spans="4:4" ht="19.5" customHeight="1" x14ac:dyDescent="0.3">
      <c r="D177" s="3" t="str">
        <f t="shared" si="3"/>
        <v/>
      </c>
    </row>
    <row r="178" spans="4:4" ht="19.5" customHeight="1" x14ac:dyDescent="0.3">
      <c r="D178" s="3" t="str">
        <f t="shared" si="3"/>
        <v/>
      </c>
    </row>
    <row r="179" spans="4:4" ht="19.5" customHeight="1" x14ac:dyDescent="0.3">
      <c r="D179" s="3" t="str">
        <f t="shared" si="3"/>
        <v/>
      </c>
    </row>
    <row r="180" spans="4:4" ht="19.5" customHeight="1" x14ac:dyDescent="0.3">
      <c r="D180" s="3" t="str">
        <f t="shared" si="3"/>
        <v/>
      </c>
    </row>
    <row r="181" spans="4:4" ht="19.5" customHeight="1" x14ac:dyDescent="0.3">
      <c r="D181" s="3" t="str">
        <f t="shared" si="3"/>
        <v/>
      </c>
    </row>
    <row r="182" spans="4:4" ht="19.5" customHeight="1" x14ac:dyDescent="0.3">
      <c r="D182" s="3" t="str">
        <f t="shared" si="3"/>
        <v/>
      </c>
    </row>
    <row r="183" spans="4:4" ht="19.5" customHeight="1" x14ac:dyDescent="0.3">
      <c r="D183" s="3" t="str">
        <f t="shared" si="3"/>
        <v/>
      </c>
    </row>
    <row r="184" spans="4:4" ht="19.5" customHeight="1" x14ac:dyDescent="0.3">
      <c r="D184" s="3" t="str">
        <f t="shared" si="3"/>
        <v/>
      </c>
    </row>
    <row r="185" spans="4:4" ht="19.5" customHeight="1" x14ac:dyDescent="0.3">
      <c r="D185" s="3" t="str">
        <f t="shared" si="3"/>
        <v/>
      </c>
    </row>
    <row r="186" spans="4:4" ht="19.5" customHeight="1" x14ac:dyDescent="0.3">
      <c r="D186" s="3" t="str">
        <f t="shared" si="3"/>
        <v/>
      </c>
    </row>
    <row r="187" spans="4:4" ht="19.5" customHeight="1" x14ac:dyDescent="0.3">
      <c r="D187" s="3" t="str">
        <f t="shared" si="3"/>
        <v/>
      </c>
    </row>
    <row r="188" spans="4:4" ht="19.5" customHeight="1" x14ac:dyDescent="0.3">
      <c r="D188" s="3" t="str">
        <f t="shared" si="3"/>
        <v/>
      </c>
    </row>
    <row r="189" spans="4:4" ht="19.5" customHeight="1" x14ac:dyDescent="0.3">
      <c r="D189" s="3" t="str">
        <f t="shared" si="3"/>
        <v/>
      </c>
    </row>
    <row r="190" spans="4:4" ht="19.5" customHeight="1" x14ac:dyDescent="0.3">
      <c r="D190" s="3" t="str">
        <f t="shared" si="3"/>
        <v/>
      </c>
    </row>
    <row r="191" spans="4:4" ht="19.5" customHeight="1" x14ac:dyDescent="0.3">
      <c r="D191" s="3" t="str">
        <f t="shared" si="3"/>
        <v/>
      </c>
    </row>
    <row r="192" spans="4:4" ht="19.5" customHeight="1" x14ac:dyDescent="0.3">
      <c r="D192" s="3" t="str">
        <f t="shared" si="3"/>
        <v/>
      </c>
    </row>
    <row r="193" spans="4:4" ht="19.5" customHeight="1" x14ac:dyDescent="0.3">
      <c r="D193" s="3" t="str">
        <f t="shared" si="3"/>
        <v/>
      </c>
    </row>
    <row r="194" spans="4:4" ht="19.5" customHeight="1" x14ac:dyDescent="0.3">
      <c r="D194" s="3" t="str">
        <f t="shared" si="3"/>
        <v/>
      </c>
    </row>
    <row r="195" spans="4:4" ht="19.5" customHeight="1" x14ac:dyDescent="0.3">
      <c r="D195" s="3" t="str">
        <f t="shared" ref="D195:D258" si="4">IF(A195&lt;&gt;"",$E$1&amp;A195&amp;$F$1&amp;B195&amp;$G$1&amp;C195&amp;$H$1,"")</f>
        <v/>
      </c>
    </row>
    <row r="196" spans="4:4" ht="19.5" customHeight="1" x14ac:dyDescent="0.3">
      <c r="D196" s="3" t="str">
        <f t="shared" si="4"/>
        <v/>
      </c>
    </row>
    <row r="197" spans="4:4" ht="19.5" customHeight="1" x14ac:dyDescent="0.3">
      <c r="D197" s="3" t="str">
        <f t="shared" si="4"/>
        <v/>
      </c>
    </row>
    <row r="198" spans="4:4" ht="19.5" customHeight="1" x14ac:dyDescent="0.3">
      <c r="D198" s="3" t="str">
        <f t="shared" si="4"/>
        <v/>
      </c>
    </row>
    <row r="199" spans="4:4" ht="19.5" customHeight="1" x14ac:dyDescent="0.3">
      <c r="D199" s="3" t="str">
        <f t="shared" si="4"/>
        <v/>
      </c>
    </row>
    <row r="200" spans="4:4" ht="19.5" customHeight="1" x14ac:dyDescent="0.3">
      <c r="D200" s="3" t="str">
        <f t="shared" si="4"/>
        <v/>
      </c>
    </row>
    <row r="201" spans="4:4" ht="19.5" customHeight="1" x14ac:dyDescent="0.3">
      <c r="D201" s="3" t="str">
        <f t="shared" si="4"/>
        <v/>
      </c>
    </row>
    <row r="202" spans="4:4" ht="19.5" customHeight="1" x14ac:dyDescent="0.3">
      <c r="D202" s="3" t="str">
        <f t="shared" si="4"/>
        <v/>
      </c>
    </row>
    <row r="203" spans="4:4" ht="19.5" customHeight="1" x14ac:dyDescent="0.3">
      <c r="D203" s="3" t="str">
        <f t="shared" si="4"/>
        <v/>
      </c>
    </row>
    <row r="204" spans="4:4" ht="19.5" customHeight="1" x14ac:dyDescent="0.3">
      <c r="D204" s="3" t="str">
        <f t="shared" si="4"/>
        <v/>
      </c>
    </row>
    <row r="205" spans="4:4" ht="19.5" customHeight="1" x14ac:dyDescent="0.3">
      <c r="D205" s="3" t="str">
        <f t="shared" si="4"/>
        <v/>
      </c>
    </row>
    <row r="206" spans="4:4" ht="19.5" customHeight="1" x14ac:dyDescent="0.3">
      <c r="D206" s="3" t="str">
        <f t="shared" si="4"/>
        <v/>
      </c>
    </row>
    <row r="207" spans="4:4" ht="19.5" customHeight="1" x14ac:dyDescent="0.3">
      <c r="D207" s="3" t="str">
        <f t="shared" si="4"/>
        <v/>
      </c>
    </row>
    <row r="208" spans="4:4" ht="19.5" customHeight="1" x14ac:dyDescent="0.3">
      <c r="D208" s="3" t="str">
        <f t="shared" si="4"/>
        <v/>
      </c>
    </row>
    <row r="209" spans="4:4" ht="19.5" customHeight="1" x14ac:dyDescent="0.3">
      <c r="D209" s="3" t="str">
        <f t="shared" si="4"/>
        <v/>
      </c>
    </row>
    <row r="210" spans="4:4" ht="19.5" customHeight="1" x14ac:dyDescent="0.3">
      <c r="D210" s="3" t="str">
        <f t="shared" si="4"/>
        <v/>
      </c>
    </row>
    <row r="211" spans="4:4" ht="19.5" customHeight="1" x14ac:dyDescent="0.3">
      <c r="D211" s="3" t="str">
        <f t="shared" si="4"/>
        <v/>
      </c>
    </row>
    <row r="212" spans="4:4" ht="19.5" customHeight="1" x14ac:dyDescent="0.3">
      <c r="D212" s="3" t="str">
        <f t="shared" si="4"/>
        <v/>
      </c>
    </row>
    <row r="213" spans="4:4" ht="19.5" customHeight="1" x14ac:dyDescent="0.3">
      <c r="D213" s="3" t="str">
        <f t="shared" si="4"/>
        <v/>
      </c>
    </row>
    <row r="214" spans="4:4" ht="19.5" customHeight="1" x14ac:dyDescent="0.3">
      <c r="D214" s="3" t="str">
        <f t="shared" si="4"/>
        <v/>
      </c>
    </row>
    <row r="215" spans="4:4" ht="19.5" customHeight="1" x14ac:dyDescent="0.3">
      <c r="D215" s="3" t="str">
        <f t="shared" si="4"/>
        <v/>
      </c>
    </row>
    <row r="216" spans="4:4" ht="19.5" customHeight="1" x14ac:dyDescent="0.3">
      <c r="D216" s="3" t="str">
        <f t="shared" si="4"/>
        <v/>
      </c>
    </row>
    <row r="217" spans="4:4" ht="19.5" customHeight="1" x14ac:dyDescent="0.3">
      <c r="D217" s="3" t="str">
        <f t="shared" si="4"/>
        <v/>
      </c>
    </row>
    <row r="218" spans="4:4" ht="19.5" customHeight="1" x14ac:dyDescent="0.3">
      <c r="D218" s="3" t="str">
        <f t="shared" si="4"/>
        <v/>
      </c>
    </row>
    <row r="219" spans="4:4" ht="19.5" customHeight="1" x14ac:dyDescent="0.3">
      <c r="D219" s="3" t="str">
        <f t="shared" si="4"/>
        <v/>
      </c>
    </row>
    <row r="220" spans="4:4" ht="19.5" customHeight="1" x14ac:dyDescent="0.3">
      <c r="D220" s="3" t="str">
        <f t="shared" si="4"/>
        <v/>
      </c>
    </row>
    <row r="221" spans="4:4" ht="19.5" customHeight="1" x14ac:dyDescent="0.3">
      <c r="D221" s="3" t="str">
        <f t="shared" si="4"/>
        <v/>
      </c>
    </row>
    <row r="222" spans="4:4" ht="19.5" customHeight="1" x14ac:dyDescent="0.3">
      <c r="D222" s="3" t="str">
        <f t="shared" si="4"/>
        <v/>
      </c>
    </row>
    <row r="223" spans="4:4" ht="19.5" customHeight="1" x14ac:dyDescent="0.3">
      <c r="D223" s="3" t="str">
        <f t="shared" si="4"/>
        <v/>
      </c>
    </row>
    <row r="224" spans="4:4" ht="19.5" customHeight="1" x14ac:dyDescent="0.3">
      <c r="D224" s="3" t="str">
        <f t="shared" si="4"/>
        <v/>
      </c>
    </row>
    <row r="225" spans="4:4" ht="19.5" customHeight="1" x14ac:dyDescent="0.3">
      <c r="D225" s="3" t="str">
        <f t="shared" si="4"/>
        <v/>
      </c>
    </row>
    <row r="226" spans="4:4" ht="19.5" customHeight="1" x14ac:dyDescent="0.3">
      <c r="D226" s="3" t="str">
        <f t="shared" si="4"/>
        <v/>
      </c>
    </row>
    <row r="227" spans="4:4" ht="19.5" customHeight="1" x14ac:dyDescent="0.3">
      <c r="D227" s="3" t="str">
        <f t="shared" si="4"/>
        <v/>
      </c>
    </row>
    <row r="228" spans="4:4" ht="19.5" customHeight="1" x14ac:dyDescent="0.3">
      <c r="D228" s="3" t="str">
        <f t="shared" si="4"/>
        <v/>
      </c>
    </row>
    <row r="229" spans="4:4" ht="19.5" customHeight="1" x14ac:dyDescent="0.3">
      <c r="D229" s="3" t="str">
        <f t="shared" si="4"/>
        <v/>
      </c>
    </row>
    <row r="230" spans="4:4" ht="19.5" customHeight="1" x14ac:dyDescent="0.3">
      <c r="D230" s="3" t="str">
        <f t="shared" si="4"/>
        <v/>
      </c>
    </row>
    <row r="231" spans="4:4" ht="19.5" customHeight="1" x14ac:dyDescent="0.3">
      <c r="D231" s="3" t="str">
        <f t="shared" si="4"/>
        <v/>
      </c>
    </row>
    <row r="232" spans="4:4" ht="19.5" customHeight="1" x14ac:dyDescent="0.3">
      <c r="D232" s="3" t="str">
        <f t="shared" si="4"/>
        <v/>
      </c>
    </row>
    <row r="233" spans="4:4" ht="19.5" customHeight="1" x14ac:dyDescent="0.3">
      <c r="D233" s="3" t="str">
        <f t="shared" si="4"/>
        <v/>
      </c>
    </row>
    <row r="234" spans="4:4" ht="19.5" customHeight="1" x14ac:dyDescent="0.3">
      <c r="D234" s="3" t="str">
        <f t="shared" si="4"/>
        <v/>
      </c>
    </row>
    <row r="235" spans="4:4" ht="19.5" customHeight="1" x14ac:dyDescent="0.3">
      <c r="D235" s="3" t="str">
        <f t="shared" si="4"/>
        <v/>
      </c>
    </row>
    <row r="236" spans="4:4" ht="19.5" customHeight="1" x14ac:dyDescent="0.3">
      <c r="D236" s="3" t="str">
        <f t="shared" si="4"/>
        <v/>
      </c>
    </row>
    <row r="237" spans="4:4" ht="19.5" customHeight="1" x14ac:dyDescent="0.3">
      <c r="D237" s="3" t="str">
        <f t="shared" si="4"/>
        <v/>
      </c>
    </row>
    <row r="238" spans="4:4" ht="19.5" customHeight="1" x14ac:dyDescent="0.3">
      <c r="D238" s="3" t="str">
        <f t="shared" si="4"/>
        <v/>
      </c>
    </row>
    <row r="239" spans="4:4" ht="19.5" customHeight="1" x14ac:dyDescent="0.3">
      <c r="D239" s="3" t="str">
        <f t="shared" si="4"/>
        <v/>
      </c>
    </row>
    <row r="240" spans="4:4" ht="19.5" customHeight="1" x14ac:dyDescent="0.3">
      <c r="D240" s="3" t="str">
        <f t="shared" si="4"/>
        <v/>
      </c>
    </row>
    <row r="241" spans="4:4" ht="19.5" customHeight="1" x14ac:dyDescent="0.3">
      <c r="D241" s="3" t="str">
        <f t="shared" si="4"/>
        <v/>
      </c>
    </row>
    <row r="242" spans="4:4" ht="19.5" customHeight="1" x14ac:dyDescent="0.3">
      <c r="D242" s="3" t="str">
        <f t="shared" si="4"/>
        <v/>
      </c>
    </row>
    <row r="243" spans="4:4" ht="19.5" customHeight="1" x14ac:dyDescent="0.3">
      <c r="D243" s="3" t="str">
        <f t="shared" si="4"/>
        <v/>
      </c>
    </row>
    <row r="244" spans="4:4" ht="19.5" customHeight="1" x14ac:dyDescent="0.3">
      <c r="D244" s="3" t="str">
        <f t="shared" si="4"/>
        <v/>
      </c>
    </row>
    <row r="245" spans="4:4" ht="19.5" customHeight="1" x14ac:dyDescent="0.3">
      <c r="D245" s="3" t="str">
        <f t="shared" si="4"/>
        <v/>
      </c>
    </row>
    <row r="246" spans="4:4" ht="19.5" customHeight="1" x14ac:dyDescent="0.3">
      <c r="D246" s="3" t="str">
        <f t="shared" si="4"/>
        <v/>
      </c>
    </row>
    <row r="247" spans="4:4" ht="19.5" customHeight="1" x14ac:dyDescent="0.3">
      <c r="D247" s="3" t="str">
        <f t="shared" si="4"/>
        <v/>
      </c>
    </row>
    <row r="248" spans="4:4" ht="19.5" customHeight="1" x14ac:dyDescent="0.3">
      <c r="D248" s="3" t="str">
        <f t="shared" si="4"/>
        <v/>
      </c>
    </row>
    <row r="249" spans="4:4" ht="19.5" customHeight="1" x14ac:dyDescent="0.3">
      <c r="D249" s="3" t="str">
        <f t="shared" si="4"/>
        <v/>
      </c>
    </row>
    <row r="250" spans="4:4" ht="19.5" customHeight="1" x14ac:dyDescent="0.3">
      <c r="D250" s="3" t="str">
        <f t="shared" si="4"/>
        <v/>
      </c>
    </row>
    <row r="251" spans="4:4" ht="19.5" customHeight="1" x14ac:dyDescent="0.3">
      <c r="D251" s="3" t="str">
        <f t="shared" si="4"/>
        <v/>
      </c>
    </row>
    <row r="252" spans="4:4" ht="19.5" customHeight="1" x14ac:dyDescent="0.3">
      <c r="D252" s="3" t="str">
        <f t="shared" si="4"/>
        <v/>
      </c>
    </row>
    <row r="253" spans="4:4" ht="19.5" customHeight="1" x14ac:dyDescent="0.3">
      <c r="D253" s="3" t="str">
        <f t="shared" si="4"/>
        <v/>
      </c>
    </row>
    <row r="254" spans="4:4" ht="19.5" customHeight="1" x14ac:dyDescent="0.3">
      <c r="D254" s="3" t="str">
        <f t="shared" si="4"/>
        <v/>
      </c>
    </row>
    <row r="255" spans="4:4" ht="19.5" customHeight="1" x14ac:dyDescent="0.3">
      <c r="D255" s="3" t="str">
        <f t="shared" si="4"/>
        <v/>
      </c>
    </row>
    <row r="256" spans="4:4" ht="19.5" customHeight="1" x14ac:dyDescent="0.3">
      <c r="D256" s="3" t="str">
        <f t="shared" si="4"/>
        <v/>
      </c>
    </row>
    <row r="257" spans="4:4" ht="19.5" customHeight="1" x14ac:dyDescent="0.3">
      <c r="D257" s="3" t="str">
        <f t="shared" si="4"/>
        <v/>
      </c>
    </row>
    <row r="258" spans="4:4" ht="19.5" customHeight="1" x14ac:dyDescent="0.3">
      <c r="D258" s="3" t="str">
        <f t="shared" si="4"/>
        <v/>
      </c>
    </row>
    <row r="259" spans="4:4" ht="19.5" customHeight="1" x14ac:dyDescent="0.3">
      <c r="D259" s="3" t="str">
        <f t="shared" ref="D259:D322" si="5">IF(A259&lt;&gt;"",$E$1&amp;A259&amp;$F$1&amp;B259&amp;$G$1&amp;C259&amp;$H$1,"")</f>
        <v/>
      </c>
    </row>
    <row r="260" spans="4:4" ht="19.5" customHeight="1" x14ac:dyDescent="0.3">
      <c r="D260" s="3" t="str">
        <f t="shared" si="5"/>
        <v/>
      </c>
    </row>
    <row r="261" spans="4:4" ht="19.5" customHeight="1" x14ac:dyDescent="0.3">
      <c r="D261" s="3" t="str">
        <f t="shared" si="5"/>
        <v/>
      </c>
    </row>
    <row r="262" spans="4:4" ht="19.5" customHeight="1" x14ac:dyDescent="0.3">
      <c r="D262" s="3" t="str">
        <f t="shared" si="5"/>
        <v/>
      </c>
    </row>
    <row r="263" spans="4:4" ht="19.5" customHeight="1" x14ac:dyDescent="0.3">
      <c r="D263" s="3" t="str">
        <f t="shared" si="5"/>
        <v/>
      </c>
    </row>
    <row r="264" spans="4:4" ht="19.5" customHeight="1" x14ac:dyDescent="0.3">
      <c r="D264" s="3" t="str">
        <f t="shared" si="5"/>
        <v/>
      </c>
    </row>
    <row r="265" spans="4:4" ht="19.5" customHeight="1" x14ac:dyDescent="0.3">
      <c r="D265" s="3" t="str">
        <f t="shared" si="5"/>
        <v/>
      </c>
    </row>
    <row r="266" spans="4:4" ht="19.5" customHeight="1" x14ac:dyDescent="0.3">
      <c r="D266" s="3" t="str">
        <f t="shared" si="5"/>
        <v/>
      </c>
    </row>
    <row r="267" spans="4:4" ht="19.5" customHeight="1" x14ac:dyDescent="0.3">
      <c r="D267" s="3" t="str">
        <f t="shared" si="5"/>
        <v/>
      </c>
    </row>
    <row r="268" spans="4:4" ht="19.5" customHeight="1" x14ac:dyDescent="0.3">
      <c r="D268" s="3" t="str">
        <f t="shared" si="5"/>
        <v/>
      </c>
    </row>
    <row r="269" spans="4:4" ht="19.5" customHeight="1" x14ac:dyDescent="0.3">
      <c r="D269" s="3" t="str">
        <f t="shared" si="5"/>
        <v/>
      </c>
    </row>
    <row r="270" spans="4:4" ht="19.5" customHeight="1" x14ac:dyDescent="0.3">
      <c r="D270" s="3" t="str">
        <f t="shared" si="5"/>
        <v/>
      </c>
    </row>
    <row r="271" spans="4:4" ht="19.5" customHeight="1" x14ac:dyDescent="0.3">
      <c r="D271" s="3" t="str">
        <f t="shared" si="5"/>
        <v/>
      </c>
    </row>
    <row r="272" spans="4:4" ht="19.5" customHeight="1" x14ac:dyDescent="0.3">
      <c r="D272" s="3" t="str">
        <f t="shared" si="5"/>
        <v/>
      </c>
    </row>
    <row r="273" spans="4:4" ht="19.5" customHeight="1" x14ac:dyDescent="0.3">
      <c r="D273" s="3" t="str">
        <f t="shared" si="5"/>
        <v/>
      </c>
    </row>
    <row r="274" spans="4:4" ht="19.5" customHeight="1" x14ac:dyDescent="0.3">
      <c r="D274" s="3" t="str">
        <f t="shared" si="5"/>
        <v/>
      </c>
    </row>
    <row r="275" spans="4:4" ht="19.5" customHeight="1" x14ac:dyDescent="0.3">
      <c r="D275" s="3" t="str">
        <f t="shared" si="5"/>
        <v/>
      </c>
    </row>
    <row r="276" spans="4:4" ht="19.5" customHeight="1" x14ac:dyDescent="0.3">
      <c r="D276" s="3" t="str">
        <f t="shared" si="5"/>
        <v/>
      </c>
    </row>
    <row r="277" spans="4:4" ht="19.5" customHeight="1" x14ac:dyDescent="0.3">
      <c r="D277" s="3" t="str">
        <f t="shared" si="5"/>
        <v/>
      </c>
    </row>
    <row r="278" spans="4:4" ht="19.5" customHeight="1" x14ac:dyDescent="0.3">
      <c r="D278" s="3" t="str">
        <f t="shared" si="5"/>
        <v/>
      </c>
    </row>
    <row r="279" spans="4:4" ht="19.5" customHeight="1" x14ac:dyDescent="0.3">
      <c r="D279" s="3" t="str">
        <f t="shared" si="5"/>
        <v/>
      </c>
    </row>
    <row r="280" spans="4:4" ht="19.5" customHeight="1" x14ac:dyDescent="0.3">
      <c r="D280" s="3" t="str">
        <f t="shared" si="5"/>
        <v/>
      </c>
    </row>
    <row r="281" spans="4:4" ht="19.5" customHeight="1" x14ac:dyDescent="0.3">
      <c r="D281" s="3" t="str">
        <f t="shared" si="5"/>
        <v/>
      </c>
    </row>
    <row r="282" spans="4:4" ht="19.5" customHeight="1" x14ac:dyDescent="0.3">
      <c r="D282" s="3" t="str">
        <f t="shared" si="5"/>
        <v/>
      </c>
    </row>
    <row r="283" spans="4:4" ht="19.5" customHeight="1" x14ac:dyDescent="0.3">
      <c r="D283" s="3" t="str">
        <f t="shared" si="5"/>
        <v/>
      </c>
    </row>
    <row r="284" spans="4:4" ht="19.5" customHeight="1" x14ac:dyDescent="0.3">
      <c r="D284" s="3" t="str">
        <f t="shared" si="5"/>
        <v/>
      </c>
    </row>
    <row r="285" spans="4:4" ht="19.5" customHeight="1" x14ac:dyDescent="0.3">
      <c r="D285" s="3" t="str">
        <f t="shared" si="5"/>
        <v/>
      </c>
    </row>
    <row r="286" spans="4:4" ht="19.5" customHeight="1" x14ac:dyDescent="0.3">
      <c r="D286" s="3" t="str">
        <f t="shared" si="5"/>
        <v/>
      </c>
    </row>
    <row r="287" spans="4:4" ht="19.5" customHeight="1" x14ac:dyDescent="0.3">
      <c r="D287" s="3" t="str">
        <f t="shared" si="5"/>
        <v/>
      </c>
    </row>
    <row r="288" spans="4:4" ht="19.5" customHeight="1" x14ac:dyDescent="0.3">
      <c r="D288" s="3" t="str">
        <f t="shared" si="5"/>
        <v/>
      </c>
    </row>
    <row r="289" spans="4:4" ht="19.5" customHeight="1" x14ac:dyDescent="0.3">
      <c r="D289" s="3" t="str">
        <f t="shared" si="5"/>
        <v/>
      </c>
    </row>
    <row r="290" spans="4:4" ht="19.5" customHeight="1" x14ac:dyDescent="0.3">
      <c r="D290" s="3" t="str">
        <f t="shared" si="5"/>
        <v/>
      </c>
    </row>
    <row r="291" spans="4:4" ht="19.5" customHeight="1" x14ac:dyDescent="0.3">
      <c r="D291" s="3" t="str">
        <f t="shared" si="5"/>
        <v/>
      </c>
    </row>
    <row r="292" spans="4:4" ht="19.5" customHeight="1" x14ac:dyDescent="0.3">
      <c r="D292" s="3" t="str">
        <f t="shared" si="5"/>
        <v/>
      </c>
    </row>
    <row r="293" spans="4:4" ht="19.5" customHeight="1" x14ac:dyDescent="0.3">
      <c r="D293" s="3" t="str">
        <f t="shared" si="5"/>
        <v/>
      </c>
    </row>
    <row r="294" spans="4:4" ht="19.5" customHeight="1" x14ac:dyDescent="0.3">
      <c r="D294" s="3" t="str">
        <f t="shared" si="5"/>
        <v/>
      </c>
    </row>
    <row r="295" spans="4:4" ht="19.5" customHeight="1" x14ac:dyDescent="0.3">
      <c r="D295" s="3" t="str">
        <f t="shared" si="5"/>
        <v/>
      </c>
    </row>
    <row r="296" spans="4:4" ht="19.5" customHeight="1" x14ac:dyDescent="0.3">
      <c r="D296" s="3" t="str">
        <f t="shared" si="5"/>
        <v/>
      </c>
    </row>
    <row r="297" spans="4:4" ht="19.5" customHeight="1" x14ac:dyDescent="0.3">
      <c r="D297" s="3" t="str">
        <f t="shared" si="5"/>
        <v/>
      </c>
    </row>
    <row r="298" spans="4:4" ht="19.5" customHeight="1" x14ac:dyDescent="0.3">
      <c r="D298" s="3" t="str">
        <f t="shared" si="5"/>
        <v/>
      </c>
    </row>
    <row r="299" spans="4:4" ht="19.5" customHeight="1" x14ac:dyDescent="0.3">
      <c r="D299" s="3" t="str">
        <f t="shared" si="5"/>
        <v/>
      </c>
    </row>
    <row r="300" spans="4:4" ht="19.5" customHeight="1" x14ac:dyDescent="0.3">
      <c r="D300" s="3" t="str">
        <f t="shared" si="5"/>
        <v/>
      </c>
    </row>
    <row r="301" spans="4:4" ht="19.5" customHeight="1" x14ac:dyDescent="0.3">
      <c r="D301" s="3" t="str">
        <f t="shared" si="5"/>
        <v/>
      </c>
    </row>
    <row r="302" spans="4:4" ht="19.5" customHeight="1" x14ac:dyDescent="0.3">
      <c r="D302" s="3" t="str">
        <f t="shared" si="5"/>
        <v/>
      </c>
    </row>
    <row r="303" spans="4:4" ht="19.5" customHeight="1" x14ac:dyDescent="0.3">
      <c r="D303" s="3" t="str">
        <f t="shared" si="5"/>
        <v/>
      </c>
    </row>
    <row r="304" spans="4:4" ht="19.5" customHeight="1" x14ac:dyDescent="0.3">
      <c r="D304" s="3" t="str">
        <f t="shared" si="5"/>
        <v/>
      </c>
    </row>
    <row r="305" spans="4:4" ht="19.5" customHeight="1" x14ac:dyDescent="0.3">
      <c r="D305" s="3" t="str">
        <f t="shared" si="5"/>
        <v/>
      </c>
    </row>
    <row r="306" spans="4:4" ht="19.5" customHeight="1" x14ac:dyDescent="0.3">
      <c r="D306" s="3" t="str">
        <f t="shared" si="5"/>
        <v/>
      </c>
    </row>
    <row r="307" spans="4:4" ht="19.5" customHeight="1" x14ac:dyDescent="0.3">
      <c r="D307" s="3" t="str">
        <f t="shared" si="5"/>
        <v/>
      </c>
    </row>
    <row r="308" spans="4:4" ht="19.5" customHeight="1" x14ac:dyDescent="0.3">
      <c r="D308" s="3" t="str">
        <f t="shared" si="5"/>
        <v/>
      </c>
    </row>
    <row r="309" spans="4:4" ht="19.5" customHeight="1" x14ac:dyDescent="0.3">
      <c r="D309" s="3" t="str">
        <f t="shared" si="5"/>
        <v/>
      </c>
    </row>
    <row r="310" spans="4:4" ht="19.5" customHeight="1" x14ac:dyDescent="0.3">
      <c r="D310" s="3" t="str">
        <f t="shared" si="5"/>
        <v/>
      </c>
    </row>
    <row r="311" spans="4:4" ht="19.5" customHeight="1" x14ac:dyDescent="0.3">
      <c r="D311" s="3" t="str">
        <f t="shared" si="5"/>
        <v/>
      </c>
    </row>
    <row r="312" spans="4:4" ht="19.5" customHeight="1" x14ac:dyDescent="0.3">
      <c r="D312" s="3" t="str">
        <f t="shared" si="5"/>
        <v/>
      </c>
    </row>
    <row r="313" spans="4:4" ht="19.5" customHeight="1" x14ac:dyDescent="0.3">
      <c r="D313" s="3" t="str">
        <f t="shared" si="5"/>
        <v/>
      </c>
    </row>
    <row r="314" spans="4:4" ht="19.5" customHeight="1" x14ac:dyDescent="0.3">
      <c r="D314" s="3" t="str">
        <f t="shared" si="5"/>
        <v/>
      </c>
    </row>
    <row r="315" spans="4:4" ht="19.5" customHeight="1" x14ac:dyDescent="0.3">
      <c r="D315" s="3" t="str">
        <f t="shared" si="5"/>
        <v/>
      </c>
    </row>
    <row r="316" spans="4:4" ht="19.5" customHeight="1" x14ac:dyDescent="0.3">
      <c r="D316" s="3" t="str">
        <f t="shared" si="5"/>
        <v/>
      </c>
    </row>
    <row r="317" spans="4:4" ht="19.5" customHeight="1" x14ac:dyDescent="0.3">
      <c r="D317" s="3" t="str">
        <f t="shared" si="5"/>
        <v/>
      </c>
    </row>
    <row r="318" spans="4:4" ht="19.5" customHeight="1" x14ac:dyDescent="0.3">
      <c r="D318" s="3" t="str">
        <f t="shared" si="5"/>
        <v/>
      </c>
    </row>
    <row r="319" spans="4:4" ht="19.5" customHeight="1" x14ac:dyDescent="0.3">
      <c r="D319" s="3" t="str">
        <f t="shared" si="5"/>
        <v/>
      </c>
    </row>
    <row r="320" spans="4:4" ht="19.5" customHeight="1" x14ac:dyDescent="0.3">
      <c r="D320" s="3" t="str">
        <f t="shared" si="5"/>
        <v/>
      </c>
    </row>
    <row r="321" spans="4:4" ht="19.5" customHeight="1" x14ac:dyDescent="0.3">
      <c r="D321" s="3" t="str">
        <f t="shared" si="5"/>
        <v/>
      </c>
    </row>
    <row r="322" spans="4:4" ht="19.5" customHeight="1" x14ac:dyDescent="0.3">
      <c r="D322" s="3" t="str">
        <f t="shared" si="5"/>
        <v/>
      </c>
    </row>
    <row r="323" spans="4:4" ht="19.5" customHeight="1" x14ac:dyDescent="0.3">
      <c r="D323" s="3" t="str">
        <f t="shared" ref="D323:D386" si="6">IF(A323&lt;&gt;"",$E$1&amp;A323&amp;$F$1&amp;B323&amp;$G$1&amp;C323&amp;$H$1,"")</f>
        <v/>
      </c>
    </row>
    <row r="324" spans="4:4" ht="19.5" customHeight="1" x14ac:dyDescent="0.3">
      <c r="D324" s="3" t="str">
        <f t="shared" si="6"/>
        <v/>
      </c>
    </row>
    <row r="325" spans="4:4" ht="19.5" customHeight="1" x14ac:dyDescent="0.3">
      <c r="D325" s="3" t="str">
        <f t="shared" si="6"/>
        <v/>
      </c>
    </row>
    <row r="326" spans="4:4" ht="19.5" customHeight="1" x14ac:dyDescent="0.3">
      <c r="D326" s="3" t="str">
        <f t="shared" si="6"/>
        <v/>
      </c>
    </row>
    <row r="327" spans="4:4" ht="19.5" customHeight="1" x14ac:dyDescent="0.3">
      <c r="D327" s="3" t="str">
        <f t="shared" si="6"/>
        <v/>
      </c>
    </row>
    <row r="328" spans="4:4" ht="19.5" customHeight="1" x14ac:dyDescent="0.3">
      <c r="D328" s="3" t="str">
        <f t="shared" si="6"/>
        <v/>
      </c>
    </row>
    <row r="329" spans="4:4" ht="19.5" customHeight="1" x14ac:dyDescent="0.3">
      <c r="D329" s="3" t="str">
        <f t="shared" si="6"/>
        <v/>
      </c>
    </row>
    <row r="330" spans="4:4" ht="19.5" customHeight="1" x14ac:dyDescent="0.3">
      <c r="D330" s="3" t="str">
        <f t="shared" si="6"/>
        <v/>
      </c>
    </row>
    <row r="331" spans="4:4" ht="19.5" customHeight="1" x14ac:dyDescent="0.3">
      <c r="D331" s="3" t="str">
        <f t="shared" si="6"/>
        <v/>
      </c>
    </row>
    <row r="332" spans="4:4" ht="19.5" customHeight="1" x14ac:dyDescent="0.3">
      <c r="D332" s="3" t="str">
        <f t="shared" si="6"/>
        <v/>
      </c>
    </row>
    <row r="333" spans="4:4" ht="19.5" customHeight="1" x14ac:dyDescent="0.3">
      <c r="D333" s="3" t="str">
        <f t="shared" si="6"/>
        <v/>
      </c>
    </row>
    <row r="334" spans="4:4" ht="19.5" customHeight="1" x14ac:dyDescent="0.3">
      <c r="D334" s="3" t="str">
        <f t="shared" si="6"/>
        <v/>
      </c>
    </row>
    <row r="335" spans="4:4" ht="19.5" customHeight="1" x14ac:dyDescent="0.3">
      <c r="D335" s="3" t="str">
        <f t="shared" si="6"/>
        <v/>
      </c>
    </row>
    <row r="336" spans="4:4" ht="19.5" customHeight="1" x14ac:dyDescent="0.3">
      <c r="D336" s="3" t="str">
        <f t="shared" si="6"/>
        <v/>
      </c>
    </row>
    <row r="337" spans="4:4" ht="19.5" customHeight="1" x14ac:dyDescent="0.3">
      <c r="D337" s="3" t="str">
        <f t="shared" si="6"/>
        <v/>
      </c>
    </row>
    <row r="338" spans="4:4" ht="19.5" customHeight="1" x14ac:dyDescent="0.3">
      <c r="D338" s="3" t="str">
        <f t="shared" si="6"/>
        <v/>
      </c>
    </row>
    <row r="339" spans="4:4" ht="19.5" customHeight="1" x14ac:dyDescent="0.3">
      <c r="D339" s="3" t="str">
        <f t="shared" si="6"/>
        <v/>
      </c>
    </row>
    <row r="340" spans="4:4" ht="19.5" customHeight="1" x14ac:dyDescent="0.3">
      <c r="D340" s="3" t="str">
        <f t="shared" si="6"/>
        <v/>
      </c>
    </row>
    <row r="341" spans="4:4" ht="19.5" customHeight="1" x14ac:dyDescent="0.3">
      <c r="D341" s="3" t="str">
        <f t="shared" si="6"/>
        <v/>
      </c>
    </row>
    <row r="342" spans="4:4" ht="19.5" customHeight="1" x14ac:dyDescent="0.3">
      <c r="D342" s="3" t="str">
        <f t="shared" si="6"/>
        <v/>
      </c>
    </row>
    <row r="343" spans="4:4" ht="19.5" customHeight="1" x14ac:dyDescent="0.3">
      <c r="D343" s="3" t="str">
        <f t="shared" si="6"/>
        <v/>
      </c>
    </row>
    <row r="344" spans="4:4" ht="19.5" customHeight="1" x14ac:dyDescent="0.3">
      <c r="D344" s="3" t="str">
        <f t="shared" si="6"/>
        <v/>
      </c>
    </row>
    <row r="345" spans="4:4" ht="19.5" customHeight="1" x14ac:dyDescent="0.3">
      <c r="D345" s="3" t="str">
        <f t="shared" si="6"/>
        <v/>
      </c>
    </row>
    <row r="346" spans="4:4" ht="19.5" customHeight="1" x14ac:dyDescent="0.3">
      <c r="D346" s="3" t="str">
        <f t="shared" si="6"/>
        <v/>
      </c>
    </row>
    <row r="347" spans="4:4" ht="19.5" customHeight="1" x14ac:dyDescent="0.3">
      <c r="D347" s="3" t="str">
        <f t="shared" si="6"/>
        <v/>
      </c>
    </row>
    <row r="348" spans="4:4" ht="19.5" customHeight="1" x14ac:dyDescent="0.3">
      <c r="D348" s="3" t="str">
        <f t="shared" si="6"/>
        <v/>
      </c>
    </row>
    <row r="349" spans="4:4" ht="19.5" customHeight="1" x14ac:dyDescent="0.3">
      <c r="D349" s="3" t="str">
        <f t="shared" si="6"/>
        <v/>
      </c>
    </row>
    <row r="350" spans="4:4" ht="19.5" customHeight="1" x14ac:dyDescent="0.3">
      <c r="D350" s="3" t="str">
        <f t="shared" si="6"/>
        <v/>
      </c>
    </row>
    <row r="351" spans="4:4" ht="19.5" customHeight="1" x14ac:dyDescent="0.3">
      <c r="D351" s="3" t="str">
        <f t="shared" si="6"/>
        <v/>
      </c>
    </row>
    <row r="352" spans="4:4" ht="19.5" customHeight="1" x14ac:dyDescent="0.3">
      <c r="D352" s="3" t="str">
        <f t="shared" si="6"/>
        <v/>
      </c>
    </row>
    <row r="353" spans="4:4" ht="19.5" customHeight="1" x14ac:dyDescent="0.3">
      <c r="D353" s="3" t="str">
        <f t="shared" si="6"/>
        <v/>
      </c>
    </row>
    <row r="354" spans="4:4" ht="19.5" customHeight="1" x14ac:dyDescent="0.3">
      <c r="D354" s="3" t="str">
        <f t="shared" si="6"/>
        <v/>
      </c>
    </row>
    <row r="355" spans="4:4" ht="19.5" customHeight="1" x14ac:dyDescent="0.3">
      <c r="D355" s="3" t="str">
        <f t="shared" si="6"/>
        <v/>
      </c>
    </row>
    <row r="356" spans="4:4" ht="19.5" customHeight="1" x14ac:dyDescent="0.3">
      <c r="D356" s="3" t="str">
        <f t="shared" si="6"/>
        <v/>
      </c>
    </row>
    <row r="357" spans="4:4" ht="19.5" customHeight="1" x14ac:dyDescent="0.3">
      <c r="D357" s="3" t="str">
        <f t="shared" si="6"/>
        <v/>
      </c>
    </row>
    <row r="358" spans="4:4" ht="19.5" customHeight="1" x14ac:dyDescent="0.3">
      <c r="D358" s="3" t="str">
        <f t="shared" si="6"/>
        <v/>
      </c>
    </row>
    <row r="359" spans="4:4" ht="19.5" customHeight="1" x14ac:dyDescent="0.3">
      <c r="D359" s="3" t="str">
        <f t="shared" si="6"/>
        <v/>
      </c>
    </row>
    <row r="360" spans="4:4" ht="19.5" customHeight="1" x14ac:dyDescent="0.3">
      <c r="D360" s="3" t="str">
        <f t="shared" si="6"/>
        <v/>
      </c>
    </row>
    <row r="361" spans="4:4" ht="19.5" customHeight="1" x14ac:dyDescent="0.3">
      <c r="D361" s="3" t="str">
        <f t="shared" si="6"/>
        <v/>
      </c>
    </row>
    <row r="362" spans="4:4" ht="19.5" customHeight="1" x14ac:dyDescent="0.3">
      <c r="D362" s="3" t="str">
        <f t="shared" si="6"/>
        <v/>
      </c>
    </row>
    <row r="363" spans="4:4" ht="19.5" customHeight="1" x14ac:dyDescent="0.3">
      <c r="D363" s="3" t="str">
        <f t="shared" si="6"/>
        <v/>
      </c>
    </row>
    <row r="364" spans="4:4" ht="19.5" customHeight="1" x14ac:dyDescent="0.3">
      <c r="D364" s="3" t="str">
        <f t="shared" si="6"/>
        <v/>
      </c>
    </row>
    <row r="365" spans="4:4" ht="19.5" customHeight="1" x14ac:dyDescent="0.3">
      <c r="D365" s="3" t="str">
        <f t="shared" si="6"/>
        <v/>
      </c>
    </row>
    <row r="366" spans="4:4" ht="19.5" customHeight="1" x14ac:dyDescent="0.3">
      <c r="D366" s="3" t="str">
        <f t="shared" si="6"/>
        <v/>
      </c>
    </row>
    <row r="367" spans="4:4" ht="19.5" customHeight="1" x14ac:dyDescent="0.3">
      <c r="D367" s="3" t="str">
        <f t="shared" si="6"/>
        <v/>
      </c>
    </row>
    <row r="368" spans="4:4" ht="19.5" customHeight="1" x14ac:dyDescent="0.3">
      <c r="D368" s="3" t="str">
        <f t="shared" si="6"/>
        <v/>
      </c>
    </row>
    <row r="369" spans="4:4" ht="19.5" customHeight="1" x14ac:dyDescent="0.3">
      <c r="D369" s="3" t="str">
        <f t="shared" si="6"/>
        <v/>
      </c>
    </row>
    <row r="370" spans="4:4" ht="19.5" customHeight="1" x14ac:dyDescent="0.3">
      <c r="D370" s="3" t="str">
        <f t="shared" si="6"/>
        <v/>
      </c>
    </row>
    <row r="371" spans="4:4" ht="19.5" customHeight="1" x14ac:dyDescent="0.3">
      <c r="D371" s="3" t="str">
        <f t="shared" si="6"/>
        <v/>
      </c>
    </row>
    <row r="372" spans="4:4" ht="19.5" customHeight="1" x14ac:dyDescent="0.3">
      <c r="D372" s="3" t="str">
        <f t="shared" si="6"/>
        <v/>
      </c>
    </row>
    <row r="373" spans="4:4" ht="19.5" customHeight="1" x14ac:dyDescent="0.3">
      <c r="D373" s="3" t="str">
        <f t="shared" si="6"/>
        <v/>
      </c>
    </row>
    <row r="374" spans="4:4" ht="19.5" customHeight="1" x14ac:dyDescent="0.3">
      <c r="D374" s="3" t="str">
        <f t="shared" si="6"/>
        <v/>
      </c>
    </row>
    <row r="375" spans="4:4" ht="19.5" customHeight="1" x14ac:dyDescent="0.3">
      <c r="D375" s="3" t="str">
        <f t="shared" si="6"/>
        <v/>
      </c>
    </row>
    <row r="376" spans="4:4" ht="19.5" customHeight="1" x14ac:dyDescent="0.3">
      <c r="D376" s="3" t="str">
        <f t="shared" si="6"/>
        <v/>
      </c>
    </row>
    <row r="377" spans="4:4" ht="19.5" customHeight="1" x14ac:dyDescent="0.3">
      <c r="D377" s="3" t="str">
        <f t="shared" si="6"/>
        <v/>
      </c>
    </row>
    <row r="378" spans="4:4" ht="19.5" customHeight="1" x14ac:dyDescent="0.3">
      <c r="D378" s="3" t="str">
        <f t="shared" si="6"/>
        <v/>
      </c>
    </row>
    <row r="379" spans="4:4" ht="19.5" customHeight="1" x14ac:dyDescent="0.3">
      <c r="D379" s="3" t="str">
        <f t="shared" si="6"/>
        <v/>
      </c>
    </row>
    <row r="380" spans="4:4" ht="19.5" customHeight="1" x14ac:dyDescent="0.3">
      <c r="D380" s="3" t="str">
        <f t="shared" si="6"/>
        <v/>
      </c>
    </row>
    <row r="381" spans="4:4" ht="19.5" customHeight="1" x14ac:dyDescent="0.3">
      <c r="D381" s="3" t="str">
        <f t="shared" si="6"/>
        <v/>
      </c>
    </row>
    <row r="382" spans="4:4" ht="19.5" customHeight="1" x14ac:dyDescent="0.3">
      <c r="D382" s="3" t="str">
        <f t="shared" si="6"/>
        <v/>
      </c>
    </row>
    <row r="383" spans="4:4" ht="19.5" customHeight="1" x14ac:dyDescent="0.3">
      <c r="D383" s="3" t="str">
        <f t="shared" si="6"/>
        <v/>
      </c>
    </row>
    <row r="384" spans="4:4" ht="19.5" customHeight="1" x14ac:dyDescent="0.3">
      <c r="D384" s="3" t="str">
        <f t="shared" si="6"/>
        <v/>
      </c>
    </row>
    <row r="385" spans="4:4" ht="19.5" customHeight="1" x14ac:dyDescent="0.3">
      <c r="D385" s="3" t="str">
        <f t="shared" si="6"/>
        <v/>
      </c>
    </row>
    <row r="386" spans="4:4" ht="19.5" customHeight="1" x14ac:dyDescent="0.3">
      <c r="D386" s="3" t="str">
        <f t="shared" si="6"/>
        <v/>
      </c>
    </row>
    <row r="387" spans="4:4" ht="19.5" customHeight="1" x14ac:dyDescent="0.3">
      <c r="D387" s="3" t="str">
        <f t="shared" ref="D387:D443" si="7">IF(A387&lt;&gt;"",$E$1&amp;A387&amp;$F$1&amp;B387&amp;$G$1&amp;C387&amp;$H$1,"")</f>
        <v/>
      </c>
    </row>
    <row r="388" spans="4:4" ht="19.5" customHeight="1" x14ac:dyDescent="0.3">
      <c r="D388" s="3" t="str">
        <f t="shared" si="7"/>
        <v/>
      </c>
    </row>
    <row r="389" spans="4:4" ht="19.5" customHeight="1" x14ac:dyDescent="0.3">
      <c r="D389" s="3" t="str">
        <f t="shared" si="7"/>
        <v/>
      </c>
    </row>
    <row r="390" spans="4:4" ht="19.5" customHeight="1" x14ac:dyDescent="0.3">
      <c r="D390" s="3" t="str">
        <f t="shared" si="7"/>
        <v/>
      </c>
    </row>
    <row r="391" spans="4:4" ht="19.5" customHeight="1" x14ac:dyDescent="0.3">
      <c r="D391" s="3" t="str">
        <f t="shared" si="7"/>
        <v/>
      </c>
    </row>
    <row r="392" spans="4:4" ht="19.5" customHeight="1" x14ac:dyDescent="0.3">
      <c r="D392" s="3" t="str">
        <f t="shared" si="7"/>
        <v/>
      </c>
    </row>
    <row r="393" spans="4:4" ht="19.5" customHeight="1" x14ac:dyDescent="0.3">
      <c r="D393" s="3" t="str">
        <f t="shared" si="7"/>
        <v/>
      </c>
    </row>
    <row r="394" spans="4:4" ht="19.5" customHeight="1" x14ac:dyDescent="0.3">
      <c r="D394" s="3" t="str">
        <f t="shared" si="7"/>
        <v/>
      </c>
    </row>
    <row r="395" spans="4:4" ht="19.5" customHeight="1" x14ac:dyDescent="0.3">
      <c r="D395" s="3" t="str">
        <f t="shared" si="7"/>
        <v/>
      </c>
    </row>
    <row r="396" spans="4:4" ht="19.5" customHeight="1" x14ac:dyDescent="0.3">
      <c r="D396" s="3" t="str">
        <f t="shared" si="7"/>
        <v/>
      </c>
    </row>
    <row r="397" spans="4:4" ht="19.5" customHeight="1" x14ac:dyDescent="0.3">
      <c r="D397" s="3" t="str">
        <f t="shared" si="7"/>
        <v/>
      </c>
    </row>
    <row r="398" spans="4:4" ht="19.5" customHeight="1" x14ac:dyDescent="0.3">
      <c r="D398" s="3" t="str">
        <f t="shared" si="7"/>
        <v/>
      </c>
    </row>
    <row r="399" spans="4:4" ht="19.5" customHeight="1" x14ac:dyDescent="0.3">
      <c r="D399" s="3" t="str">
        <f t="shared" si="7"/>
        <v/>
      </c>
    </row>
    <row r="400" spans="4:4" ht="19.5" customHeight="1" x14ac:dyDescent="0.3">
      <c r="D400" s="3" t="str">
        <f t="shared" si="7"/>
        <v/>
      </c>
    </row>
    <row r="401" spans="4:4" ht="19.5" customHeight="1" x14ac:dyDescent="0.3">
      <c r="D401" s="3" t="str">
        <f t="shared" si="7"/>
        <v/>
      </c>
    </row>
    <row r="402" spans="4:4" ht="19.5" customHeight="1" x14ac:dyDescent="0.3">
      <c r="D402" s="3" t="str">
        <f t="shared" si="7"/>
        <v/>
      </c>
    </row>
    <row r="403" spans="4:4" ht="19.5" customHeight="1" x14ac:dyDescent="0.3">
      <c r="D403" s="3" t="str">
        <f t="shared" si="7"/>
        <v/>
      </c>
    </row>
    <row r="404" spans="4:4" ht="19.5" customHeight="1" x14ac:dyDescent="0.3">
      <c r="D404" s="3" t="str">
        <f t="shared" si="7"/>
        <v/>
      </c>
    </row>
    <row r="405" spans="4:4" ht="19.5" customHeight="1" x14ac:dyDescent="0.3">
      <c r="D405" s="3" t="str">
        <f t="shared" si="7"/>
        <v/>
      </c>
    </row>
    <row r="406" spans="4:4" ht="19.5" customHeight="1" x14ac:dyDescent="0.3">
      <c r="D406" s="3" t="str">
        <f t="shared" si="7"/>
        <v/>
      </c>
    </row>
    <row r="407" spans="4:4" ht="19.5" customHeight="1" x14ac:dyDescent="0.3">
      <c r="D407" s="3" t="str">
        <f t="shared" si="7"/>
        <v/>
      </c>
    </row>
    <row r="408" spans="4:4" ht="19.5" customHeight="1" x14ac:dyDescent="0.3">
      <c r="D408" s="3" t="str">
        <f t="shared" si="7"/>
        <v/>
      </c>
    </row>
    <row r="409" spans="4:4" ht="19.5" customHeight="1" x14ac:dyDescent="0.3">
      <c r="D409" s="3" t="str">
        <f t="shared" si="7"/>
        <v/>
      </c>
    </row>
    <row r="410" spans="4:4" ht="19.5" customHeight="1" x14ac:dyDescent="0.3">
      <c r="D410" s="3" t="str">
        <f t="shared" si="7"/>
        <v/>
      </c>
    </row>
    <row r="411" spans="4:4" ht="19.5" customHeight="1" x14ac:dyDescent="0.3">
      <c r="D411" s="3" t="str">
        <f t="shared" si="7"/>
        <v/>
      </c>
    </row>
    <row r="412" spans="4:4" ht="19.5" customHeight="1" x14ac:dyDescent="0.3">
      <c r="D412" s="3" t="str">
        <f t="shared" si="7"/>
        <v/>
      </c>
    </row>
    <row r="413" spans="4:4" ht="19.5" customHeight="1" x14ac:dyDescent="0.3">
      <c r="D413" s="3" t="str">
        <f t="shared" si="7"/>
        <v/>
      </c>
    </row>
    <row r="414" spans="4:4" ht="19.5" customHeight="1" x14ac:dyDescent="0.3">
      <c r="D414" s="3" t="str">
        <f t="shared" si="7"/>
        <v/>
      </c>
    </row>
    <row r="415" spans="4:4" ht="19.5" customHeight="1" x14ac:dyDescent="0.3">
      <c r="D415" s="3" t="str">
        <f t="shared" si="7"/>
        <v/>
      </c>
    </row>
    <row r="416" spans="4:4" ht="19.5" customHeight="1" x14ac:dyDescent="0.3">
      <c r="D416" s="3" t="str">
        <f t="shared" si="7"/>
        <v/>
      </c>
    </row>
    <row r="417" spans="4:4" ht="19.5" customHeight="1" x14ac:dyDescent="0.3">
      <c r="D417" s="3" t="str">
        <f t="shared" si="7"/>
        <v/>
      </c>
    </row>
    <row r="418" spans="4:4" ht="19.5" customHeight="1" x14ac:dyDescent="0.3">
      <c r="D418" s="3" t="str">
        <f t="shared" si="7"/>
        <v/>
      </c>
    </row>
    <row r="419" spans="4:4" ht="19.5" customHeight="1" x14ac:dyDescent="0.3">
      <c r="D419" s="3" t="str">
        <f t="shared" si="7"/>
        <v/>
      </c>
    </row>
    <row r="420" spans="4:4" ht="19.5" customHeight="1" x14ac:dyDescent="0.3">
      <c r="D420" s="3" t="str">
        <f t="shared" si="7"/>
        <v/>
      </c>
    </row>
    <row r="421" spans="4:4" ht="19.5" customHeight="1" x14ac:dyDescent="0.3">
      <c r="D421" s="3" t="str">
        <f t="shared" si="7"/>
        <v/>
      </c>
    </row>
    <row r="422" spans="4:4" ht="19.5" customHeight="1" x14ac:dyDescent="0.3">
      <c r="D422" s="3" t="str">
        <f t="shared" si="7"/>
        <v/>
      </c>
    </row>
    <row r="423" spans="4:4" ht="19.5" customHeight="1" x14ac:dyDescent="0.3">
      <c r="D423" s="3" t="str">
        <f t="shared" si="7"/>
        <v/>
      </c>
    </row>
    <row r="424" spans="4:4" ht="19.5" customHeight="1" x14ac:dyDescent="0.3">
      <c r="D424" s="3" t="str">
        <f t="shared" si="7"/>
        <v/>
      </c>
    </row>
    <row r="425" spans="4:4" ht="19.5" customHeight="1" x14ac:dyDescent="0.3">
      <c r="D425" s="3" t="str">
        <f t="shared" si="7"/>
        <v/>
      </c>
    </row>
    <row r="426" spans="4:4" ht="19.5" customHeight="1" x14ac:dyDescent="0.3">
      <c r="D426" s="3" t="str">
        <f t="shared" si="7"/>
        <v/>
      </c>
    </row>
    <row r="427" spans="4:4" ht="19.5" customHeight="1" x14ac:dyDescent="0.3">
      <c r="D427" s="3" t="str">
        <f t="shared" si="7"/>
        <v/>
      </c>
    </row>
    <row r="428" spans="4:4" ht="19.5" customHeight="1" x14ac:dyDescent="0.3">
      <c r="D428" s="3" t="str">
        <f t="shared" si="7"/>
        <v/>
      </c>
    </row>
    <row r="429" spans="4:4" ht="19.5" customHeight="1" x14ac:dyDescent="0.3">
      <c r="D429" s="3" t="str">
        <f t="shared" si="7"/>
        <v/>
      </c>
    </row>
    <row r="430" spans="4:4" ht="19.5" customHeight="1" x14ac:dyDescent="0.3">
      <c r="D430" s="3" t="str">
        <f t="shared" si="7"/>
        <v/>
      </c>
    </row>
    <row r="431" spans="4:4" ht="19.5" customHeight="1" x14ac:dyDescent="0.3">
      <c r="D431" s="3" t="str">
        <f t="shared" si="7"/>
        <v/>
      </c>
    </row>
    <row r="432" spans="4:4" ht="19.5" customHeight="1" x14ac:dyDescent="0.3">
      <c r="D432" s="3" t="str">
        <f t="shared" si="7"/>
        <v/>
      </c>
    </row>
    <row r="433" spans="4:4" ht="19.5" customHeight="1" x14ac:dyDescent="0.3">
      <c r="D433" s="3" t="str">
        <f t="shared" si="7"/>
        <v/>
      </c>
    </row>
    <row r="434" spans="4:4" ht="19.5" customHeight="1" x14ac:dyDescent="0.3">
      <c r="D434" s="3" t="str">
        <f t="shared" si="7"/>
        <v/>
      </c>
    </row>
    <row r="435" spans="4:4" ht="19.5" customHeight="1" x14ac:dyDescent="0.3">
      <c r="D435" s="3" t="str">
        <f t="shared" si="7"/>
        <v/>
      </c>
    </row>
    <row r="436" spans="4:4" ht="19.5" customHeight="1" x14ac:dyDescent="0.3">
      <c r="D436" s="3" t="str">
        <f t="shared" si="7"/>
        <v/>
      </c>
    </row>
    <row r="437" spans="4:4" ht="19.5" customHeight="1" x14ac:dyDescent="0.3">
      <c r="D437" s="3" t="str">
        <f t="shared" si="7"/>
        <v/>
      </c>
    </row>
    <row r="438" spans="4:4" ht="19.5" customHeight="1" x14ac:dyDescent="0.3">
      <c r="D438" s="3" t="str">
        <f t="shared" si="7"/>
        <v/>
      </c>
    </row>
    <row r="439" spans="4:4" ht="19.5" customHeight="1" x14ac:dyDescent="0.3">
      <c r="D439" s="3" t="str">
        <f t="shared" si="7"/>
        <v/>
      </c>
    </row>
    <row r="440" spans="4:4" ht="19.5" customHeight="1" x14ac:dyDescent="0.3">
      <c r="D440" s="3" t="str">
        <f t="shared" si="7"/>
        <v/>
      </c>
    </row>
    <row r="441" spans="4:4" ht="19.5" customHeight="1" x14ac:dyDescent="0.3">
      <c r="D441" s="3" t="str">
        <f t="shared" si="7"/>
        <v/>
      </c>
    </row>
    <row r="442" spans="4:4" ht="19.5" customHeight="1" x14ac:dyDescent="0.3">
      <c r="D442" s="3" t="str">
        <f t="shared" si="7"/>
        <v/>
      </c>
    </row>
    <row r="443" spans="4:4" ht="19.5" customHeight="1" x14ac:dyDescent="0.3">
      <c r="D443" s="3" t="str">
        <f t="shared" si="7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82B3-7484-49EC-8544-055B1CB8CD35}">
  <dimension ref="A2:P193"/>
  <sheetViews>
    <sheetView workbookViewId="0">
      <selection activeCell="L2" sqref="L2:L193"/>
    </sheetView>
  </sheetViews>
  <sheetFormatPr defaultRowHeight="14.4" x14ac:dyDescent="0.3"/>
  <cols>
    <col min="1" max="1" width="31.5546875" bestFit="1" customWidth="1"/>
    <col min="6" max="7" width="9.88671875" bestFit="1" customWidth="1"/>
    <col min="10" max="10" width="37.109375" bestFit="1" customWidth="1"/>
    <col min="12" max="12" width="35.6640625" bestFit="1" customWidth="1"/>
  </cols>
  <sheetData>
    <row r="2" spans="1:16" x14ac:dyDescent="0.3">
      <c r="A2" t="s">
        <v>763</v>
      </c>
      <c r="B2" t="s">
        <v>787</v>
      </c>
      <c r="C2" t="s">
        <v>788</v>
      </c>
      <c r="D2" t="s">
        <v>812</v>
      </c>
      <c r="E2">
        <v>1</v>
      </c>
      <c r="F2" t="s">
        <v>789</v>
      </c>
      <c r="G2" t="s">
        <v>790</v>
      </c>
      <c r="H2" t="s">
        <v>809</v>
      </c>
      <c r="I2" t="s">
        <v>839</v>
      </c>
      <c r="J2" t="str">
        <f>B2&amp;"_"&amp;C2&amp;"_"&amp;D2&amp;"_"&amp;E2&amp;"_"&amp;F2&amp;"_"&amp;G2&amp;"_"&amp;H2&amp;"_"&amp;I2</f>
        <v>i_n_duck_1_bath_shower_bat_a</v>
      </c>
      <c r="L2" t="str">
        <f>".*"&amp;M2&amp;".*-"&amp;N2&amp;"-.*-n"&amp;O2&amp;".*-"&amp;P2</f>
        <v>.*BAT.*-N-.*-n1.*-ANS</v>
      </c>
      <c r="M2" t="s">
        <v>1033</v>
      </c>
      <c r="N2" t="s">
        <v>1037</v>
      </c>
      <c r="O2">
        <v>1</v>
      </c>
      <c r="P2" t="s">
        <v>339</v>
      </c>
    </row>
    <row r="3" spans="1:16" x14ac:dyDescent="0.3">
      <c r="A3" t="s">
        <v>764</v>
      </c>
      <c r="B3" t="s">
        <v>787</v>
      </c>
      <c r="C3" t="s">
        <v>788</v>
      </c>
      <c r="D3" t="s">
        <v>813</v>
      </c>
      <c r="E3">
        <v>2</v>
      </c>
      <c r="F3" t="s">
        <v>791</v>
      </c>
      <c r="G3" t="s">
        <v>789</v>
      </c>
      <c r="H3" t="s">
        <v>809</v>
      </c>
      <c r="I3" t="s">
        <v>839</v>
      </c>
      <c r="J3" t="str">
        <f t="shared" ref="J3:J66" si="0">B3&amp;"_"&amp;C3&amp;"_"&amp;D3&amp;"_"&amp;E3&amp;"_"&amp;F3&amp;"_"&amp;G3&amp;"_"&amp;H3&amp;"_"&amp;I3</f>
        <v>i_n_remote_2_p2_bath_bat_a</v>
      </c>
      <c r="L3" t="str">
        <f t="shared" ref="L3:L66" si="1">".*"&amp;M3&amp;".*-"&amp;N3&amp;"-.*-n"&amp;O3&amp;".*-"&amp;P3</f>
        <v>.*BAT.*-N-.*-n2.*-ANS</v>
      </c>
      <c r="M3" t="s">
        <v>1033</v>
      </c>
      <c r="N3" t="s">
        <v>1037</v>
      </c>
      <c r="O3">
        <v>2</v>
      </c>
      <c r="P3" t="s">
        <v>339</v>
      </c>
    </row>
    <row r="4" spans="1:16" x14ac:dyDescent="0.3">
      <c r="A4" t="s">
        <v>765</v>
      </c>
      <c r="B4" t="s">
        <v>787</v>
      </c>
      <c r="C4" t="s">
        <v>788</v>
      </c>
      <c r="D4" t="s">
        <v>814</v>
      </c>
      <c r="E4">
        <v>3</v>
      </c>
      <c r="F4" t="s">
        <v>792</v>
      </c>
      <c r="G4" t="s">
        <v>793</v>
      </c>
      <c r="H4" t="s">
        <v>809</v>
      </c>
      <c r="I4" t="s">
        <v>839</v>
      </c>
      <c r="J4" t="str">
        <f t="shared" si="0"/>
        <v>i_n_tbrushes_3_p3_p4_bat_a</v>
      </c>
      <c r="L4" t="str">
        <f t="shared" si="1"/>
        <v>.*BAT.*-N-.*-n3.*-ANS</v>
      </c>
      <c r="M4" t="s">
        <v>1033</v>
      </c>
      <c r="N4" t="s">
        <v>1037</v>
      </c>
      <c r="O4">
        <v>3</v>
      </c>
      <c r="P4" t="s">
        <v>339</v>
      </c>
    </row>
    <row r="5" spans="1:16" x14ac:dyDescent="0.3">
      <c r="A5" t="s">
        <v>766</v>
      </c>
      <c r="B5" t="s">
        <v>787</v>
      </c>
      <c r="C5" t="s">
        <v>788</v>
      </c>
      <c r="D5" t="s">
        <v>815</v>
      </c>
      <c r="E5">
        <v>4</v>
      </c>
      <c r="F5" t="s">
        <v>794</v>
      </c>
      <c r="G5" t="s">
        <v>792</v>
      </c>
      <c r="H5" t="s">
        <v>809</v>
      </c>
      <c r="I5" t="s">
        <v>839</v>
      </c>
      <c r="J5" t="str">
        <f t="shared" si="0"/>
        <v>i_n_book_4_toilet_p3_bat_a</v>
      </c>
      <c r="L5" t="str">
        <f t="shared" si="1"/>
        <v>.*BAT.*-N-.*-n4.*-ANS</v>
      </c>
      <c r="M5" t="s">
        <v>1033</v>
      </c>
      <c r="N5" t="s">
        <v>1037</v>
      </c>
      <c r="O5">
        <v>4</v>
      </c>
      <c r="P5" t="s">
        <v>339</v>
      </c>
    </row>
    <row r="6" spans="1:16" x14ac:dyDescent="0.3">
      <c r="A6" t="s">
        <v>767</v>
      </c>
      <c r="B6" t="s">
        <v>787</v>
      </c>
      <c r="C6" t="s">
        <v>788</v>
      </c>
      <c r="D6" t="s">
        <v>816</v>
      </c>
      <c r="E6">
        <v>5</v>
      </c>
      <c r="F6" t="s">
        <v>795</v>
      </c>
      <c r="G6" t="s">
        <v>794</v>
      </c>
      <c r="H6" t="s">
        <v>809</v>
      </c>
      <c r="I6" t="s">
        <v>839</v>
      </c>
      <c r="J6" t="str">
        <f t="shared" si="0"/>
        <v>i_n_hammer_5_sink_toilet_bat_a</v>
      </c>
      <c r="L6" t="str">
        <f t="shared" si="1"/>
        <v>.*BAT.*-N-.*-n5.*-ANS</v>
      </c>
      <c r="M6" t="s">
        <v>1033</v>
      </c>
      <c r="N6" t="s">
        <v>1037</v>
      </c>
      <c r="O6">
        <v>5</v>
      </c>
      <c r="P6" t="s">
        <v>339</v>
      </c>
    </row>
    <row r="7" spans="1:16" x14ac:dyDescent="0.3">
      <c r="A7" t="s">
        <v>768</v>
      </c>
      <c r="B7" t="s">
        <v>787</v>
      </c>
      <c r="C7" t="s">
        <v>788</v>
      </c>
      <c r="D7" t="s">
        <v>817</v>
      </c>
      <c r="E7">
        <v>6</v>
      </c>
      <c r="F7" t="s">
        <v>796</v>
      </c>
      <c r="G7" t="s">
        <v>795</v>
      </c>
      <c r="H7" t="s">
        <v>809</v>
      </c>
      <c r="I7" t="s">
        <v>839</v>
      </c>
      <c r="J7" t="str">
        <f t="shared" si="0"/>
        <v>i_n_glasses_6_p1_sink_bat_a</v>
      </c>
      <c r="L7" t="str">
        <f t="shared" si="1"/>
        <v>.*BAT.*-N-.*-n6.*-ANS</v>
      </c>
      <c r="M7" t="s">
        <v>1033</v>
      </c>
      <c r="N7" t="s">
        <v>1037</v>
      </c>
      <c r="O7">
        <v>6</v>
      </c>
      <c r="P7" t="s">
        <v>339</v>
      </c>
    </row>
    <row r="8" spans="1:16" x14ac:dyDescent="0.3">
      <c r="A8" t="s">
        <v>769</v>
      </c>
      <c r="B8" t="s">
        <v>787</v>
      </c>
      <c r="C8" t="s">
        <v>788</v>
      </c>
      <c r="D8" t="s">
        <v>818</v>
      </c>
      <c r="E8">
        <v>1</v>
      </c>
      <c r="F8" t="s">
        <v>797</v>
      </c>
      <c r="G8" t="s">
        <v>793</v>
      </c>
      <c r="H8" t="s">
        <v>797</v>
      </c>
      <c r="I8" t="s">
        <v>839</v>
      </c>
      <c r="J8" t="str">
        <f t="shared" si="0"/>
        <v>i_n_alarm_1_bed_p4_bed_a</v>
      </c>
      <c r="L8" t="str">
        <f t="shared" si="1"/>
        <v>.*BED.*-N-.*-n1.*-ANS</v>
      </c>
      <c r="M8" t="s">
        <v>1034</v>
      </c>
      <c r="N8" t="s">
        <v>1037</v>
      </c>
      <c r="O8">
        <v>1</v>
      </c>
      <c r="P8" t="s">
        <v>339</v>
      </c>
    </row>
    <row r="9" spans="1:16" x14ac:dyDescent="0.3">
      <c r="A9" t="s">
        <v>770</v>
      </c>
      <c r="B9" t="s">
        <v>787</v>
      </c>
      <c r="C9" t="s">
        <v>788</v>
      </c>
      <c r="D9" t="s">
        <v>819</v>
      </c>
      <c r="E9">
        <v>2</v>
      </c>
      <c r="F9" t="s">
        <v>798</v>
      </c>
      <c r="G9" t="s">
        <v>797</v>
      </c>
      <c r="H9" t="s">
        <v>797</v>
      </c>
      <c r="I9" t="s">
        <v>839</v>
      </c>
      <c r="J9" t="str">
        <f t="shared" si="0"/>
        <v>i_n_magazine_2_dresser_bed_bed_a</v>
      </c>
      <c r="L9" t="str">
        <f t="shared" si="1"/>
        <v>.*BED.*-N-.*-n2.*-ANS</v>
      </c>
      <c r="M9" t="s">
        <v>1034</v>
      </c>
      <c r="N9" t="s">
        <v>1037</v>
      </c>
      <c r="O9">
        <v>2</v>
      </c>
      <c r="P9" t="s">
        <v>339</v>
      </c>
    </row>
    <row r="10" spans="1:16" x14ac:dyDescent="0.3">
      <c r="A10" t="s">
        <v>771</v>
      </c>
      <c r="B10" t="s">
        <v>787</v>
      </c>
      <c r="C10" t="s">
        <v>788</v>
      </c>
      <c r="D10" t="s">
        <v>820</v>
      </c>
      <c r="E10">
        <v>3</v>
      </c>
      <c r="F10" t="s">
        <v>796</v>
      </c>
      <c r="G10" t="s">
        <v>798</v>
      </c>
      <c r="H10" t="s">
        <v>797</v>
      </c>
      <c r="I10" t="s">
        <v>839</v>
      </c>
      <c r="J10" t="str">
        <f t="shared" si="0"/>
        <v>i_n_picture_3_p1_dresser_bed_a</v>
      </c>
      <c r="L10" t="str">
        <f t="shared" si="1"/>
        <v>.*BED.*-N-.*-n3.*-ANS</v>
      </c>
      <c r="M10" t="s">
        <v>1034</v>
      </c>
      <c r="N10" t="s">
        <v>1037</v>
      </c>
      <c r="O10">
        <v>3</v>
      </c>
      <c r="P10" t="s">
        <v>339</v>
      </c>
    </row>
    <row r="11" spans="1:16" x14ac:dyDescent="0.3">
      <c r="A11" t="s">
        <v>772</v>
      </c>
      <c r="B11" t="s">
        <v>787</v>
      </c>
      <c r="C11" t="s">
        <v>788</v>
      </c>
      <c r="D11" t="s">
        <v>821</v>
      </c>
      <c r="E11">
        <v>4</v>
      </c>
      <c r="F11" t="s">
        <v>799</v>
      </c>
      <c r="G11" t="s">
        <v>800</v>
      </c>
      <c r="H11" t="s">
        <v>797</v>
      </c>
      <c r="I11" t="s">
        <v>839</v>
      </c>
      <c r="J11" t="str">
        <f t="shared" si="0"/>
        <v>i_n_frypan_4_bookshelf_wardrobe_bed_a</v>
      </c>
      <c r="L11" t="str">
        <f t="shared" si="1"/>
        <v>.*BED.*-N-.*-n4.*-ANS</v>
      </c>
      <c r="M11" t="s">
        <v>1034</v>
      </c>
      <c r="N11" t="s">
        <v>1037</v>
      </c>
      <c r="O11">
        <v>4</v>
      </c>
      <c r="P11" t="s">
        <v>339</v>
      </c>
    </row>
    <row r="12" spans="1:16" x14ac:dyDescent="0.3">
      <c r="A12" t="s">
        <v>773</v>
      </c>
      <c r="B12" t="s">
        <v>787</v>
      </c>
      <c r="C12" t="s">
        <v>788</v>
      </c>
      <c r="D12" t="s">
        <v>822</v>
      </c>
      <c r="E12">
        <v>5</v>
      </c>
      <c r="F12" t="s">
        <v>793</v>
      </c>
      <c r="G12" t="s">
        <v>791</v>
      </c>
      <c r="H12" t="s">
        <v>797</v>
      </c>
      <c r="I12" t="s">
        <v>839</v>
      </c>
      <c r="J12" t="str">
        <f t="shared" si="0"/>
        <v>i_n_phone_5_p4_p2_bed_a</v>
      </c>
      <c r="L12" t="str">
        <f t="shared" si="1"/>
        <v>.*BED.*-N-.*-n5.*-ANS</v>
      </c>
      <c r="M12" t="s">
        <v>1034</v>
      </c>
      <c r="N12" t="s">
        <v>1037</v>
      </c>
      <c r="O12">
        <v>5</v>
      </c>
      <c r="P12" t="s">
        <v>339</v>
      </c>
    </row>
    <row r="13" spans="1:16" x14ac:dyDescent="0.3">
      <c r="A13" t="s">
        <v>774</v>
      </c>
      <c r="B13" t="s">
        <v>787</v>
      </c>
      <c r="C13" t="s">
        <v>788</v>
      </c>
      <c r="D13" t="s">
        <v>823</v>
      </c>
      <c r="E13">
        <v>6</v>
      </c>
      <c r="F13" t="s">
        <v>792</v>
      </c>
      <c r="G13" t="s">
        <v>799</v>
      </c>
      <c r="H13" t="s">
        <v>797</v>
      </c>
      <c r="I13" t="s">
        <v>839</v>
      </c>
      <c r="J13" t="str">
        <f t="shared" si="0"/>
        <v>i_n_knife_6_p3_bookshelf_bed_a</v>
      </c>
      <c r="L13" t="str">
        <f t="shared" si="1"/>
        <v>.*BED.*-N-.*-n6.*-ANS</v>
      </c>
      <c r="M13" t="s">
        <v>1034</v>
      </c>
      <c r="N13" t="s">
        <v>1037</v>
      </c>
      <c r="O13">
        <v>6</v>
      </c>
      <c r="P13" t="s">
        <v>339</v>
      </c>
    </row>
    <row r="14" spans="1:16" x14ac:dyDescent="0.3">
      <c r="A14" t="s">
        <v>775</v>
      </c>
      <c r="B14" t="s">
        <v>787</v>
      </c>
      <c r="C14" t="s">
        <v>788</v>
      </c>
      <c r="D14" t="s">
        <v>824</v>
      </c>
      <c r="E14">
        <v>1</v>
      </c>
      <c r="F14" t="s">
        <v>791</v>
      </c>
      <c r="G14" t="s">
        <v>801</v>
      </c>
      <c r="H14" t="s">
        <v>810</v>
      </c>
      <c r="I14" t="s">
        <v>839</v>
      </c>
      <c r="J14" t="str">
        <f t="shared" si="0"/>
        <v>i_n_letters_1_p2_fridge_kit_a</v>
      </c>
      <c r="L14" t="str">
        <f t="shared" si="1"/>
        <v>.*KIT.*-N-.*-n1.*-ANS</v>
      </c>
      <c r="M14" t="s">
        <v>1035</v>
      </c>
      <c r="N14" t="s">
        <v>1037</v>
      </c>
      <c r="O14">
        <v>1</v>
      </c>
      <c r="P14" t="s">
        <v>339</v>
      </c>
    </row>
    <row r="15" spans="1:16" x14ac:dyDescent="0.3">
      <c r="A15" t="s">
        <v>776</v>
      </c>
      <c r="B15" t="s">
        <v>787</v>
      </c>
      <c r="C15" t="s">
        <v>788</v>
      </c>
      <c r="D15" t="s">
        <v>825</v>
      </c>
      <c r="E15">
        <v>2</v>
      </c>
      <c r="F15" t="s">
        <v>802</v>
      </c>
      <c r="G15" t="s">
        <v>791</v>
      </c>
      <c r="H15" t="s">
        <v>810</v>
      </c>
      <c r="I15" t="s">
        <v>839</v>
      </c>
      <c r="J15" t="str">
        <f t="shared" si="0"/>
        <v>i_n_cutlery_2_oven_p2_kit_a</v>
      </c>
      <c r="L15" t="str">
        <f t="shared" si="1"/>
        <v>.*KIT.*-N-.*-n2.*-ANS</v>
      </c>
      <c r="M15" t="s">
        <v>1035</v>
      </c>
      <c r="N15" t="s">
        <v>1037</v>
      </c>
      <c r="O15">
        <v>2</v>
      </c>
      <c r="P15" t="s">
        <v>339</v>
      </c>
    </row>
    <row r="16" spans="1:16" x14ac:dyDescent="0.3">
      <c r="A16" t="s">
        <v>777</v>
      </c>
      <c r="B16" t="s">
        <v>787</v>
      </c>
      <c r="C16" t="s">
        <v>788</v>
      </c>
      <c r="D16" t="s">
        <v>826</v>
      </c>
      <c r="E16">
        <v>3</v>
      </c>
      <c r="F16" t="s">
        <v>793</v>
      </c>
      <c r="G16" t="s">
        <v>802</v>
      </c>
      <c r="H16" t="s">
        <v>810</v>
      </c>
      <c r="I16" t="s">
        <v>839</v>
      </c>
      <c r="J16" t="str">
        <f t="shared" si="0"/>
        <v>i_n_toaster_3_p4_oven_kit_a</v>
      </c>
      <c r="L16" t="str">
        <f t="shared" si="1"/>
        <v>.*KIT.*-N-.*-n3.*-ANS</v>
      </c>
      <c r="M16" t="s">
        <v>1035</v>
      </c>
      <c r="N16" t="s">
        <v>1037</v>
      </c>
      <c r="O16">
        <v>3</v>
      </c>
      <c r="P16" t="s">
        <v>339</v>
      </c>
    </row>
    <row r="17" spans="1:16" x14ac:dyDescent="0.3">
      <c r="A17" t="s">
        <v>778</v>
      </c>
      <c r="B17" t="s">
        <v>787</v>
      </c>
      <c r="C17" t="s">
        <v>788</v>
      </c>
      <c r="D17" t="s">
        <v>827</v>
      </c>
      <c r="E17">
        <v>4</v>
      </c>
      <c r="F17" t="s">
        <v>796</v>
      </c>
      <c r="G17" t="s">
        <v>792</v>
      </c>
      <c r="H17" t="s">
        <v>810</v>
      </c>
      <c r="I17" t="s">
        <v>839</v>
      </c>
      <c r="J17" t="str">
        <f t="shared" si="0"/>
        <v>i_n_oil_4_p1_p3_kit_a</v>
      </c>
      <c r="L17" t="str">
        <f t="shared" si="1"/>
        <v>.*KIT.*-N-.*-n4.*-ANS</v>
      </c>
      <c r="M17" t="s">
        <v>1035</v>
      </c>
      <c r="N17" t="s">
        <v>1037</v>
      </c>
      <c r="O17">
        <v>4</v>
      </c>
      <c r="P17" t="s">
        <v>339</v>
      </c>
    </row>
    <row r="18" spans="1:16" x14ac:dyDescent="0.3">
      <c r="A18" t="s">
        <v>779</v>
      </c>
      <c r="B18" t="s">
        <v>787</v>
      </c>
      <c r="C18" t="s">
        <v>788</v>
      </c>
      <c r="D18" t="s">
        <v>828</v>
      </c>
      <c r="E18">
        <v>5</v>
      </c>
      <c r="F18" t="s">
        <v>803</v>
      </c>
      <c r="G18" t="s">
        <v>804</v>
      </c>
      <c r="H18" t="s">
        <v>810</v>
      </c>
      <c r="I18" t="s">
        <v>839</v>
      </c>
      <c r="J18" t="str">
        <f t="shared" si="0"/>
        <v>i_n_keys_5_bench_pantry_kit_a</v>
      </c>
      <c r="L18" t="str">
        <f t="shared" si="1"/>
        <v>.*KIT.*-N-.*-n5.*-ANS</v>
      </c>
      <c r="M18" t="s">
        <v>1035</v>
      </c>
      <c r="N18" t="s">
        <v>1037</v>
      </c>
      <c r="O18">
        <v>5</v>
      </c>
      <c r="P18" t="s">
        <v>339</v>
      </c>
    </row>
    <row r="19" spans="1:16" x14ac:dyDescent="0.3">
      <c r="A19" t="s">
        <v>780</v>
      </c>
      <c r="B19" t="s">
        <v>787</v>
      </c>
      <c r="C19" t="s">
        <v>788</v>
      </c>
      <c r="D19" t="s">
        <v>829</v>
      </c>
      <c r="E19">
        <v>6</v>
      </c>
      <c r="F19" t="s">
        <v>804</v>
      </c>
      <c r="G19" t="s">
        <v>803</v>
      </c>
      <c r="H19" t="s">
        <v>810</v>
      </c>
      <c r="I19" t="s">
        <v>839</v>
      </c>
      <c r="J19" t="str">
        <f t="shared" si="0"/>
        <v>i_n_tpaper_6_pantry_bench_kit_a</v>
      </c>
      <c r="L19" t="str">
        <f t="shared" si="1"/>
        <v>.*KIT.*-N-.*-n6.*-ANS</v>
      </c>
      <c r="M19" t="s">
        <v>1035</v>
      </c>
      <c r="N19" t="s">
        <v>1037</v>
      </c>
      <c r="O19">
        <v>6</v>
      </c>
      <c r="P19" t="s">
        <v>339</v>
      </c>
    </row>
    <row r="20" spans="1:16" x14ac:dyDescent="0.3">
      <c r="A20" t="s">
        <v>781</v>
      </c>
      <c r="B20" t="s">
        <v>787</v>
      </c>
      <c r="C20" t="s">
        <v>788</v>
      </c>
      <c r="D20" t="s">
        <v>830</v>
      </c>
      <c r="E20">
        <v>1</v>
      </c>
      <c r="F20" t="s">
        <v>805</v>
      </c>
      <c r="G20" t="s">
        <v>806</v>
      </c>
      <c r="H20" t="s">
        <v>811</v>
      </c>
      <c r="I20" t="s">
        <v>839</v>
      </c>
      <c r="J20" t="str">
        <f t="shared" si="0"/>
        <v>i_n_drill_1_couch_bookcase_liv_a</v>
      </c>
      <c r="L20" t="str">
        <f t="shared" si="1"/>
        <v>.*LIV.*-N-.*-n1.*-ANS</v>
      </c>
      <c r="M20" t="s">
        <v>1036</v>
      </c>
      <c r="N20" t="s">
        <v>1037</v>
      </c>
      <c r="O20">
        <v>1</v>
      </c>
      <c r="P20" t="s">
        <v>339</v>
      </c>
    </row>
    <row r="21" spans="1:16" x14ac:dyDescent="0.3">
      <c r="A21" t="s">
        <v>782</v>
      </c>
      <c r="B21" t="s">
        <v>787</v>
      </c>
      <c r="C21" t="s">
        <v>788</v>
      </c>
      <c r="D21" t="s">
        <v>831</v>
      </c>
      <c r="E21">
        <v>2</v>
      </c>
      <c r="F21" t="s">
        <v>793</v>
      </c>
      <c r="G21" t="s">
        <v>796</v>
      </c>
      <c r="H21" t="s">
        <v>811</v>
      </c>
      <c r="I21" t="s">
        <v>839</v>
      </c>
      <c r="J21" t="str">
        <f t="shared" si="0"/>
        <v>i_n_mask_2_p4_p1_liv_a</v>
      </c>
      <c r="L21" t="str">
        <f t="shared" si="1"/>
        <v>.*LIV.*-N-.*-n2.*-ANS</v>
      </c>
      <c r="M21" t="s">
        <v>1036</v>
      </c>
      <c r="N21" t="s">
        <v>1037</v>
      </c>
      <c r="O21">
        <v>2</v>
      </c>
      <c r="P21" t="s">
        <v>339</v>
      </c>
    </row>
    <row r="22" spans="1:16" x14ac:dyDescent="0.3">
      <c r="A22" t="s">
        <v>783</v>
      </c>
      <c r="B22" t="s">
        <v>787</v>
      </c>
      <c r="C22" t="s">
        <v>788</v>
      </c>
      <c r="D22" t="s">
        <v>832</v>
      </c>
      <c r="E22">
        <v>3</v>
      </c>
      <c r="F22" t="s">
        <v>791</v>
      </c>
      <c r="G22" t="s">
        <v>805</v>
      </c>
      <c r="H22" t="s">
        <v>811</v>
      </c>
      <c r="I22" t="s">
        <v>839</v>
      </c>
      <c r="J22" t="str">
        <f t="shared" si="0"/>
        <v>i_n_lamp_3_p2_couch_liv_a</v>
      </c>
      <c r="L22" t="str">
        <f t="shared" si="1"/>
        <v>.*LIV.*-N-.*-n3.*-ANS</v>
      </c>
      <c r="M22" t="s">
        <v>1036</v>
      </c>
      <c r="N22" t="s">
        <v>1037</v>
      </c>
      <c r="O22">
        <v>3</v>
      </c>
      <c r="P22" t="s">
        <v>339</v>
      </c>
    </row>
    <row r="23" spans="1:16" x14ac:dyDescent="0.3">
      <c r="A23" t="s">
        <v>784</v>
      </c>
      <c r="B23" t="s">
        <v>787</v>
      </c>
      <c r="C23" t="s">
        <v>788</v>
      </c>
      <c r="D23" t="s">
        <v>833</v>
      </c>
      <c r="E23">
        <v>4</v>
      </c>
      <c r="F23" t="s">
        <v>807</v>
      </c>
      <c r="G23" t="s">
        <v>791</v>
      </c>
      <c r="H23" t="s">
        <v>811</v>
      </c>
      <c r="I23" t="s">
        <v>839</v>
      </c>
      <c r="J23" t="str">
        <f t="shared" si="0"/>
        <v>i_n_handbag_4_tv_p2_liv_a</v>
      </c>
      <c r="L23" t="str">
        <f t="shared" si="1"/>
        <v>.*LIV.*-N-.*-n4.*-ANS</v>
      </c>
      <c r="M23" t="s">
        <v>1036</v>
      </c>
      <c r="N23" t="s">
        <v>1037</v>
      </c>
      <c r="O23">
        <v>4</v>
      </c>
      <c r="P23" t="s">
        <v>339</v>
      </c>
    </row>
    <row r="24" spans="1:16" x14ac:dyDescent="0.3">
      <c r="A24" t="s">
        <v>785</v>
      </c>
      <c r="B24" t="s">
        <v>787</v>
      </c>
      <c r="C24" t="s">
        <v>788</v>
      </c>
      <c r="D24" t="s">
        <v>834</v>
      </c>
      <c r="E24">
        <v>5</v>
      </c>
      <c r="F24" t="s">
        <v>808</v>
      </c>
      <c r="G24" t="s">
        <v>807</v>
      </c>
      <c r="H24" t="s">
        <v>811</v>
      </c>
      <c r="I24" t="s">
        <v>839</v>
      </c>
      <c r="J24" t="str">
        <f t="shared" si="0"/>
        <v>i_n_laptop_5_chair_tv_liv_a</v>
      </c>
      <c r="L24" t="str">
        <f t="shared" si="1"/>
        <v>.*LIV.*-N-.*-n5.*-ANS</v>
      </c>
      <c r="M24" t="s">
        <v>1036</v>
      </c>
      <c r="N24" t="s">
        <v>1037</v>
      </c>
      <c r="O24">
        <v>5</v>
      </c>
      <c r="P24" t="s">
        <v>339</v>
      </c>
    </row>
    <row r="25" spans="1:16" x14ac:dyDescent="0.3">
      <c r="A25" t="s">
        <v>786</v>
      </c>
      <c r="B25" t="s">
        <v>787</v>
      </c>
      <c r="C25" t="s">
        <v>788</v>
      </c>
      <c r="D25" t="s">
        <v>835</v>
      </c>
      <c r="E25">
        <v>6</v>
      </c>
      <c r="F25" t="s">
        <v>792</v>
      </c>
      <c r="G25" t="s">
        <v>808</v>
      </c>
      <c r="H25" t="s">
        <v>811</v>
      </c>
      <c r="I25" t="s">
        <v>839</v>
      </c>
      <c r="J25" t="str">
        <f t="shared" si="0"/>
        <v>i_n_newspaper_6_p3_chair_liv_a</v>
      </c>
      <c r="L25" t="str">
        <f t="shared" si="1"/>
        <v>.*LIV.*-N-.*-n6.*-ANS</v>
      </c>
      <c r="M25" t="s">
        <v>1036</v>
      </c>
      <c r="N25" t="s">
        <v>1037</v>
      </c>
      <c r="O25">
        <v>6</v>
      </c>
      <c r="P25" t="s">
        <v>339</v>
      </c>
    </row>
    <row r="26" spans="1:16" x14ac:dyDescent="0.3">
      <c r="A26" t="s">
        <v>763</v>
      </c>
      <c r="B26" t="s">
        <v>787</v>
      </c>
      <c r="C26" t="s">
        <v>836</v>
      </c>
      <c r="D26" t="s">
        <v>812</v>
      </c>
      <c r="E26">
        <v>1</v>
      </c>
      <c r="F26" t="s">
        <v>789</v>
      </c>
      <c r="G26" t="s">
        <v>790</v>
      </c>
      <c r="H26" t="s">
        <v>809</v>
      </c>
      <c r="I26" t="s">
        <v>839</v>
      </c>
      <c r="J26" t="str">
        <f t="shared" si="0"/>
        <v>i_u_duck_1_bath_shower_bat_a</v>
      </c>
      <c r="L26" t="str">
        <f t="shared" si="1"/>
        <v>.*BAT.*-U-.*-n1.*-ANS</v>
      </c>
      <c r="M26" t="s">
        <v>1033</v>
      </c>
      <c r="N26" t="s">
        <v>1038</v>
      </c>
      <c r="O26">
        <v>1</v>
      </c>
      <c r="P26" t="s">
        <v>339</v>
      </c>
    </row>
    <row r="27" spans="1:16" x14ac:dyDescent="0.3">
      <c r="A27" t="s">
        <v>764</v>
      </c>
      <c r="B27" t="s">
        <v>787</v>
      </c>
      <c r="C27" t="s">
        <v>836</v>
      </c>
      <c r="D27" t="s">
        <v>813</v>
      </c>
      <c r="E27">
        <v>2</v>
      </c>
      <c r="F27" t="s">
        <v>791</v>
      </c>
      <c r="G27" t="s">
        <v>789</v>
      </c>
      <c r="H27" t="s">
        <v>809</v>
      </c>
      <c r="I27" t="s">
        <v>839</v>
      </c>
      <c r="J27" t="str">
        <f t="shared" si="0"/>
        <v>i_u_remote_2_p2_bath_bat_a</v>
      </c>
      <c r="L27" t="str">
        <f t="shared" si="1"/>
        <v>.*BAT.*-U-.*-n2.*-ANS</v>
      </c>
      <c r="M27" t="s">
        <v>1033</v>
      </c>
      <c r="N27" t="s">
        <v>1038</v>
      </c>
      <c r="O27">
        <v>2</v>
      </c>
      <c r="P27" t="s">
        <v>339</v>
      </c>
    </row>
    <row r="28" spans="1:16" x14ac:dyDescent="0.3">
      <c r="A28" t="s">
        <v>765</v>
      </c>
      <c r="B28" t="s">
        <v>787</v>
      </c>
      <c r="C28" t="s">
        <v>836</v>
      </c>
      <c r="D28" t="s">
        <v>814</v>
      </c>
      <c r="E28">
        <v>3</v>
      </c>
      <c r="F28" t="s">
        <v>792</v>
      </c>
      <c r="G28" t="s">
        <v>793</v>
      </c>
      <c r="H28" t="s">
        <v>809</v>
      </c>
      <c r="I28" t="s">
        <v>839</v>
      </c>
      <c r="J28" t="str">
        <f t="shared" si="0"/>
        <v>i_u_tbrushes_3_p3_p4_bat_a</v>
      </c>
      <c r="L28" t="str">
        <f t="shared" si="1"/>
        <v>.*BAT.*-U-.*-n3.*-ANS</v>
      </c>
      <c r="M28" t="s">
        <v>1033</v>
      </c>
      <c r="N28" t="s">
        <v>1038</v>
      </c>
      <c r="O28">
        <v>3</v>
      </c>
      <c r="P28" t="s">
        <v>339</v>
      </c>
    </row>
    <row r="29" spans="1:16" x14ac:dyDescent="0.3">
      <c r="A29" t="s">
        <v>766</v>
      </c>
      <c r="B29" t="s">
        <v>787</v>
      </c>
      <c r="C29" t="s">
        <v>836</v>
      </c>
      <c r="D29" t="s">
        <v>815</v>
      </c>
      <c r="E29">
        <v>4</v>
      </c>
      <c r="F29" t="s">
        <v>794</v>
      </c>
      <c r="G29" t="s">
        <v>792</v>
      </c>
      <c r="H29" t="s">
        <v>809</v>
      </c>
      <c r="I29" t="s">
        <v>839</v>
      </c>
      <c r="J29" t="str">
        <f t="shared" si="0"/>
        <v>i_u_book_4_toilet_p3_bat_a</v>
      </c>
      <c r="L29" t="str">
        <f t="shared" si="1"/>
        <v>.*BAT.*-U-.*-n4.*-ANS</v>
      </c>
      <c r="M29" t="s">
        <v>1033</v>
      </c>
      <c r="N29" t="s">
        <v>1038</v>
      </c>
      <c r="O29">
        <v>4</v>
      </c>
      <c r="P29" t="s">
        <v>339</v>
      </c>
    </row>
    <row r="30" spans="1:16" x14ac:dyDescent="0.3">
      <c r="A30" t="s">
        <v>767</v>
      </c>
      <c r="B30" t="s">
        <v>787</v>
      </c>
      <c r="C30" t="s">
        <v>836</v>
      </c>
      <c r="D30" t="s">
        <v>816</v>
      </c>
      <c r="E30">
        <v>5</v>
      </c>
      <c r="F30" t="s">
        <v>795</v>
      </c>
      <c r="G30" t="s">
        <v>794</v>
      </c>
      <c r="H30" t="s">
        <v>809</v>
      </c>
      <c r="I30" t="s">
        <v>839</v>
      </c>
      <c r="J30" t="str">
        <f t="shared" si="0"/>
        <v>i_u_hammer_5_sink_toilet_bat_a</v>
      </c>
      <c r="L30" t="str">
        <f t="shared" si="1"/>
        <v>.*BAT.*-U-.*-n5.*-ANS</v>
      </c>
      <c r="M30" t="s">
        <v>1033</v>
      </c>
      <c r="N30" t="s">
        <v>1038</v>
      </c>
      <c r="O30">
        <v>5</v>
      </c>
      <c r="P30" t="s">
        <v>339</v>
      </c>
    </row>
    <row r="31" spans="1:16" x14ac:dyDescent="0.3">
      <c r="A31" t="s">
        <v>768</v>
      </c>
      <c r="B31" t="s">
        <v>787</v>
      </c>
      <c r="C31" t="s">
        <v>836</v>
      </c>
      <c r="D31" t="s">
        <v>817</v>
      </c>
      <c r="E31">
        <v>6</v>
      </c>
      <c r="F31" t="s">
        <v>796</v>
      </c>
      <c r="G31" t="s">
        <v>795</v>
      </c>
      <c r="H31" t="s">
        <v>809</v>
      </c>
      <c r="I31" t="s">
        <v>839</v>
      </c>
      <c r="J31" t="str">
        <f t="shared" si="0"/>
        <v>i_u_glasses_6_p1_sink_bat_a</v>
      </c>
      <c r="L31" t="str">
        <f t="shared" si="1"/>
        <v>.*BAT.*-U-.*-n6.*-ANS</v>
      </c>
      <c r="M31" t="s">
        <v>1033</v>
      </c>
      <c r="N31" t="s">
        <v>1038</v>
      </c>
      <c r="O31">
        <v>6</v>
      </c>
      <c r="P31" t="s">
        <v>339</v>
      </c>
    </row>
    <row r="32" spans="1:16" x14ac:dyDescent="0.3">
      <c r="A32" t="s">
        <v>769</v>
      </c>
      <c r="B32" t="s">
        <v>787</v>
      </c>
      <c r="C32" t="s">
        <v>836</v>
      </c>
      <c r="D32" t="s">
        <v>818</v>
      </c>
      <c r="E32">
        <v>1</v>
      </c>
      <c r="F32" t="s">
        <v>797</v>
      </c>
      <c r="G32" t="s">
        <v>793</v>
      </c>
      <c r="H32" t="s">
        <v>797</v>
      </c>
      <c r="I32" t="s">
        <v>839</v>
      </c>
      <c r="J32" t="str">
        <f t="shared" si="0"/>
        <v>i_u_alarm_1_bed_p4_bed_a</v>
      </c>
      <c r="L32" t="str">
        <f t="shared" si="1"/>
        <v>.*BED.*-U-.*-n1.*-ANS</v>
      </c>
      <c r="M32" t="s">
        <v>1034</v>
      </c>
      <c r="N32" t="s">
        <v>1038</v>
      </c>
      <c r="O32">
        <v>1</v>
      </c>
      <c r="P32" t="s">
        <v>339</v>
      </c>
    </row>
    <row r="33" spans="1:16" x14ac:dyDescent="0.3">
      <c r="A33" t="s">
        <v>770</v>
      </c>
      <c r="B33" t="s">
        <v>787</v>
      </c>
      <c r="C33" t="s">
        <v>836</v>
      </c>
      <c r="D33" t="s">
        <v>819</v>
      </c>
      <c r="E33">
        <v>2</v>
      </c>
      <c r="F33" t="s">
        <v>798</v>
      </c>
      <c r="G33" t="s">
        <v>797</v>
      </c>
      <c r="H33" t="s">
        <v>797</v>
      </c>
      <c r="I33" t="s">
        <v>839</v>
      </c>
      <c r="J33" t="str">
        <f t="shared" si="0"/>
        <v>i_u_magazine_2_dresser_bed_bed_a</v>
      </c>
      <c r="L33" t="str">
        <f t="shared" si="1"/>
        <v>.*BED.*-U-.*-n2.*-ANS</v>
      </c>
      <c r="M33" t="s">
        <v>1034</v>
      </c>
      <c r="N33" t="s">
        <v>1038</v>
      </c>
      <c r="O33">
        <v>2</v>
      </c>
      <c r="P33" t="s">
        <v>339</v>
      </c>
    </row>
    <row r="34" spans="1:16" x14ac:dyDescent="0.3">
      <c r="A34" t="s">
        <v>771</v>
      </c>
      <c r="B34" t="s">
        <v>787</v>
      </c>
      <c r="C34" t="s">
        <v>836</v>
      </c>
      <c r="D34" t="s">
        <v>820</v>
      </c>
      <c r="E34">
        <v>3</v>
      </c>
      <c r="F34" t="s">
        <v>796</v>
      </c>
      <c r="G34" t="s">
        <v>798</v>
      </c>
      <c r="H34" t="s">
        <v>797</v>
      </c>
      <c r="I34" t="s">
        <v>839</v>
      </c>
      <c r="J34" t="str">
        <f t="shared" si="0"/>
        <v>i_u_picture_3_p1_dresser_bed_a</v>
      </c>
      <c r="L34" t="str">
        <f t="shared" si="1"/>
        <v>.*BED.*-U-.*-n3.*-ANS</v>
      </c>
      <c r="M34" t="s">
        <v>1034</v>
      </c>
      <c r="N34" t="s">
        <v>1038</v>
      </c>
      <c r="O34">
        <v>3</v>
      </c>
      <c r="P34" t="s">
        <v>339</v>
      </c>
    </row>
    <row r="35" spans="1:16" x14ac:dyDescent="0.3">
      <c r="A35" t="s">
        <v>772</v>
      </c>
      <c r="B35" t="s">
        <v>787</v>
      </c>
      <c r="C35" t="s">
        <v>836</v>
      </c>
      <c r="D35" t="s">
        <v>821</v>
      </c>
      <c r="E35">
        <v>4</v>
      </c>
      <c r="F35" t="s">
        <v>799</v>
      </c>
      <c r="G35" t="s">
        <v>800</v>
      </c>
      <c r="H35" t="s">
        <v>797</v>
      </c>
      <c r="I35" t="s">
        <v>839</v>
      </c>
      <c r="J35" t="str">
        <f t="shared" si="0"/>
        <v>i_u_frypan_4_bookshelf_wardrobe_bed_a</v>
      </c>
      <c r="L35" t="str">
        <f t="shared" si="1"/>
        <v>.*BED.*-U-.*-n4.*-ANS</v>
      </c>
      <c r="M35" t="s">
        <v>1034</v>
      </c>
      <c r="N35" t="s">
        <v>1038</v>
      </c>
      <c r="O35">
        <v>4</v>
      </c>
      <c r="P35" t="s">
        <v>339</v>
      </c>
    </row>
    <row r="36" spans="1:16" x14ac:dyDescent="0.3">
      <c r="A36" t="s">
        <v>773</v>
      </c>
      <c r="B36" t="s">
        <v>787</v>
      </c>
      <c r="C36" t="s">
        <v>836</v>
      </c>
      <c r="D36" t="s">
        <v>822</v>
      </c>
      <c r="E36">
        <v>5</v>
      </c>
      <c r="F36" t="s">
        <v>793</v>
      </c>
      <c r="G36" t="s">
        <v>791</v>
      </c>
      <c r="H36" t="s">
        <v>797</v>
      </c>
      <c r="I36" t="s">
        <v>839</v>
      </c>
      <c r="J36" t="str">
        <f t="shared" si="0"/>
        <v>i_u_phone_5_p4_p2_bed_a</v>
      </c>
      <c r="L36" t="str">
        <f t="shared" si="1"/>
        <v>.*BED.*-U-.*-n5.*-ANS</v>
      </c>
      <c r="M36" t="s">
        <v>1034</v>
      </c>
      <c r="N36" t="s">
        <v>1038</v>
      </c>
      <c r="O36">
        <v>5</v>
      </c>
      <c r="P36" t="s">
        <v>339</v>
      </c>
    </row>
    <row r="37" spans="1:16" x14ac:dyDescent="0.3">
      <c r="A37" t="s">
        <v>774</v>
      </c>
      <c r="B37" t="s">
        <v>787</v>
      </c>
      <c r="C37" t="s">
        <v>836</v>
      </c>
      <c r="D37" t="s">
        <v>823</v>
      </c>
      <c r="E37">
        <v>6</v>
      </c>
      <c r="F37" t="s">
        <v>792</v>
      </c>
      <c r="G37" t="s">
        <v>799</v>
      </c>
      <c r="H37" t="s">
        <v>797</v>
      </c>
      <c r="I37" t="s">
        <v>839</v>
      </c>
      <c r="J37" t="str">
        <f t="shared" si="0"/>
        <v>i_u_knife_6_p3_bookshelf_bed_a</v>
      </c>
      <c r="L37" t="str">
        <f t="shared" si="1"/>
        <v>.*BED.*-U-.*-n6.*-ANS</v>
      </c>
      <c r="M37" t="s">
        <v>1034</v>
      </c>
      <c r="N37" t="s">
        <v>1038</v>
      </c>
      <c r="O37">
        <v>6</v>
      </c>
      <c r="P37" t="s">
        <v>339</v>
      </c>
    </row>
    <row r="38" spans="1:16" x14ac:dyDescent="0.3">
      <c r="A38" t="s">
        <v>775</v>
      </c>
      <c r="B38" t="s">
        <v>787</v>
      </c>
      <c r="C38" t="s">
        <v>836</v>
      </c>
      <c r="D38" t="s">
        <v>824</v>
      </c>
      <c r="E38">
        <v>1</v>
      </c>
      <c r="F38" t="s">
        <v>791</v>
      </c>
      <c r="G38" t="s">
        <v>801</v>
      </c>
      <c r="H38" t="s">
        <v>810</v>
      </c>
      <c r="I38" t="s">
        <v>839</v>
      </c>
      <c r="J38" t="str">
        <f t="shared" si="0"/>
        <v>i_u_letters_1_p2_fridge_kit_a</v>
      </c>
      <c r="L38" t="str">
        <f t="shared" si="1"/>
        <v>.*KIT.*-U-.*-n1.*-ANS</v>
      </c>
      <c r="M38" t="s">
        <v>1035</v>
      </c>
      <c r="N38" t="s">
        <v>1038</v>
      </c>
      <c r="O38">
        <v>1</v>
      </c>
      <c r="P38" t="s">
        <v>339</v>
      </c>
    </row>
    <row r="39" spans="1:16" x14ac:dyDescent="0.3">
      <c r="A39" t="s">
        <v>776</v>
      </c>
      <c r="B39" t="s">
        <v>787</v>
      </c>
      <c r="C39" t="s">
        <v>836</v>
      </c>
      <c r="D39" t="s">
        <v>825</v>
      </c>
      <c r="E39">
        <v>2</v>
      </c>
      <c r="F39" t="s">
        <v>802</v>
      </c>
      <c r="G39" t="s">
        <v>791</v>
      </c>
      <c r="H39" t="s">
        <v>810</v>
      </c>
      <c r="I39" t="s">
        <v>839</v>
      </c>
      <c r="J39" t="str">
        <f t="shared" si="0"/>
        <v>i_u_cutlery_2_oven_p2_kit_a</v>
      </c>
      <c r="L39" t="str">
        <f t="shared" si="1"/>
        <v>.*KIT.*-U-.*-n2.*-ANS</v>
      </c>
      <c r="M39" t="s">
        <v>1035</v>
      </c>
      <c r="N39" t="s">
        <v>1038</v>
      </c>
      <c r="O39">
        <v>2</v>
      </c>
      <c r="P39" t="s">
        <v>339</v>
      </c>
    </row>
    <row r="40" spans="1:16" x14ac:dyDescent="0.3">
      <c r="A40" t="s">
        <v>777</v>
      </c>
      <c r="B40" t="s">
        <v>787</v>
      </c>
      <c r="C40" t="s">
        <v>836</v>
      </c>
      <c r="D40" t="s">
        <v>826</v>
      </c>
      <c r="E40">
        <v>3</v>
      </c>
      <c r="F40" t="s">
        <v>793</v>
      </c>
      <c r="G40" t="s">
        <v>802</v>
      </c>
      <c r="H40" t="s">
        <v>810</v>
      </c>
      <c r="I40" t="s">
        <v>839</v>
      </c>
      <c r="J40" t="str">
        <f t="shared" si="0"/>
        <v>i_u_toaster_3_p4_oven_kit_a</v>
      </c>
      <c r="L40" t="str">
        <f t="shared" si="1"/>
        <v>.*KIT.*-U-.*-n3.*-ANS</v>
      </c>
      <c r="M40" t="s">
        <v>1035</v>
      </c>
      <c r="N40" t="s">
        <v>1038</v>
      </c>
      <c r="O40">
        <v>3</v>
      </c>
      <c r="P40" t="s">
        <v>339</v>
      </c>
    </row>
    <row r="41" spans="1:16" x14ac:dyDescent="0.3">
      <c r="A41" t="s">
        <v>778</v>
      </c>
      <c r="B41" t="s">
        <v>787</v>
      </c>
      <c r="C41" t="s">
        <v>836</v>
      </c>
      <c r="D41" t="s">
        <v>827</v>
      </c>
      <c r="E41">
        <v>4</v>
      </c>
      <c r="F41" t="s">
        <v>796</v>
      </c>
      <c r="G41" t="s">
        <v>792</v>
      </c>
      <c r="H41" t="s">
        <v>810</v>
      </c>
      <c r="I41" t="s">
        <v>839</v>
      </c>
      <c r="J41" t="str">
        <f t="shared" si="0"/>
        <v>i_u_oil_4_p1_p3_kit_a</v>
      </c>
      <c r="L41" t="str">
        <f t="shared" si="1"/>
        <v>.*KIT.*-U-.*-n4.*-ANS</v>
      </c>
      <c r="M41" t="s">
        <v>1035</v>
      </c>
      <c r="N41" t="s">
        <v>1038</v>
      </c>
      <c r="O41">
        <v>4</v>
      </c>
      <c r="P41" t="s">
        <v>339</v>
      </c>
    </row>
    <row r="42" spans="1:16" x14ac:dyDescent="0.3">
      <c r="A42" t="s">
        <v>779</v>
      </c>
      <c r="B42" t="s">
        <v>787</v>
      </c>
      <c r="C42" t="s">
        <v>836</v>
      </c>
      <c r="D42" t="s">
        <v>828</v>
      </c>
      <c r="E42">
        <v>5</v>
      </c>
      <c r="F42" t="s">
        <v>803</v>
      </c>
      <c r="G42" t="s">
        <v>804</v>
      </c>
      <c r="H42" t="s">
        <v>810</v>
      </c>
      <c r="I42" t="s">
        <v>839</v>
      </c>
      <c r="J42" t="str">
        <f t="shared" si="0"/>
        <v>i_u_keys_5_bench_pantry_kit_a</v>
      </c>
      <c r="L42" t="str">
        <f t="shared" si="1"/>
        <v>.*KIT.*-U-.*-n5.*-ANS</v>
      </c>
      <c r="M42" t="s">
        <v>1035</v>
      </c>
      <c r="N42" t="s">
        <v>1038</v>
      </c>
      <c r="O42">
        <v>5</v>
      </c>
      <c r="P42" t="s">
        <v>339</v>
      </c>
    </row>
    <row r="43" spans="1:16" x14ac:dyDescent="0.3">
      <c r="A43" t="s">
        <v>780</v>
      </c>
      <c r="B43" t="s">
        <v>787</v>
      </c>
      <c r="C43" t="s">
        <v>836</v>
      </c>
      <c r="D43" t="s">
        <v>829</v>
      </c>
      <c r="E43">
        <v>6</v>
      </c>
      <c r="F43" t="s">
        <v>804</v>
      </c>
      <c r="G43" t="s">
        <v>803</v>
      </c>
      <c r="H43" t="s">
        <v>810</v>
      </c>
      <c r="I43" t="s">
        <v>839</v>
      </c>
      <c r="J43" t="str">
        <f t="shared" si="0"/>
        <v>i_u_tpaper_6_pantry_bench_kit_a</v>
      </c>
      <c r="L43" t="str">
        <f t="shared" si="1"/>
        <v>.*KIT.*-U-.*-n6.*-ANS</v>
      </c>
      <c r="M43" t="s">
        <v>1035</v>
      </c>
      <c r="N43" t="s">
        <v>1038</v>
      </c>
      <c r="O43">
        <v>6</v>
      </c>
      <c r="P43" t="s">
        <v>339</v>
      </c>
    </row>
    <row r="44" spans="1:16" x14ac:dyDescent="0.3">
      <c r="A44" t="s">
        <v>781</v>
      </c>
      <c r="B44" t="s">
        <v>787</v>
      </c>
      <c r="C44" t="s">
        <v>836</v>
      </c>
      <c r="D44" t="s">
        <v>830</v>
      </c>
      <c r="E44">
        <v>1</v>
      </c>
      <c r="F44" t="s">
        <v>805</v>
      </c>
      <c r="G44" t="s">
        <v>806</v>
      </c>
      <c r="H44" t="s">
        <v>811</v>
      </c>
      <c r="I44" t="s">
        <v>839</v>
      </c>
      <c r="J44" t="str">
        <f t="shared" si="0"/>
        <v>i_u_drill_1_couch_bookcase_liv_a</v>
      </c>
      <c r="L44" t="str">
        <f t="shared" si="1"/>
        <v>.*LIV.*-U-.*-n1.*-ANS</v>
      </c>
      <c r="M44" t="s">
        <v>1036</v>
      </c>
      <c r="N44" t="s">
        <v>1038</v>
      </c>
      <c r="O44">
        <v>1</v>
      </c>
      <c r="P44" t="s">
        <v>339</v>
      </c>
    </row>
    <row r="45" spans="1:16" x14ac:dyDescent="0.3">
      <c r="A45" t="s">
        <v>782</v>
      </c>
      <c r="B45" t="s">
        <v>787</v>
      </c>
      <c r="C45" t="s">
        <v>836</v>
      </c>
      <c r="D45" t="s">
        <v>831</v>
      </c>
      <c r="E45">
        <v>2</v>
      </c>
      <c r="F45" t="s">
        <v>793</v>
      </c>
      <c r="G45" t="s">
        <v>796</v>
      </c>
      <c r="H45" t="s">
        <v>811</v>
      </c>
      <c r="I45" t="s">
        <v>839</v>
      </c>
      <c r="J45" t="str">
        <f t="shared" si="0"/>
        <v>i_u_mask_2_p4_p1_liv_a</v>
      </c>
      <c r="L45" t="str">
        <f t="shared" si="1"/>
        <v>.*LIV.*-U-.*-n2.*-ANS</v>
      </c>
      <c r="M45" t="s">
        <v>1036</v>
      </c>
      <c r="N45" t="s">
        <v>1038</v>
      </c>
      <c r="O45">
        <v>2</v>
      </c>
      <c r="P45" t="s">
        <v>339</v>
      </c>
    </row>
    <row r="46" spans="1:16" x14ac:dyDescent="0.3">
      <c r="A46" t="s">
        <v>783</v>
      </c>
      <c r="B46" t="s">
        <v>787</v>
      </c>
      <c r="C46" t="s">
        <v>836</v>
      </c>
      <c r="D46" t="s">
        <v>832</v>
      </c>
      <c r="E46">
        <v>3</v>
      </c>
      <c r="F46" t="s">
        <v>791</v>
      </c>
      <c r="G46" t="s">
        <v>805</v>
      </c>
      <c r="H46" t="s">
        <v>811</v>
      </c>
      <c r="I46" t="s">
        <v>839</v>
      </c>
      <c r="J46" t="str">
        <f t="shared" si="0"/>
        <v>i_u_lamp_3_p2_couch_liv_a</v>
      </c>
      <c r="L46" t="str">
        <f t="shared" si="1"/>
        <v>.*LIV.*-U-.*-n3.*-ANS</v>
      </c>
      <c r="M46" t="s">
        <v>1036</v>
      </c>
      <c r="N46" t="s">
        <v>1038</v>
      </c>
      <c r="O46">
        <v>3</v>
      </c>
      <c r="P46" t="s">
        <v>339</v>
      </c>
    </row>
    <row r="47" spans="1:16" x14ac:dyDescent="0.3">
      <c r="A47" t="s">
        <v>784</v>
      </c>
      <c r="B47" t="s">
        <v>787</v>
      </c>
      <c r="C47" t="s">
        <v>836</v>
      </c>
      <c r="D47" t="s">
        <v>833</v>
      </c>
      <c r="E47">
        <v>4</v>
      </c>
      <c r="F47" t="s">
        <v>807</v>
      </c>
      <c r="G47" t="s">
        <v>791</v>
      </c>
      <c r="H47" t="s">
        <v>811</v>
      </c>
      <c r="I47" t="s">
        <v>839</v>
      </c>
      <c r="J47" t="str">
        <f t="shared" si="0"/>
        <v>i_u_handbag_4_tv_p2_liv_a</v>
      </c>
      <c r="L47" t="str">
        <f t="shared" si="1"/>
        <v>.*LIV.*-U-.*-n4.*-ANS</v>
      </c>
      <c r="M47" t="s">
        <v>1036</v>
      </c>
      <c r="N47" t="s">
        <v>1038</v>
      </c>
      <c r="O47">
        <v>4</v>
      </c>
      <c r="P47" t="s">
        <v>339</v>
      </c>
    </row>
    <row r="48" spans="1:16" x14ac:dyDescent="0.3">
      <c r="A48" t="s">
        <v>785</v>
      </c>
      <c r="B48" t="s">
        <v>787</v>
      </c>
      <c r="C48" t="s">
        <v>836</v>
      </c>
      <c r="D48" t="s">
        <v>834</v>
      </c>
      <c r="E48">
        <v>5</v>
      </c>
      <c r="F48" t="s">
        <v>808</v>
      </c>
      <c r="G48" t="s">
        <v>807</v>
      </c>
      <c r="H48" t="s">
        <v>811</v>
      </c>
      <c r="I48" t="s">
        <v>839</v>
      </c>
      <c r="J48" t="str">
        <f t="shared" si="0"/>
        <v>i_u_laptop_5_chair_tv_liv_a</v>
      </c>
      <c r="L48" t="str">
        <f t="shared" si="1"/>
        <v>.*LIV.*-U-.*-n5.*-ANS</v>
      </c>
      <c r="M48" t="s">
        <v>1036</v>
      </c>
      <c r="N48" t="s">
        <v>1038</v>
      </c>
      <c r="O48">
        <v>5</v>
      </c>
      <c r="P48" t="s">
        <v>339</v>
      </c>
    </row>
    <row r="49" spans="1:16" x14ac:dyDescent="0.3">
      <c r="A49" t="s">
        <v>786</v>
      </c>
      <c r="B49" t="s">
        <v>787</v>
      </c>
      <c r="C49" t="s">
        <v>836</v>
      </c>
      <c r="D49" t="s">
        <v>835</v>
      </c>
      <c r="E49">
        <v>6</v>
      </c>
      <c r="F49" t="s">
        <v>792</v>
      </c>
      <c r="G49" t="s">
        <v>808</v>
      </c>
      <c r="H49" t="s">
        <v>811</v>
      </c>
      <c r="I49" t="s">
        <v>839</v>
      </c>
      <c r="J49" t="str">
        <f t="shared" si="0"/>
        <v>i_u_newspaper_6_p3_chair_liv_a</v>
      </c>
      <c r="L49" t="str">
        <f t="shared" si="1"/>
        <v>.*LIV.*-U-.*-n6.*-ANS</v>
      </c>
      <c r="M49" t="s">
        <v>1036</v>
      </c>
      <c r="N49" t="s">
        <v>1038</v>
      </c>
      <c r="O49">
        <v>6</v>
      </c>
      <c r="P49" t="s">
        <v>339</v>
      </c>
    </row>
    <row r="50" spans="1:16" x14ac:dyDescent="0.3">
      <c r="A50" t="s">
        <v>763</v>
      </c>
      <c r="B50" t="s">
        <v>787</v>
      </c>
      <c r="C50" t="s">
        <v>837</v>
      </c>
      <c r="D50" t="s">
        <v>812</v>
      </c>
      <c r="E50">
        <v>1</v>
      </c>
      <c r="F50" t="s">
        <v>789</v>
      </c>
      <c r="G50" t="s">
        <v>790</v>
      </c>
      <c r="H50" t="s">
        <v>809</v>
      </c>
      <c r="I50" t="s">
        <v>839</v>
      </c>
      <c r="J50" t="str">
        <f t="shared" si="0"/>
        <v>i_d_duck_1_bath_shower_bat_a</v>
      </c>
      <c r="L50" t="str">
        <f t="shared" si="1"/>
        <v>.*BAT.*-D-.*-n1.*-ANS</v>
      </c>
      <c r="M50" t="s">
        <v>1033</v>
      </c>
      <c r="N50" t="s">
        <v>1039</v>
      </c>
      <c r="O50">
        <v>1</v>
      </c>
      <c r="P50" t="s">
        <v>339</v>
      </c>
    </row>
    <row r="51" spans="1:16" x14ac:dyDescent="0.3">
      <c r="A51" t="s">
        <v>764</v>
      </c>
      <c r="B51" t="s">
        <v>787</v>
      </c>
      <c r="C51" t="s">
        <v>837</v>
      </c>
      <c r="D51" t="s">
        <v>813</v>
      </c>
      <c r="E51">
        <v>2</v>
      </c>
      <c r="F51" t="s">
        <v>791</v>
      </c>
      <c r="G51" t="s">
        <v>789</v>
      </c>
      <c r="H51" t="s">
        <v>809</v>
      </c>
      <c r="I51" t="s">
        <v>839</v>
      </c>
      <c r="J51" t="str">
        <f t="shared" si="0"/>
        <v>i_d_remote_2_p2_bath_bat_a</v>
      </c>
      <c r="L51" t="str">
        <f t="shared" si="1"/>
        <v>.*BAT.*-D-.*-n2.*-ANS</v>
      </c>
      <c r="M51" t="s">
        <v>1033</v>
      </c>
      <c r="N51" t="s">
        <v>1039</v>
      </c>
      <c r="O51">
        <v>2</v>
      </c>
      <c r="P51" t="s">
        <v>339</v>
      </c>
    </row>
    <row r="52" spans="1:16" x14ac:dyDescent="0.3">
      <c r="A52" t="s">
        <v>765</v>
      </c>
      <c r="B52" t="s">
        <v>787</v>
      </c>
      <c r="C52" t="s">
        <v>837</v>
      </c>
      <c r="D52" t="s">
        <v>814</v>
      </c>
      <c r="E52">
        <v>3</v>
      </c>
      <c r="F52" t="s">
        <v>792</v>
      </c>
      <c r="G52" t="s">
        <v>793</v>
      </c>
      <c r="H52" t="s">
        <v>809</v>
      </c>
      <c r="I52" t="s">
        <v>839</v>
      </c>
      <c r="J52" t="str">
        <f t="shared" si="0"/>
        <v>i_d_tbrushes_3_p3_p4_bat_a</v>
      </c>
      <c r="L52" t="str">
        <f t="shared" si="1"/>
        <v>.*BAT.*-D-.*-n3.*-ANS</v>
      </c>
      <c r="M52" t="s">
        <v>1033</v>
      </c>
      <c r="N52" t="s">
        <v>1039</v>
      </c>
      <c r="O52">
        <v>3</v>
      </c>
      <c r="P52" t="s">
        <v>339</v>
      </c>
    </row>
    <row r="53" spans="1:16" x14ac:dyDescent="0.3">
      <c r="A53" t="s">
        <v>766</v>
      </c>
      <c r="B53" t="s">
        <v>787</v>
      </c>
      <c r="C53" t="s">
        <v>837</v>
      </c>
      <c r="D53" t="s">
        <v>815</v>
      </c>
      <c r="E53">
        <v>4</v>
      </c>
      <c r="F53" t="s">
        <v>794</v>
      </c>
      <c r="G53" t="s">
        <v>792</v>
      </c>
      <c r="H53" t="s">
        <v>809</v>
      </c>
      <c r="I53" t="s">
        <v>839</v>
      </c>
      <c r="J53" t="str">
        <f t="shared" si="0"/>
        <v>i_d_book_4_toilet_p3_bat_a</v>
      </c>
      <c r="L53" t="str">
        <f t="shared" si="1"/>
        <v>.*BAT.*-D-.*-n4.*-ANS</v>
      </c>
      <c r="M53" t="s">
        <v>1033</v>
      </c>
      <c r="N53" t="s">
        <v>1039</v>
      </c>
      <c r="O53">
        <v>4</v>
      </c>
      <c r="P53" t="s">
        <v>339</v>
      </c>
    </row>
    <row r="54" spans="1:16" x14ac:dyDescent="0.3">
      <c r="A54" t="s">
        <v>767</v>
      </c>
      <c r="B54" t="s">
        <v>787</v>
      </c>
      <c r="C54" t="s">
        <v>837</v>
      </c>
      <c r="D54" t="s">
        <v>816</v>
      </c>
      <c r="E54">
        <v>5</v>
      </c>
      <c r="F54" t="s">
        <v>795</v>
      </c>
      <c r="G54" t="s">
        <v>794</v>
      </c>
      <c r="H54" t="s">
        <v>809</v>
      </c>
      <c r="I54" t="s">
        <v>839</v>
      </c>
      <c r="J54" t="str">
        <f t="shared" si="0"/>
        <v>i_d_hammer_5_sink_toilet_bat_a</v>
      </c>
      <c r="L54" t="str">
        <f t="shared" si="1"/>
        <v>.*BAT.*-D-.*-n5.*-ANS</v>
      </c>
      <c r="M54" t="s">
        <v>1033</v>
      </c>
      <c r="N54" t="s">
        <v>1039</v>
      </c>
      <c r="O54">
        <v>5</v>
      </c>
      <c r="P54" t="s">
        <v>339</v>
      </c>
    </row>
    <row r="55" spans="1:16" x14ac:dyDescent="0.3">
      <c r="A55" t="s">
        <v>768</v>
      </c>
      <c r="B55" t="s">
        <v>787</v>
      </c>
      <c r="C55" t="s">
        <v>837</v>
      </c>
      <c r="D55" t="s">
        <v>817</v>
      </c>
      <c r="E55">
        <v>6</v>
      </c>
      <c r="F55" t="s">
        <v>796</v>
      </c>
      <c r="G55" t="s">
        <v>795</v>
      </c>
      <c r="H55" t="s">
        <v>809</v>
      </c>
      <c r="I55" t="s">
        <v>839</v>
      </c>
      <c r="J55" t="str">
        <f t="shared" si="0"/>
        <v>i_d_glasses_6_p1_sink_bat_a</v>
      </c>
      <c r="L55" t="str">
        <f t="shared" si="1"/>
        <v>.*BAT.*-D-.*-n6.*-ANS</v>
      </c>
      <c r="M55" t="s">
        <v>1033</v>
      </c>
      <c r="N55" t="s">
        <v>1039</v>
      </c>
      <c r="O55">
        <v>6</v>
      </c>
      <c r="P55" t="s">
        <v>339</v>
      </c>
    </row>
    <row r="56" spans="1:16" x14ac:dyDescent="0.3">
      <c r="A56" t="s">
        <v>769</v>
      </c>
      <c r="B56" t="s">
        <v>787</v>
      </c>
      <c r="C56" t="s">
        <v>837</v>
      </c>
      <c r="D56" t="s">
        <v>818</v>
      </c>
      <c r="E56">
        <v>1</v>
      </c>
      <c r="F56" t="s">
        <v>797</v>
      </c>
      <c r="G56" t="s">
        <v>793</v>
      </c>
      <c r="H56" t="s">
        <v>797</v>
      </c>
      <c r="I56" t="s">
        <v>839</v>
      </c>
      <c r="J56" t="str">
        <f t="shared" si="0"/>
        <v>i_d_alarm_1_bed_p4_bed_a</v>
      </c>
      <c r="L56" t="str">
        <f t="shared" si="1"/>
        <v>.*BED.*-D-.*-n1.*-ANS</v>
      </c>
      <c r="M56" t="s">
        <v>1034</v>
      </c>
      <c r="N56" t="s">
        <v>1039</v>
      </c>
      <c r="O56">
        <v>1</v>
      </c>
      <c r="P56" t="s">
        <v>339</v>
      </c>
    </row>
    <row r="57" spans="1:16" x14ac:dyDescent="0.3">
      <c r="A57" t="s">
        <v>770</v>
      </c>
      <c r="B57" t="s">
        <v>787</v>
      </c>
      <c r="C57" t="s">
        <v>837</v>
      </c>
      <c r="D57" t="s">
        <v>819</v>
      </c>
      <c r="E57">
        <v>2</v>
      </c>
      <c r="F57" t="s">
        <v>798</v>
      </c>
      <c r="G57" t="s">
        <v>797</v>
      </c>
      <c r="H57" t="s">
        <v>797</v>
      </c>
      <c r="I57" t="s">
        <v>839</v>
      </c>
      <c r="J57" t="str">
        <f t="shared" si="0"/>
        <v>i_d_magazine_2_dresser_bed_bed_a</v>
      </c>
      <c r="L57" t="str">
        <f t="shared" si="1"/>
        <v>.*BED.*-D-.*-n2.*-ANS</v>
      </c>
      <c r="M57" t="s">
        <v>1034</v>
      </c>
      <c r="N57" t="s">
        <v>1039</v>
      </c>
      <c r="O57">
        <v>2</v>
      </c>
      <c r="P57" t="s">
        <v>339</v>
      </c>
    </row>
    <row r="58" spans="1:16" x14ac:dyDescent="0.3">
      <c r="A58" t="s">
        <v>771</v>
      </c>
      <c r="B58" t="s">
        <v>787</v>
      </c>
      <c r="C58" t="s">
        <v>837</v>
      </c>
      <c r="D58" t="s">
        <v>820</v>
      </c>
      <c r="E58">
        <v>3</v>
      </c>
      <c r="F58" t="s">
        <v>796</v>
      </c>
      <c r="G58" t="s">
        <v>798</v>
      </c>
      <c r="H58" t="s">
        <v>797</v>
      </c>
      <c r="I58" t="s">
        <v>839</v>
      </c>
      <c r="J58" t="str">
        <f t="shared" si="0"/>
        <v>i_d_picture_3_p1_dresser_bed_a</v>
      </c>
      <c r="L58" t="str">
        <f t="shared" si="1"/>
        <v>.*BED.*-D-.*-n3.*-ANS</v>
      </c>
      <c r="M58" t="s">
        <v>1034</v>
      </c>
      <c r="N58" t="s">
        <v>1039</v>
      </c>
      <c r="O58">
        <v>3</v>
      </c>
      <c r="P58" t="s">
        <v>339</v>
      </c>
    </row>
    <row r="59" spans="1:16" x14ac:dyDescent="0.3">
      <c r="A59" t="s">
        <v>772</v>
      </c>
      <c r="B59" t="s">
        <v>787</v>
      </c>
      <c r="C59" t="s">
        <v>837</v>
      </c>
      <c r="D59" t="s">
        <v>821</v>
      </c>
      <c r="E59">
        <v>4</v>
      </c>
      <c r="F59" t="s">
        <v>799</v>
      </c>
      <c r="G59" t="s">
        <v>800</v>
      </c>
      <c r="H59" t="s">
        <v>797</v>
      </c>
      <c r="I59" t="s">
        <v>839</v>
      </c>
      <c r="J59" t="str">
        <f t="shared" si="0"/>
        <v>i_d_frypan_4_bookshelf_wardrobe_bed_a</v>
      </c>
      <c r="L59" t="str">
        <f t="shared" si="1"/>
        <v>.*BED.*-D-.*-n4.*-ANS</v>
      </c>
      <c r="M59" t="s">
        <v>1034</v>
      </c>
      <c r="N59" t="s">
        <v>1039</v>
      </c>
      <c r="O59">
        <v>4</v>
      </c>
      <c r="P59" t="s">
        <v>339</v>
      </c>
    </row>
    <row r="60" spans="1:16" x14ac:dyDescent="0.3">
      <c r="A60" t="s">
        <v>773</v>
      </c>
      <c r="B60" t="s">
        <v>787</v>
      </c>
      <c r="C60" t="s">
        <v>837</v>
      </c>
      <c r="D60" t="s">
        <v>822</v>
      </c>
      <c r="E60">
        <v>5</v>
      </c>
      <c r="F60" t="s">
        <v>793</v>
      </c>
      <c r="G60" t="s">
        <v>791</v>
      </c>
      <c r="H60" t="s">
        <v>797</v>
      </c>
      <c r="I60" t="s">
        <v>839</v>
      </c>
      <c r="J60" t="str">
        <f t="shared" si="0"/>
        <v>i_d_phone_5_p4_p2_bed_a</v>
      </c>
      <c r="L60" t="str">
        <f t="shared" si="1"/>
        <v>.*BED.*-D-.*-n5.*-ANS</v>
      </c>
      <c r="M60" t="s">
        <v>1034</v>
      </c>
      <c r="N60" t="s">
        <v>1039</v>
      </c>
      <c r="O60">
        <v>5</v>
      </c>
      <c r="P60" t="s">
        <v>339</v>
      </c>
    </row>
    <row r="61" spans="1:16" x14ac:dyDescent="0.3">
      <c r="A61" t="s">
        <v>774</v>
      </c>
      <c r="B61" t="s">
        <v>787</v>
      </c>
      <c r="C61" t="s">
        <v>837</v>
      </c>
      <c r="D61" t="s">
        <v>823</v>
      </c>
      <c r="E61">
        <v>6</v>
      </c>
      <c r="F61" t="s">
        <v>792</v>
      </c>
      <c r="G61" t="s">
        <v>799</v>
      </c>
      <c r="H61" t="s">
        <v>797</v>
      </c>
      <c r="I61" t="s">
        <v>839</v>
      </c>
      <c r="J61" t="str">
        <f t="shared" si="0"/>
        <v>i_d_knife_6_p3_bookshelf_bed_a</v>
      </c>
      <c r="L61" t="str">
        <f t="shared" si="1"/>
        <v>.*BED.*-D-.*-n6.*-ANS</v>
      </c>
      <c r="M61" t="s">
        <v>1034</v>
      </c>
      <c r="N61" t="s">
        <v>1039</v>
      </c>
      <c r="O61">
        <v>6</v>
      </c>
      <c r="P61" t="s">
        <v>339</v>
      </c>
    </row>
    <row r="62" spans="1:16" x14ac:dyDescent="0.3">
      <c r="A62" t="s">
        <v>775</v>
      </c>
      <c r="B62" t="s">
        <v>787</v>
      </c>
      <c r="C62" t="s">
        <v>837</v>
      </c>
      <c r="D62" t="s">
        <v>824</v>
      </c>
      <c r="E62">
        <v>1</v>
      </c>
      <c r="F62" t="s">
        <v>791</v>
      </c>
      <c r="G62" t="s">
        <v>801</v>
      </c>
      <c r="H62" t="s">
        <v>810</v>
      </c>
      <c r="I62" t="s">
        <v>839</v>
      </c>
      <c r="J62" t="str">
        <f t="shared" si="0"/>
        <v>i_d_letters_1_p2_fridge_kit_a</v>
      </c>
      <c r="L62" t="str">
        <f t="shared" si="1"/>
        <v>.*KIT.*-D-.*-n1.*-ANS</v>
      </c>
      <c r="M62" t="s">
        <v>1035</v>
      </c>
      <c r="N62" t="s">
        <v>1039</v>
      </c>
      <c r="O62">
        <v>1</v>
      </c>
      <c r="P62" t="s">
        <v>339</v>
      </c>
    </row>
    <row r="63" spans="1:16" x14ac:dyDescent="0.3">
      <c r="A63" t="s">
        <v>776</v>
      </c>
      <c r="B63" t="s">
        <v>787</v>
      </c>
      <c r="C63" t="s">
        <v>837</v>
      </c>
      <c r="D63" t="s">
        <v>825</v>
      </c>
      <c r="E63">
        <v>2</v>
      </c>
      <c r="F63" t="s">
        <v>802</v>
      </c>
      <c r="G63" t="s">
        <v>791</v>
      </c>
      <c r="H63" t="s">
        <v>810</v>
      </c>
      <c r="I63" t="s">
        <v>839</v>
      </c>
      <c r="J63" t="str">
        <f t="shared" si="0"/>
        <v>i_d_cutlery_2_oven_p2_kit_a</v>
      </c>
      <c r="L63" t="str">
        <f t="shared" si="1"/>
        <v>.*KIT.*-D-.*-n2.*-ANS</v>
      </c>
      <c r="M63" t="s">
        <v>1035</v>
      </c>
      <c r="N63" t="s">
        <v>1039</v>
      </c>
      <c r="O63">
        <v>2</v>
      </c>
      <c r="P63" t="s">
        <v>339</v>
      </c>
    </row>
    <row r="64" spans="1:16" x14ac:dyDescent="0.3">
      <c r="A64" t="s">
        <v>777</v>
      </c>
      <c r="B64" t="s">
        <v>787</v>
      </c>
      <c r="C64" t="s">
        <v>837</v>
      </c>
      <c r="D64" t="s">
        <v>826</v>
      </c>
      <c r="E64">
        <v>3</v>
      </c>
      <c r="F64" t="s">
        <v>793</v>
      </c>
      <c r="G64" t="s">
        <v>802</v>
      </c>
      <c r="H64" t="s">
        <v>810</v>
      </c>
      <c r="I64" t="s">
        <v>839</v>
      </c>
      <c r="J64" t="str">
        <f t="shared" si="0"/>
        <v>i_d_toaster_3_p4_oven_kit_a</v>
      </c>
      <c r="L64" t="str">
        <f t="shared" si="1"/>
        <v>.*KIT.*-D-.*-n3.*-ANS</v>
      </c>
      <c r="M64" t="s">
        <v>1035</v>
      </c>
      <c r="N64" t="s">
        <v>1039</v>
      </c>
      <c r="O64">
        <v>3</v>
      </c>
      <c r="P64" t="s">
        <v>339</v>
      </c>
    </row>
    <row r="65" spans="1:16" x14ac:dyDescent="0.3">
      <c r="A65" t="s">
        <v>778</v>
      </c>
      <c r="B65" t="s">
        <v>787</v>
      </c>
      <c r="C65" t="s">
        <v>837</v>
      </c>
      <c r="D65" t="s">
        <v>827</v>
      </c>
      <c r="E65">
        <v>4</v>
      </c>
      <c r="F65" t="s">
        <v>796</v>
      </c>
      <c r="G65" t="s">
        <v>792</v>
      </c>
      <c r="H65" t="s">
        <v>810</v>
      </c>
      <c r="I65" t="s">
        <v>839</v>
      </c>
      <c r="J65" t="str">
        <f t="shared" si="0"/>
        <v>i_d_oil_4_p1_p3_kit_a</v>
      </c>
      <c r="L65" t="str">
        <f t="shared" si="1"/>
        <v>.*KIT.*-D-.*-n4.*-ANS</v>
      </c>
      <c r="M65" t="s">
        <v>1035</v>
      </c>
      <c r="N65" t="s">
        <v>1039</v>
      </c>
      <c r="O65">
        <v>4</v>
      </c>
      <c r="P65" t="s">
        <v>339</v>
      </c>
    </row>
    <row r="66" spans="1:16" x14ac:dyDescent="0.3">
      <c r="A66" t="s">
        <v>779</v>
      </c>
      <c r="B66" t="s">
        <v>787</v>
      </c>
      <c r="C66" t="s">
        <v>837</v>
      </c>
      <c r="D66" t="s">
        <v>828</v>
      </c>
      <c r="E66">
        <v>5</v>
      </c>
      <c r="F66" t="s">
        <v>803</v>
      </c>
      <c r="G66" t="s">
        <v>804</v>
      </c>
      <c r="H66" t="s">
        <v>810</v>
      </c>
      <c r="I66" t="s">
        <v>839</v>
      </c>
      <c r="J66" t="str">
        <f t="shared" si="0"/>
        <v>i_d_keys_5_bench_pantry_kit_a</v>
      </c>
      <c r="L66" t="str">
        <f t="shared" si="1"/>
        <v>.*KIT.*-D-.*-n5.*-ANS</v>
      </c>
      <c r="M66" t="s">
        <v>1035</v>
      </c>
      <c r="N66" t="s">
        <v>1039</v>
      </c>
      <c r="O66">
        <v>5</v>
      </c>
      <c r="P66" t="s">
        <v>339</v>
      </c>
    </row>
    <row r="67" spans="1:16" x14ac:dyDescent="0.3">
      <c r="A67" t="s">
        <v>780</v>
      </c>
      <c r="B67" t="s">
        <v>787</v>
      </c>
      <c r="C67" t="s">
        <v>837</v>
      </c>
      <c r="D67" t="s">
        <v>829</v>
      </c>
      <c r="E67">
        <v>6</v>
      </c>
      <c r="F67" t="s">
        <v>804</v>
      </c>
      <c r="G67" t="s">
        <v>803</v>
      </c>
      <c r="H67" t="s">
        <v>810</v>
      </c>
      <c r="I67" t="s">
        <v>839</v>
      </c>
      <c r="J67" t="str">
        <f t="shared" ref="J67:J97" si="2">B67&amp;"_"&amp;C67&amp;"_"&amp;D67&amp;"_"&amp;E67&amp;"_"&amp;F67&amp;"_"&amp;G67&amp;"_"&amp;H67&amp;"_"&amp;I67</f>
        <v>i_d_tpaper_6_pantry_bench_kit_a</v>
      </c>
      <c r="L67" t="str">
        <f t="shared" ref="L67:L130" si="3">".*"&amp;M67&amp;".*-"&amp;N67&amp;"-.*-n"&amp;O67&amp;".*-"&amp;P67</f>
        <v>.*KIT.*-D-.*-n6.*-ANS</v>
      </c>
      <c r="M67" t="s">
        <v>1035</v>
      </c>
      <c r="N67" t="s">
        <v>1039</v>
      </c>
      <c r="O67">
        <v>6</v>
      </c>
      <c r="P67" t="s">
        <v>339</v>
      </c>
    </row>
    <row r="68" spans="1:16" x14ac:dyDescent="0.3">
      <c r="A68" t="s">
        <v>781</v>
      </c>
      <c r="B68" t="s">
        <v>787</v>
      </c>
      <c r="C68" t="s">
        <v>837</v>
      </c>
      <c r="D68" t="s">
        <v>830</v>
      </c>
      <c r="E68">
        <v>1</v>
      </c>
      <c r="F68" t="s">
        <v>805</v>
      </c>
      <c r="G68" t="s">
        <v>806</v>
      </c>
      <c r="H68" t="s">
        <v>811</v>
      </c>
      <c r="I68" t="s">
        <v>839</v>
      </c>
      <c r="J68" t="str">
        <f t="shared" si="2"/>
        <v>i_d_drill_1_couch_bookcase_liv_a</v>
      </c>
      <c r="L68" t="str">
        <f t="shared" si="3"/>
        <v>.*LIV.*-D-.*-n1.*-ANS</v>
      </c>
      <c r="M68" t="s">
        <v>1036</v>
      </c>
      <c r="N68" t="s">
        <v>1039</v>
      </c>
      <c r="O68">
        <v>1</v>
      </c>
      <c r="P68" t="s">
        <v>339</v>
      </c>
    </row>
    <row r="69" spans="1:16" x14ac:dyDescent="0.3">
      <c r="A69" t="s">
        <v>782</v>
      </c>
      <c r="B69" t="s">
        <v>787</v>
      </c>
      <c r="C69" t="s">
        <v>837</v>
      </c>
      <c r="D69" t="s">
        <v>831</v>
      </c>
      <c r="E69">
        <v>2</v>
      </c>
      <c r="F69" t="s">
        <v>793</v>
      </c>
      <c r="G69" t="s">
        <v>796</v>
      </c>
      <c r="H69" t="s">
        <v>811</v>
      </c>
      <c r="I69" t="s">
        <v>839</v>
      </c>
      <c r="J69" t="str">
        <f t="shared" si="2"/>
        <v>i_d_mask_2_p4_p1_liv_a</v>
      </c>
      <c r="L69" t="str">
        <f t="shared" si="3"/>
        <v>.*LIV.*-D-.*-n2.*-ANS</v>
      </c>
      <c r="M69" t="s">
        <v>1036</v>
      </c>
      <c r="N69" t="s">
        <v>1039</v>
      </c>
      <c r="O69">
        <v>2</v>
      </c>
      <c r="P69" t="s">
        <v>339</v>
      </c>
    </row>
    <row r="70" spans="1:16" x14ac:dyDescent="0.3">
      <c r="A70" t="s">
        <v>783</v>
      </c>
      <c r="B70" t="s">
        <v>787</v>
      </c>
      <c r="C70" t="s">
        <v>837</v>
      </c>
      <c r="D70" t="s">
        <v>832</v>
      </c>
      <c r="E70">
        <v>3</v>
      </c>
      <c r="F70" t="s">
        <v>791</v>
      </c>
      <c r="G70" t="s">
        <v>805</v>
      </c>
      <c r="H70" t="s">
        <v>811</v>
      </c>
      <c r="I70" t="s">
        <v>839</v>
      </c>
      <c r="J70" t="str">
        <f t="shared" si="2"/>
        <v>i_d_lamp_3_p2_couch_liv_a</v>
      </c>
      <c r="L70" t="str">
        <f t="shared" si="3"/>
        <v>.*LIV.*-D-.*-n3.*-ANS</v>
      </c>
      <c r="M70" t="s">
        <v>1036</v>
      </c>
      <c r="N70" t="s">
        <v>1039</v>
      </c>
      <c r="O70">
        <v>3</v>
      </c>
      <c r="P70" t="s">
        <v>339</v>
      </c>
    </row>
    <row r="71" spans="1:16" x14ac:dyDescent="0.3">
      <c r="A71" t="s">
        <v>784</v>
      </c>
      <c r="B71" t="s">
        <v>787</v>
      </c>
      <c r="C71" t="s">
        <v>837</v>
      </c>
      <c r="D71" t="s">
        <v>833</v>
      </c>
      <c r="E71">
        <v>4</v>
      </c>
      <c r="F71" t="s">
        <v>807</v>
      </c>
      <c r="G71" t="s">
        <v>791</v>
      </c>
      <c r="H71" t="s">
        <v>811</v>
      </c>
      <c r="I71" t="s">
        <v>839</v>
      </c>
      <c r="J71" t="str">
        <f t="shared" si="2"/>
        <v>i_d_handbag_4_tv_p2_liv_a</v>
      </c>
      <c r="L71" t="str">
        <f t="shared" si="3"/>
        <v>.*LIV.*-D-.*-n4.*-ANS</v>
      </c>
      <c r="M71" t="s">
        <v>1036</v>
      </c>
      <c r="N71" t="s">
        <v>1039</v>
      </c>
      <c r="O71">
        <v>4</v>
      </c>
      <c r="P71" t="s">
        <v>339</v>
      </c>
    </row>
    <row r="72" spans="1:16" x14ac:dyDescent="0.3">
      <c r="A72" t="s">
        <v>785</v>
      </c>
      <c r="B72" t="s">
        <v>787</v>
      </c>
      <c r="C72" t="s">
        <v>837</v>
      </c>
      <c r="D72" t="s">
        <v>834</v>
      </c>
      <c r="E72">
        <v>5</v>
      </c>
      <c r="F72" t="s">
        <v>808</v>
      </c>
      <c r="G72" t="s">
        <v>807</v>
      </c>
      <c r="H72" t="s">
        <v>811</v>
      </c>
      <c r="I72" t="s">
        <v>839</v>
      </c>
      <c r="J72" t="str">
        <f t="shared" si="2"/>
        <v>i_d_laptop_5_chair_tv_liv_a</v>
      </c>
      <c r="L72" t="str">
        <f t="shared" si="3"/>
        <v>.*LIV.*-D-.*-n5.*-ANS</v>
      </c>
      <c r="M72" t="s">
        <v>1036</v>
      </c>
      <c r="N72" t="s">
        <v>1039</v>
      </c>
      <c r="O72">
        <v>5</v>
      </c>
      <c r="P72" t="s">
        <v>339</v>
      </c>
    </row>
    <row r="73" spans="1:16" x14ac:dyDescent="0.3">
      <c r="A73" t="s">
        <v>786</v>
      </c>
      <c r="B73" t="s">
        <v>787</v>
      </c>
      <c r="C73" t="s">
        <v>837</v>
      </c>
      <c r="D73" t="s">
        <v>835</v>
      </c>
      <c r="E73">
        <v>6</v>
      </c>
      <c r="F73" t="s">
        <v>792</v>
      </c>
      <c r="G73" t="s">
        <v>808</v>
      </c>
      <c r="H73" t="s">
        <v>811</v>
      </c>
      <c r="I73" t="s">
        <v>839</v>
      </c>
      <c r="J73" t="str">
        <f t="shared" si="2"/>
        <v>i_d_newspaper_6_p3_chair_liv_a</v>
      </c>
      <c r="L73" t="str">
        <f t="shared" si="3"/>
        <v>.*LIV.*-D-.*-n6.*-ANS</v>
      </c>
      <c r="M73" t="s">
        <v>1036</v>
      </c>
      <c r="N73" t="s">
        <v>1039</v>
      </c>
      <c r="O73">
        <v>6</v>
      </c>
      <c r="P73" t="s">
        <v>339</v>
      </c>
    </row>
    <row r="74" spans="1:16" x14ac:dyDescent="0.3">
      <c r="A74" t="s">
        <v>763</v>
      </c>
      <c r="B74" t="s">
        <v>787</v>
      </c>
      <c r="C74" t="s">
        <v>838</v>
      </c>
      <c r="D74" t="s">
        <v>812</v>
      </c>
      <c r="E74">
        <v>1</v>
      </c>
      <c r="F74" t="s">
        <v>789</v>
      </c>
      <c r="G74" t="s">
        <v>790</v>
      </c>
      <c r="H74" t="s">
        <v>809</v>
      </c>
      <c r="I74" t="s">
        <v>839</v>
      </c>
      <c r="J74" t="str">
        <f t="shared" si="2"/>
        <v>i_o_duck_1_bath_shower_bat_a</v>
      </c>
      <c r="L74" t="str">
        <f t="shared" si="3"/>
        <v>.*BAT.*-O-.*-n1.*-ANS</v>
      </c>
      <c r="M74" t="s">
        <v>1033</v>
      </c>
      <c r="N74" t="s">
        <v>1040</v>
      </c>
      <c r="O74">
        <v>1</v>
      </c>
      <c r="P74" t="s">
        <v>339</v>
      </c>
    </row>
    <row r="75" spans="1:16" x14ac:dyDescent="0.3">
      <c r="A75" t="s">
        <v>764</v>
      </c>
      <c r="B75" t="s">
        <v>787</v>
      </c>
      <c r="C75" t="s">
        <v>838</v>
      </c>
      <c r="D75" t="s">
        <v>813</v>
      </c>
      <c r="E75">
        <v>2</v>
      </c>
      <c r="F75" t="s">
        <v>791</v>
      </c>
      <c r="G75" t="s">
        <v>789</v>
      </c>
      <c r="H75" t="s">
        <v>809</v>
      </c>
      <c r="I75" t="s">
        <v>839</v>
      </c>
      <c r="J75" t="str">
        <f t="shared" si="2"/>
        <v>i_o_remote_2_p2_bath_bat_a</v>
      </c>
      <c r="L75" t="str">
        <f t="shared" si="3"/>
        <v>.*BAT.*-O-.*-n2.*-ANS</v>
      </c>
      <c r="M75" t="s">
        <v>1033</v>
      </c>
      <c r="N75" t="s">
        <v>1040</v>
      </c>
      <c r="O75">
        <v>2</v>
      </c>
      <c r="P75" t="s">
        <v>339</v>
      </c>
    </row>
    <row r="76" spans="1:16" x14ac:dyDescent="0.3">
      <c r="A76" t="s">
        <v>765</v>
      </c>
      <c r="B76" t="s">
        <v>787</v>
      </c>
      <c r="C76" t="s">
        <v>838</v>
      </c>
      <c r="D76" t="s">
        <v>814</v>
      </c>
      <c r="E76">
        <v>3</v>
      </c>
      <c r="F76" t="s">
        <v>792</v>
      </c>
      <c r="G76" t="s">
        <v>793</v>
      </c>
      <c r="H76" t="s">
        <v>809</v>
      </c>
      <c r="I76" t="s">
        <v>839</v>
      </c>
      <c r="J76" t="str">
        <f t="shared" si="2"/>
        <v>i_o_tbrushes_3_p3_p4_bat_a</v>
      </c>
      <c r="L76" t="str">
        <f t="shared" si="3"/>
        <v>.*BAT.*-O-.*-n3.*-ANS</v>
      </c>
      <c r="M76" t="s">
        <v>1033</v>
      </c>
      <c r="N76" t="s">
        <v>1040</v>
      </c>
      <c r="O76">
        <v>3</v>
      </c>
      <c r="P76" t="s">
        <v>339</v>
      </c>
    </row>
    <row r="77" spans="1:16" x14ac:dyDescent="0.3">
      <c r="A77" t="s">
        <v>766</v>
      </c>
      <c r="B77" t="s">
        <v>787</v>
      </c>
      <c r="C77" t="s">
        <v>838</v>
      </c>
      <c r="D77" t="s">
        <v>815</v>
      </c>
      <c r="E77">
        <v>4</v>
      </c>
      <c r="F77" t="s">
        <v>794</v>
      </c>
      <c r="G77" t="s">
        <v>792</v>
      </c>
      <c r="H77" t="s">
        <v>809</v>
      </c>
      <c r="I77" t="s">
        <v>839</v>
      </c>
      <c r="J77" t="str">
        <f t="shared" si="2"/>
        <v>i_o_book_4_toilet_p3_bat_a</v>
      </c>
      <c r="L77" t="str">
        <f t="shared" si="3"/>
        <v>.*BAT.*-O-.*-n4.*-ANS</v>
      </c>
      <c r="M77" t="s">
        <v>1033</v>
      </c>
      <c r="N77" t="s">
        <v>1040</v>
      </c>
      <c r="O77">
        <v>4</v>
      </c>
      <c r="P77" t="s">
        <v>339</v>
      </c>
    </row>
    <row r="78" spans="1:16" x14ac:dyDescent="0.3">
      <c r="A78" t="s">
        <v>767</v>
      </c>
      <c r="B78" t="s">
        <v>787</v>
      </c>
      <c r="C78" t="s">
        <v>838</v>
      </c>
      <c r="D78" t="s">
        <v>816</v>
      </c>
      <c r="E78">
        <v>5</v>
      </c>
      <c r="F78" t="s">
        <v>795</v>
      </c>
      <c r="G78" t="s">
        <v>794</v>
      </c>
      <c r="H78" t="s">
        <v>809</v>
      </c>
      <c r="I78" t="s">
        <v>839</v>
      </c>
      <c r="J78" t="str">
        <f t="shared" si="2"/>
        <v>i_o_hammer_5_sink_toilet_bat_a</v>
      </c>
      <c r="L78" t="str">
        <f t="shared" si="3"/>
        <v>.*BAT.*-O-.*-n5.*-ANS</v>
      </c>
      <c r="M78" t="s">
        <v>1033</v>
      </c>
      <c r="N78" t="s">
        <v>1040</v>
      </c>
      <c r="O78">
        <v>5</v>
      </c>
      <c r="P78" t="s">
        <v>339</v>
      </c>
    </row>
    <row r="79" spans="1:16" x14ac:dyDescent="0.3">
      <c r="A79" t="s">
        <v>768</v>
      </c>
      <c r="B79" t="s">
        <v>787</v>
      </c>
      <c r="C79" t="s">
        <v>838</v>
      </c>
      <c r="D79" t="s">
        <v>817</v>
      </c>
      <c r="E79">
        <v>6</v>
      </c>
      <c r="F79" t="s">
        <v>796</v>
      </c>
      <c r="G79" t="s">
        <v>795</v>
      </c>
      <c r="H79" t="s">
        <v>809</v>
      </c>
      <c r="I79" t="s">
        <v>839</v>
      </c>
      <c r="J79" t="str">
        <f t="shared" si="2"/>
        <v>i_o_glasses_6_p1_sink_bat_a</v>
      </c>
      <c r="L79" t="str">
        <f t="shared" si="3"/>
        <v>.*BAT.*-O-.*-n6.*-ANS</v>
      </c>
      <c r="M79" t="s">
        <v>1033</v>
      </c>
      <c r="N79" t="s">
        <v>1040</v>
      </c>
      <c r="O79">
        <v>6</v>
      </c>
      <c r="P79" t="s">
        <v>339</v>
      </c>
    </row>
    <row r="80" spans="1:16" x14ac:dyDescent="0.3">
      <c r="A80" t="s">
        <v>769</v>
      </c>
      <c r="B80" t="s">
        <v>787</v>
      </c>
      <c r="C80" t="s">
        <v>838</v>
      </c>
      <c r="D80" t="s">
        <v>818</v>
      </c>
      <c r="E80">
        <v>1</v>
      </c>
      <c r="F80" t="s">
        <v>797</v>
      </c>
      <c r="G80" t="s">
        <v>793</v>
      </c>
      <c r="H80" t="s">
        <v>797</v>
      </c>
      <c r="I80" t="s">
        <v>839</v>
      </c>
      <c r="J80" t="str">
        <f t="shared" si="2"/>
        <v>i_o_alarm_1_bed_p4_bed_a</v>
      </c>
      <c r="L80" t="str">
        <f t="shared" si="3"/>
        <v>.*BED.*-O-.*-n1.*-ANS</v>
      </c>
      <c r="M80" t="s">
        <v>1034</v>
      </c>
      <c r="N80" t="s">
        <v>1040</v>
      </c>
      <c r="O80">
        <v>1</v>
      </c>
      <c r="P80" t="s">
        <v>339</v>
      </c>
    </row>
    <row r="81" spans="1:16" x14ac:dyDescent="0.3">
      <c r="A81" t="s">
        <v>770</v>
      </c>
      <c r="B81" t="s">
        <v>787</v>
      </c>
      <c r="C81" t="s">
        <v>838</v>
      </c>
      <c r="D81" t="s">
        <v>819</v>
      </c>
      <c r="E81">
        <v>2</v>
      </c>
      <c r="F81" t="s">
        <v>798</v>
      </c>
      <c r="G81" t="s">
        <v>797</v>
      </c>
      <c r="H81" t="s">
        <v>797</v>
      </c>
      <c r="I81" t="s">
        <v>839</v>
      </c>
      <c r="J81" t="str">
        <f t="shared" si="2"/>
        <v>i_o_magazine_2_dresser_bed_bed_a</v>
      </c>
      <c r="L81" t="str">
        <f t="shared" si="3"/>
        <v>.*BED.*-O-.*-n2.*-ANS</v>
      </c>
      <c r="M81" t="s">
        <v>1034</v>
      </c>
      <c r="N81" t="s">
        <v>1040</v>
      </c>
      <c r="O81">
        <v>2</v>
      </c>
      <c r="P81" t="s">
        <v>339</v>
      </c>
    </row>
    <row r="82" spans="1:16" x14ac:dyDescent="0.3">
      <c r="A82" t="s">
        <v>771</v>
      </c>
      <c r="B82" t="s">
        <v>787</v>
      </c>
      <c r="C82" t="s">
        <v>838</v>
      </c>
      <c r="D82" t="s">
        <v>820</v>
      </c>
      <c r="E82">
        <v>3</v>
      </c>
      <c r="F82" t="s">
        <v>796</v>
      </c>
      <c r="G82" t="s">
        <v>798</v>
      </c>
      <c r="H82" t="s">
        <v>797</v>
      </c>
      <c r="I82" t="s">
        <v>839</v>
      </c>
      <c r="J82" t="str">
        <f t="shared" si="2"/>
        <v>i_o_picture_3_p1_dresser_bed_a</v>
      </c>
      <c r="L82" t="str">
        <f t="shared" si="3"/>
        <v>.*BED.*-O-.*-n3.*-ANS</v>
      </c>
      <c r="M82" t="s">
        <v>1034</v>
      </c>
      <c r="N82" t="s">
        <v>1040</v>
      </c>
      <c r="O82">
        <v>3</v>
      </c>
      <c r="P82" t="s">
        <v>339</v>
      </c>
    </row>
    <row r="83" spans="1:16" x14ac:dyDescent="0.3">
      <c r="A83" t="s">
        <v>772</v>
      </c>
      <c r="B83" t="s">
        <v>787</v>
      </c>
      <c r="C83" t="s">
        <v>838</v>
      </c>
      <c r="D83" t="s">
        <v>821</v>
      </c>
      <c r="E83">
        <v>4</v>
      </c>
      <c r="F83" t="s">
        <v>799</v>
      </c>
      <c r="G83" t="s">
        <v>800</v>
      </c>
      <c r="H83" t="s">
        <v>797</v>
      </c>
      <c r="I83" t="s">
        <v>839</v>
      </c>
      <c r="J83" t="str">
        <f t="shared" si="2"/>
        <v>i_o_frypan_4_bookshelf_wardrobe_bed_a</v>
      </c>
      <c r="L83" t="str">
        <f t="shared" si="3"/>
        <v>.*BED.*-O-.*-n4.*-ANS</v>
      </c>
      <c r="M83" t="s">
        <v>1034</v>
      </c>
      <c r="N83" t="s">
        <v>1040</v>
      </c>
      <c r="O83">
        <v>4</v>
      </c>
      <c r="P83" t="s">
        <v>339</v>
      </c>
    </row>
    <row r="84" spans="1:16" x14ac:dyDescent="0.3">
      <c r="A84" t="s">
        <v>773</v>
      </c>
      <c r="B84" t="s">
        <v>787</v>
      </c>
      <c r="C84" t="s">
        <v>838</v>
      </c>
      <c r="D84" t="s">
        <v>822</v>
      </c>
      <c r="E84">
        <v>5</v>
      </c>
      <c r="F84" t="s">
        <v>793</v>
      </c>
      <c r="G84" t="s">
        <v>791</v>
      </c>
      <c r="H84" t="s">
        <v>797</v>
      </c>
      <c r="I84" t="s">
        <v>839</v>
      </c>
      <c r="J84" t="str">
        <f t="shared" si="2"/>
        <v>i_o_phone_5_p4_p2_bed_a</v>
      </c>
      <c r="L84" t="str">
        <f t="shared" si="3"/>
        <v>.*BED.*-O-.*-n5.*-ANS</v>
      </c>
      <c r="M84" t="s">
        <v>1034</v>
      </c>
      <c r="N84" t="s">
        <v>1040</v>
      </c>
      <c r="O84">
        <v>5</v>
      </c>
      <c r="P84" t="s">
        <v>339</v>
      </c>
    </row>
    <row r="85" spans="1:16" x14ac:dyDescent="0.3">
      <c r="A85" t="s">
        <v>774</v>
      </c>
      <c r="B85" t="s">
        <v>787</v>
      </c>
      <c r="C85" t="s">
        <v>838</v>
      </c>
      <c r="D85" t="s">
        <v>823</v>
      </c>
      <c r="E85">
        <v>6</v>
      </c>
      <c r="F85" t="s">
        <v>792</v>
      </c>
      <c r="G85" t="s">
        <v>799</v>
      </c>
      <c r="H85" t="s">
        <v>797</v>
      </c>
      <c r="I85" t="s">
        <v>839</v>
      </c>
      <c r="J85" t="str">
        <f t="shared" si="2"/>
        <v>i_o_knife_6_p3_bookshelf_bed_a</v>
      </c>
      <c r="L85" t="str">
        <f t="shared" si="3"/>
        <v>.*BED.*-O-.*-n6.*-ANS</v>
      </c>
      <c r="M85" t="s">
        <v>1034</v>
      </c>
      <c r="N85" t="s">
        <v>1040</v>
      </c>
      <c r="O85">
        <v>6</v>
      </c>
      <c r="P85" t="s">
        <v>339</v>
      </c>
    </row>
    <row r="86" spans="1:16" x14ac:dyDescent="0.3">
      <c r="A86" t="s">
        <v>775</v>
      </c>
      <c r="B86" t="s">
        <v>787</v>
      </c>
      <c r="C86" t="s">
        <v>838</v>
      </c>
      <c r="D86" t="s">
        <v>824</v>
      </c>
      <c r="E86">
        <v>1</v>
      </c>
      <c r="F86" t="s">
        <v>791</v>
      </c>
      <c r="G86" t="s">
        <v>801</v>
      </c>
      <c r="H86" t="s">
        <v>810</v>
      </c>
      <c r="I86" t="s">
        <v>839</v>
      </c>
      <c r="J86" t="str">
        <f t="shared" si="2"/>
        <v>i_o_letters_1_p2_fridge_kit_a</v>
      </c>
      <c r="L86" t="str">
        <f t="shared" si="3"/>
        <v>.*KIT.*-O-.*-n1.*-ANS</v>
      </c>
      <c r="M86" t="s">
        <v>1035</v>
      </c>
      <c r="N86" t="s">
        <v>1040</v>
      </c>
      <c r="O86">
        <v>1</v>
      </c>
      <c r="P86" t="s">
        <v>339</v>
      </c>
    </row>
    <row r="87" spans="1:16" x14ac:dyDescent="0.3">
      <c r="A87" t="s">
        <v>776</v>
      </c>
      <c r="B87" t="s">
        <v>787</v>
      </c>
      <c r="C87" t="s">
        <v>838</v>
      </c>
      <c r="D87" t="s">
        <v>825</v>
      </c>
      <c r="E87">
        <v>2</v>
      </c>
      <c r="F87" t="s">
        <v>802</v>
      </c>
      <c r="G87" t="s">
        <v>791</v>
      </c>
      <c r="H87" t="s">
        <v>810</v>
      </c>
      <c r="I87" t="s">
        <v>839</v>
      </c>
      <c r="J87" t="str">
        <f t="shared" si="2"/>
        <v>i_o_cutlery_2_oven_p2_kit_a</v>
      </c>
      <c r="L87" t="str">
        <f t="shared" si="3"/>
        <v>.*KIT.*-O-.*-n2.*-ANS</v>
      </c>
      <c r="M87" t="s">
        <v>1035</v>
      </c>
      <c r="N87" t="s">
        <v>1040</v>
      </c>
      <c r="O87">
        <v>2</v>
      </c>
      <c r="P87" t="s">
        <v>339</v>
      </c>
    </row>
    <row r="88" spans="1:16" x14ac:dyDescent="0.3">
      <c r="A88" t="s">
        <v>777</v>
      </c>
      <c r="B88" t="s">
        <v>787</v>
      </c>
      <c r="C88" t="s">
        <v>838</v>
      </c>
      <c r="D88" t="s">
        <v>826</v>
      </c>
      <c r="E88">
        <v>3</v>
      </c>
      <c r="F88" t="s">
        <v>793</v>
      </c>
      <c r="G88" t="s">
        <v>802</v>
      </c>
      <c r="H88" t="s">
        <v>810</v>
      </c>
      <c r="I88" t="s">
        <v>839</v>
      </c>
      <c r="J88" t="str">
        <f t="shared" si="2"/>
        <v>i_o_toaster_3_p4_oven_kit_a</v>
      </c>
      <c r="L88" t="str">
        <f t="shared" si="3"/>
        <v>.*KIT.*-O-.*-n3.*-ANS</v>
      </c>
      <c r="M88" t="s">
        <v>1035</v>
      </c>
      <c r="N88" t="s">
        <v>1040</v>
      </c>
      <c r="O88">
        <v>3</v>
      </c>
      <c r="P88" t="s">
        <v>339</v>
      </c>
    </row>
    <row r="89" spans="1:16" x14ac:dyDescent="0.3">
      <c r="A89" t="s">
        <v>778</v>
      </c>
      <c r="B89" t="s">
        <v>787</v>
      </c>
      <c r="C89" t="s">
        <v>838</v>
      </c>
      <c r="D89" t="s">
        <v>827</v>
      </c>
      <c r="E89">
        <v>4</v>
      </c>
      <c r="F89" t="s">
        <v>796</v>
      </c>
      <c r="G89" t="s">
        <v>792</v>
      </c>
      <c r="H89" t="s">
        <v>810</v>
      </c>
      <c r="I89" t="s">
        <v>839</v>
      </c>
      <c r="J89" t="str">
        <f t="shared" si="2"/>
        <v>i_o_oil_4_p1_p3_kit_a</v>
      </c>
      <c r="L89" t="str">
        <f t="shared" si="3"/>
        <v>.*KIT.*-O-.*-n4.*-ANS</v>
      </c>
      <c r="M89" t="s">
        <v>1035</v>
      </c>
      <c r="N89" t="s">
        <v>1040</v>
      </c>
      <c r="O89">
        <v>4</v>
      </c>
      <c r="P89" t="s">
        <v>339</v>
      </c>
    </row>
    <row r="90" spans="1:16" x14ac:dyDescent="0.3">
      <c r="A90" t="s">
        <v>779</v>
      </c>
      <c r="B90" t="s">
        <v>787</v>
      </c>
      <c r="C90" t="s">
        <v>838</v>
      </c>
      <c r="D90" t="s">
        <v>828</v>
      </c>
      <c r="E90">
        <v>5</v>
      </c>
      <c r="F90" t="s">
        <v>803</v>
      </c>
      <c r="G90" t="s">
        <v>804</v>
      </c>
      <c r="H90" t="s">
        <v>810</v>
      </c>
      <c r="I90" t="s">
        <v>839</v>
      </c>
      <c r="J90" t="str">
        <f t="shared" si="2"/>
        <v>i_o_keys_5_bench_pantry_kit_a</v>
      </c>
      <c r="L90" t="str">
        <f t="shared" si="3"/>
        <v>.*KIT.*-O-.*-n5.*-ANS</v>
      </c>
      <c r="M90" t="s">
        <v>1035</v>
      </c>
      <c r="N90" t="s">
        <v>1040</v>
      </c>
      <c r="O90">
        <v>5</v>
      </c>
      <c r="P90" t="s">
        <v>339</v>
      </c>
    </row>
    <row r="91" spans="1:16" x14ac:dyDescent="0.3">
      <c r="A91" t="s">
        <v>780</v>
      </c>
      <c r="B91" t="s">
        <v>787</v>
      </c>
      <c r="C91" t="s">
        <v>838</v>
      </c>
      <c r="D91" t="s">
        <v>829</v>
      </c>
      <c r="E91">
        <v>6</v>
      </c>
      <c r="F91" t="s">
        <v>804</v>
      </c>
      <c r="G91" t="s">
        <v>803</v>
      </c>
      <c r="H91" t="s">
        <v>810</v>
      </c>
      <c r="I91" t="s">
        <v>839</v>
      </c>
      <c r="J91" t="str">
        <f t="shared" si="2"/>
        <v>i_o_tpaper_6_pantry_bench_kit_a</v>
      </c>
      <c r="L91" t="str">
        <f t="shared" si="3"/>
        <v>.*KIT.*-O-.*-n6.*-ANS</v>
      </c>
      <c r="M91" t="s">
        <v>1035</v>
      </c>
      <c r="N91" t="s">
        <v>1040</v>
      </c>
      <c r="O91">
        <v>6</v>
      </c>
      <c r="P91" t="s">
        <v>339</v>
      </c>
    </row>
    <row r="92" spans="1:16" x14ac:dyDescent="0.3">
      <c r="A92" t="s">
        <v>781</v>
      </c>
      <c r="B92" t="s">
        <v>787</v>
      </c>
      <c r="C92" t="s">
        <v>838</v>
      </c>
      <c r="D92" t="s">
        <v>830</v>
      </c>
      <c r="E92">
        <v>1</v>
      </c>
      <c r="F92" t="s">
        <v>805</v>
      </c>
      <c r="G92" t="s">
        <v>806</v>
      </c>
      <c r="H92" t="s">
        <v>811</v>
      </c>
      <c r="I92" t="s">
        <v>839</v>
      </c>
      <c r="J92" t="str">
        <f t="shared" si="2"/>
        <v>i_o_drill_1_couch_bookcase_liv_a</v>
      </c>
      <c r="L92" t="str">
        <f t="shared" si="3"/>
        <v>.*LIV.*-O-.*-n1.*-ANS</v>
      </c>
      <c r="M92" t="s">
        <v>1036</v>
      </c>
      <c r="N92" t="s">
        <v>1040</v>
      </c>
      <c r="O92">
        <v>1</v>
      </c>
      <c r="P92" t="s">
        <v>339</v>
      </c>
    </row>
    <row r="93" spans="1:16" x14ac:dyDescent="0.3">
      <c r="A93" t="s">
        <v>782</v>
      </c>
      <c r="B93" t="s">
        <v>787</v>
      </c>
      <c r="C93" t="s">
        <v>838</v>
      </c>
      <c r="D93" t="s">
        <v>831</v>
      </c>
      <c r="E93">
        <v>2</v>
      </c>
      <c r="F93" t="s">
        <v>793</v>
      </c>
      <c r="G93" t="s">
        <v>796</v>
      </c>
      <c r="H93" t="s">
        <v>811</v>
      </c>
      <c r="I93" t="s">
        <v>839</v>
      </c>
      <c r="J93" t="str">
        <f t="shared" si="2"/>
        <v>i_o_mask_2_p4_p1_liv_a</v>
      </c>
      <c r="L93" t="str">
        <f t="shared" si="3"/>
        <v>.*LIV.*-O-.*-n2.*-ANS</v>
      </c>
      <c r="M93" t="s">
        <v>1036</v>
      </c>
      <c r="N93" t="s">
        <v>1040</v>
      </c>
      <c r="O93">
        <v>2</v>
      </c>
      <c r="P93" t="s">
        <v>339</v>
      </c>
    </row>
    <row r="94" spans="1:16" x14ac:dyDescent="0.3">
      <c r="A94" t="s">
        <v>783</v>
      </c>
      <c r="B94" t="s">
        <v>787</v>
      </c>
      <c r="C94" t="s">
        <v>838</v>
      </c>
      <c r="D94" t="s">
        <v>832</v>
      </c>
      <c r="E94">
        <v>3</v>
      </c>
      <c r="F94" t="s">
        <v>791</v>
      </c>
      <c r="G94" t="s">
        <v>805</v>
      </c>
      <c r="H94" t="s">
        <v>811</v>
      </c>
      <c r="I94" t="s">
        <v>839</v>
      </c>
      <c r="J94" t="str">
        <f t="shared" si="2"/>
        <v>i_o_lamp_3_p2_couch_liv_a</v>
      </c>
      <c r="L94" t="str">
        <f t="shared" si="3"/>
        <v>.*LIV.*-O-.*-n3.*-ANS</v>
      </c>
      <c r="M94" t="s">
        <v>1036</v>
      </c>
      <c r="N94" t="s">
        <v>1040</v>
      </c>
      <c r="O94">
        <v>3</v>
      </c>
      <c r="P94" t="s">
        <v>339</v>
      </c>
    </row>
    <row r="95" spans="1:16" x14ac:dyDescent="0.3">
      <c r="A95" t="s">
        <v>784</v>
      </c>
      <c r="B95" t="s">
        <v>787</v>
      </c>
      <c r="C95" t="s">
        <v>838</v>
      </c>
      <c r="D95" t="s">
        <v>833</v>
      </c>
      <c r="E95">
        <v>4</v>
      </c>
      <c r="F95" t="s">
        <v>807</v>
      </c>
      <c r="G95" t="s">
        <v>791</v>
      </c>
      <c r="H95" t="s">
        <v>811</v>
      </c>
      <c r="I95" t="s">
        <v>839</v>
      </c>
      <c r="J95" t="str">
        <f t="shared" si="2"/>
        <v>i_o_handbag_4_tv_p2_liv_a</v>
      </c>
      <c r="L95" t="str">
        <f t="shared" si="3"/>
        <v>.*LIV.*-O-.*-n4.*-ANS</v>
      </c>
      <c r="M95" t="s">
        <v>1036</v>
      </c>
      <c r="N95" t="s">
        <v>1040</v>
      </c>
      <c r="O95">
        <v>4</v>
      </c>
      <c r="P95" t="s">
        <v>339</v>
      </c>
    </row>
    <row r="96" spans="1:16" x14ac:dyDescent="0.3">
      <c r="A96" t="s">
        <v>785</v>
      </c>
      <c r="B96" t="s">
        <v>787</v>
      </c>
      <c r="C96" t="s">
        <v>838</v>
      </c>
      <c r="D96" t="s">
        <v>834</v>
      </c>
      <c r="E96">
        <v>5</v>
      </c>
      <c r="F96" t="s">
        <v>808</v>
      </c>
      <c r="G96" t="s">
        <v>807</v>
      </c>
      <c r="H96" t="s">
        <v>811</v>
      </c>
      <c r="I96" t="s">
        <v>839</v>
      </c>
      <c r="J96" t="str">
        <f t="shared" si="2"/>
        <v>i_o_laptop_5_chair_tv_liv_a</v>
      </c>
      <c r="L96" t="str">
        <f t="shared" si="3"/>
        <v>.*LIV.*-O-.*-n5.*-ANS</v>
      </c>
      <c r="M96" t="s">
        <v>1036</v>
      </c>
      <c r="N96" t="s">
        <v>1040</v>
      </c>
      <c r="O96">
        <v>5</v>
      </c>
      <c r="P96" t="s">
        <v>339</v>
      </c>
    </row>
    <row r="97" spans="1:16" x14ac:dyDescent="0.3">
      <c r="A97" t="s">
        <v>786</v>
      </c>
      <c r="B97" t="s">
        <v>787</v>
      </c>
      <c r="C97" t="s">
        <v>838</v>
      </c>
      <c r="D97" t="s">
        <v>835</v>
      </c>
      <c r="E97">
        <v>6</v>
      </c>
      <c r="F97" t="s">
        <v>792</v>
      </c>
      <c r="G97" t="s">
        <v>808</v>
      </c>
      <c r="H97" t="s">
        <v>811</v>
      </c>
      <c r="I97" t="s">
        <v>839</v>
      </c>
      <c r="J97" t="str">
        <f t="shared" si="2"/>
        <v>i_o_newspaper_6_p3_chair_liv_a</v>
      </c>
      <c r="L97" t="str">
        <f t="shared" si="3"/>
        <v>.*LIV.*-O-.*-n6.*-ANS</v>
      </c>
      <c r="M97" t="s">
        <v>1036</v>
      </c>
      <c r="N97" t="s">
        <v>1040</v>
      </c>
      <c r="O97">
        <v>6</v>
      </c>
      <c r="P97" t="s">
        <v>339</v>
      </c>
    </row>
    <row r="98" spans="1:16" x14ac:dyDescent="0.3">
      <c r="A98" t="s">
        <v>763</v>
      </c>
      <c r="B98" t="s">
        <v>787</v>
      </c>
      <c r="C98" t="s">
        <v>788</v>
      </c>
      <c r="D98" t="s">
        <v>812</v>
      </c>
      <c r="E98">
        <v>1</v>
      </c>
      <c r="F98" t="s">
        <v>789</v>
      </c>
      <c r="G98" t="s">
        <v>790</v>
      </c>
      <c r="H98" t="s">
        <v>809</v>
      </c>
      <c r="I98" t="s">
        <v>840</v>
      </c>
      <c r="J98" t="str">
        <f>B98&amp;"_"&amp;C98&amp;"_"&amp;D98&amp;"_"&amp;E98&amp;"_"&amp;F98&amp;"_"&amp;G98&amp;"_"&amp;H98&amp;"_"&amp;I98</f>
        <v>i_n_duck_1_bath_shower_bat_c</v>
      </c>
      <c r="L98" t="str">
        <f t="shared" si="3"/>
        <v>.*BAT.*-N-.*-n1.*-CON</v>
      </c>
      <c r="M98" t="s">
        <v>1033</v>
      </c>
      <c r="N98" t="s">
        <v>1037</v>
      </c>
      <c r="O98">
        <v>1</v>
      </c>
      <c r="P98" t="s">
        <v>1041</v>
      </c>
    </row>
    <row r="99" spans="1:16" x14ac:dyDescent="0.3">
      <c r="A99" t="s">
        <v>764</v>
      </c>
      <c r="B99" t="s">
        <v>787</v>
      </c>
      <c r="C99" t="s">
        <v>788</v>
      </c>
      <c r="D99" t="s">
        <v>813</v>
      </c>
      <c r="E99">
        <v>2</v>
      </c>
      <c r="F99" t="s">
        <v>791</v>
      </c>
      <c r="G99" t="s">
        <v>789</v>
      </c>
      <c r="H99" t="s">
        <v>809</v>
      </c>
      <c r="I99" t="s">
        <v>840</v>
      </c>
      <c r="J99" t="str">
        <f t="shared" ref="J99:J162" si="4">B99&amp;"_"&amp;C99&amp;"_"&amp;D99&amp;"_"&amp;E99&amp;"_"&amp;F99&amp;"_"&amp;G99&amp;"_"&amp;H99&amp;"_"&amp;I99</f>
        <v>i_n_remote_2_p2_bath_bat_c</v>
      </c>
      <c r="L99" t="str">
        <f t="shared" si="3"/>
        <v>.*BAT.*-N-.*-n2.*-CON</v>
      </c>
      <c r="M99" t="s">
        <v>1033</v>
      </c>
      <c r="N99" t="s">
        <v>1037</v>
      </c>
      <c r="O99">
        <v>2</v>
      </c>
      <c r="P99" t="s">
        <v>1041</v>
      </c>
    </row>
    <row r="100" spans="1:16" x14ac:dyDescent="0.3">
      <c r="A100" t="s">
        <v>765</v>
      </c>
      <c r="B100" t="s">
        <v>787</v>
      </c>
      <c r="C100" t="s">
        <v>788</v>
      </c>
      <c r="D100" t="s">
        <v>814</v>
      </c>
      <c r="E100">
        <v>3</v>
      </c>
      <c r="F100" t="s">
        <v>792</v>
      </c>
      <c r="G100" t="s">
        <v>793</v>
      </c>
      <c r="H100" t="s">
        <v>809</v>
      </c>
      <c r="I100" t="s">
        <v>840</v>
      </c>
      <c r="J100" t="str">
        <f t="shared" si="4"/>
        <v>i_n_tbrushes_3_p3_p4_bat_c</v>
      </c>
      <c r="L100" t="str">
        <f t="shared" si="3"/>
        <v>.*BAT.*-N-.*-n3.*-CON</v>
      </c>
      <c r="M100" t="s">
        <v>1033</v>
      </c>
      <c r="N100" t="s">
        <v>1037</v>
      </c>
      <c r="O100">
        <v>3</v>
      </c>
      <c r="P100" t="s">
        <v>1041</v>
      </c>
    </row>
    <row r="101" spans="1:16" x14ac:dyDescent="0.3">
      <c r="A101" t="s">
        <v>766</v>
      </c>
      <c r="B101" t="s">
        <v>787</v>
      </c>
      <c r="C101" t="s">
        <v>788</v>
      </c>
      <c r="D101" t="s">
        <v>815</v>
      </c>
      <c r="E101">
        <v>4</v>
      </c>
      <c r="F101" t="s">
        <v>794</v>
      </c>
      <c r="G101" t="s">
        <v>792</v>
      </c>
      <c r="H101" t="s">
        <v>809</v>
      </c>
      <c r="I101" t="s">
        <v>840</v>
      </c>
      <c r="J101" t="str">
        <f t="shared" si="4"/>
        <v>i_n_book_4_toilet_p3_bat_c</v>
      </c>
      <c r="L101" t="str">
        <f t="shared" si="3"/>
        <v>.*BAT.*-N-.*-n4.*-CON</v>
      </c>
      <c r="M101" t="s">
        <v>1033</v>
      </c>
      <c r="N101" t="s">
        <v>1037</v>
      </c>
      <c r="O101">
        <v>4</v>
      </c>
      <c r="P101" t="s">
        <v>1041</v>
      </c>
    </row>
    <row r="102" spans="1:16" x14ac:dyDescent="0.3">
      <c r="A102" t="s">
        <v>767</v>
      </c>
      <c r="B102" t="s">
        <v>787</v>
      </c>
      <c r="C102" t="s">
        <v>788</v>
      </c>
      <c r="D102" t="s">
        <v>816</v>
      </c>
      <c r="E102">
        <v>5</v>
      </c>
      <c r="F102" t="s">
        <v>795</v>
      </c>
      <c r="G102" t="s">
        <v>794</v>
      </c>
      <c r="H102" t="s">
        <v>809</v>
      </c>
      <c r="I102" t="s">
        <v>840</v>
      </c>
      <c r="J102" t="str">
        <f t="shared" si="4"/>
        <v>i_n_hammer_5_sink_toilet_bat_c</v>
      </c>
      <c r="L102" t="str">
        <f t="shared" si="3"/>
        <v>.*BAT.*-N-.*-n5.*-CON</v>
      </c>
      <c r="M102" t="s">
        <v>1033</v>
      </c>
      <c r="N102" t="s">
        <v>1037</v>
      </c>
      <c r="O102">
        <v>5</v>
      </c>
      <c r="P102" t="s">
        <v>1041</v>
      </c>
    </row>
    <row r="103" spans="1:16" x14ac:dyDescent="0.3">
      <c r="A103" t="s">
        <v>768</v>
      </c>
      <c r="B103" t="s">
        <v>787</v>
      </c>
      <c r="C103" t="s">
        <v>788</v>
      </c>
      <c r="D103" t="s">
        <v>817</v>
      </c>
      <c r="E103">
        <v>6</v>
      </c>
      <c r="F103" t="s">
        <v>796</v>
      </c>
      <c r="G103" t="s">
        <v>795</v>
      </c>
      <c r="H103" t="s">
        <v>809</v>
      </c>
      <c r="I103" t="s">
        <v>840</v>
      </c>
      <c r="J103" t="str">
        <f t="shared" si="4"/>
        <v>i_n_glasses_6_p1_sink_bat_c</v>
      </c>
      <c r="L103" t="str">
        <f t="shared" si="3"/>
        <v>.*BAT.*-N-.*-n6.*-CON</v>
      </c>
      <c r="M103" t="s">
        <v>1033</v>
      </c>
      <c r="N103" t="s">
        <v>1037</v>
      </c>
      <c r="O103">
        <v>6</v>
      </c>
      <c r="P103" t="s">
        <v>1041</v>
      </c>
    </row>
    <row r="104" spans="1:16" x14ac:dyDescent="0.3">
      <c r="A104" t="s">
        <v>769</v>
      </c>
      <c r="B104" t="s">
        <v>787</v>
      </c>
      <c r="C104" t="s">
        <v>788</v>
      </c>
      <c r="D104" t="s">
        <v>818</v>
      </c>
      <c r="E104">
        <v>1</v>
      </c>
      <c r="F104" t="s">
        <v>797</v>
      </c>
      <c r="G104" t="s">
        <v>793</v>
      </c>
      <c r="H104" t="s">
        <v>797</v>
      </c>
      <c r="I104" t="s">
        <v>840</v>
      </c>
      <c r="J104" t="str">
        <f t="shared" si="4"/>
        <v>i_n_alarm_1_bed_p4_bed_c</v>
      </c>
      <c r="L104" t="str">
        <f t="shared" si="3"/>
        <v>.*BED.*-N-.*-n1.*-CON</v>
      </c>
      <c r="M104" t="s">
        <v>1034</v>
      </c>
      <c r="N104" t="s">
        <v>1037</v>
      </c>
      <c r="O104">
        <v>1</v>
      </c>
      <c r="P104" t="s">
        <v>1041</v>
      </c>
    </row>
    <row r="105" spans="1:16" x14ac:dyDescent="0.3">
      <c r="A105" t="s">
        <v>770</v>
      </c>
      <c r="B105" t="s">
        <v>787</v>
      </c>
      <c r="C105" t="s">
        <v>788</v>
      </c>
      <c r="D105" t="s">
        <v>819</v>
      </c>
      <c r="E105">
        <v>2</v>
      </c>
      <c r="F105" t="s">
        <v>798</v>
      </c>
      <c r="G105" t="s">
        <v>797</v>
      </c>
      <c r="H105" t="s">
        <v>797</v>
      </c>
      <c r="I105" t="s">
        <v>840</v>
      </c>
      <c r="J105" t="str">
        <f t="shared" si="4"/>
        <v>i_n_magazine_2_dresser_bed_bed_c</v>
      </c>
      <c r="L105" t="str">
        <f t="shared" si="3"/>
        <v>.*BED.*-N-.*-n2.*-CON</v>
      </c>
      <c r="M105" t="s">
        <v>1034</v>
      </c>
      <c r="N105" t="s">
        <v>1037</v>
      </c>
      <c r="O105">
        <v>2</v>
      </c>
      <c r="P105" t="s">
        <v>1041</v>
      </c>
    </row>
    <row r="106" spans="1:16" x14ac:dyDescent="0.3">
      <c r="A106" t="s">
        <v>771</v>
      </c>
      <c r="B106" t="s">
        <v>787</v>
      </c>
      <c r="C106" t="s">
        <v>788</v>
      </c>
      <c r="D106" t="s">
        <v>820</v>
      </c>
      <c r="E106">
        <v>3</v>
      </c>
      <c r="F106" t="s">
        <v>796</v>
      </c>
      <c r="G106" t="s">
        <v>798</v>
      </c>
      <c r="H106" t="s">
        <v>797</v>
      </c>
      <c r="I106" t="s">
        <v>840</v>
      </c>
      <c r="J106" t="str">
        <f t="shared" si="4"/>
        <v>i_n_picture_3_p1_dresser_bed_c</v>
      </c>
      <c r="L106" t="str">
        <f t="shared" si="3"/>
        <v>.*BED.*-N-.*-n3.*-CON</v>
      </c>
      <c r="M106" t="s">
        <v>1034</v>
      </c>
      <c r="N106" t="s">
        <v>1037</v>
      </c>
      <c r="O106">
        <v>3</v>
      </c>
      <c r="P106" t="s">
        <v>1041</v>
      </c>
    </row>
    <row r="107" spans="1:16" x14ac:dyDescent="0.3">
      <c r="A107" t="s">
        <v>772</v>
      </c>
      <c r="B107" t="s">
        <v>787</v>
      </c>
      <c r="C107" t="s">
        <v>788</v>
      </c>
      <c r="D107" t="s">
        <v>821</v>
      </c>
      <c r="E107">
        <v>4</v>
      </c>
      <c r="F107" t="s">
        <v>799</v>
      </c>
      <c r="G107" t="s">
        <v>800</v>
      </c>
      <c r="H107" t="s">
        <v>797</v>
      </c>
      <c r="I107" t="s">
        <v>840</v>
      </c>
      <c r="J107" t="str">
        <f t="shared" si="4"/>
        <v>i_n_frypan_4_bookshelf_wardrobe_bed_c</v>
      </c>
      <c r="L107" t="str">
        <f t="shared" si="3"/>
        <v>.*BED.*-N-.*-n4.*-CON</v>
      </c>
      <c r="M107" t="s">
        <v>1034</v>
      </c>
      <c r="N107" t="s">
        <v>1037</v>
      </c>
      <c r="O107">
        <v>4</v>
      </c>
      <c r="P107" t="s">
        <v>1041</v>
      </c>
    </row>
    <row r="108" spans="1:16" x14ac:dyDescent="0.3">
      <c r="A108" t="s">
        <v>773</v>
      </c>
      <c r="B108" t="s">
        <v>787</v>
      </c>
      <c r="C108" t="s">
        <v>788</v>
      </c>
      <c r="D108" t="s">
        <v>822</v>
      </c>
      <c r="E108">
        <v>5</v>
      </c>
      <c r="F108" t="s">
        <v>793</v>
      </c>
      <c r="G108" t="s">
        <v>791</v>
      </c>
      <c r="H108" t="s">
        <v>797</v>
      </c>
      <c r="I108" t="s">
        <v>840</v>
      </c>
      <c r="J108" t="str">
        <f t="shared" si="4"/>
        <v>i_n_phone_5_p4_p2_bed_c</v>
      </c>
      <c r="L108" t="str">
        <f t="shared" si="3"/>
        <v>.*BED.*-N-.*-n5.*-CON</v>
      </c>
      <c r="M108" t="s">
        <v>1034</v>
      </c>
      <c r="N108" t="s">
        <v>1037</v>
      </c>
      <c r="O108">
        <v>5</v>
      </c>
      <c r="P108" t="s">
        <v>1041</v>
      </c>
    </row>
    <row r="109" spans="1:16" x14ac:dyDescent="0.3">
      <c r="A109" t="s">
        <v>774</v>
      </c>
      <c r="B109" t="s">
        <v>787</v>
      </c>
      <c r="C109" t="s">
        <v>788</v>
      </c>
      <c r="D109" t="s">
        <v>823</v>
      </c>
      <c r="E109">
        <v>6</v>
      </c>
      <c r="F109" t="s">
        <v>792</v>
      </c>
      <c r="G109" t="s">
        <v>799</v>
      </c>
      <c r="H109" t="s">
        <v>797</v>
      </c>
      <c r="I109" t="s">
        <v>840</v>
      </c>
      <c r="J109" t="str">
        <f t="shared" si="4"/>
        <v>i_n_knife_6_p3_bookshelf_bed_c</v>
      </c>
      <c r="L109" t="str">
        <f t="shared" si="3"/>
        <v>.*BED.*-N-.*-n6.*-CON</v>
      </c>
      <c r="M109" t="s">
        <v>1034</v>
      </c>
      <c r="N109" t="s">
        <v>1037</v>
      </c>
      <c r="O109">
        <v>6</v>
      </c>
      <c r="P109" t="s">
        <v>1041</v>
      </c>
    </row>
    <row r="110" spans="1:16" x14ac:dyDescent="0.3">
      <c r="A110" t="s">
        <v>775</v>
      </c>
      <c r="B110" t="s">
        <v>787</v>
      </c>
      <c r="C110" t="s">
        <v>788</v>
      </c>
      <c r="D110" t="s">
        <v>824</v>
      </c>
      <c r="E110">
        <v>1</v>
      </c>
      <c r="F110" t="s">
        <v>791</v>
      </c>
      <c r="G110" t="s">
        <v>801</v>
      </c>
      <c r="H110" t="s">
        <v>810</v>
      </c>
      <c r="I110" t="s">
        <v>840</v>
      </c>
      <c r="J110" t="str">
        <f t="shared" si="4"/>
        <v>i_n_letters_1_p2_fridge_kit_c</v>
      </c>
      <c r="L110" t="str">
        <f t="shared" si="3"/>
        <v>.*KIT.*-N-.*-n1.*-CON</v>
      </c>
      <c r="M110" t="s">
        <v>1035</v>
      </c>
      <c r="N110" t="s">
        <v>1037</v>
      </c>
      <c r="O110">
        <v>1</v>
      </c>
      <c r="P110" t="s">
        <v>1041</v>
      </c>
    </row>
    <row r="111" spans="1:16" x14ac:dyDescent="0.3">
      <c r="A111" t="s">
        <v>776</v>
      </c>
      <c r="B111" t="s">
        <v>787</v>
      </c>
      <c r="C111" t="s">
        <v>788</v>
      </c>
      <c r="D111" t="s">
        <v>825</v>
      </c>
      <c r="E111">
        <v>2</v>
      </c>
      <c r="F111" t="s">
        <v>802</v>
      </c>
      <c r="G111" t="s">
        <v>791</v>
      </c>
      <c r="H111" t="s">
        <v>810</v>
      </c>
      <c r="I111" t="s">
        <v>840</v>
      </c>
      <c r="J111" t="str">
        <f t="shared" si="4"/>
        <v>i_n_cutlery_2_oven_p2_kit_c</v>
      </c>
      <c r="L111" t="str">
        <f t="shared" si="3"/>
        <v>.*KIT.*-N-.*-n2.*-CON</v>
      </c>
      <c r="M111" t="s">
        <v>1035</v>
      </c>
      <c r="N111" t="s">
        <v>1037</v>
      </c>
      <c r="O111">
        <v>2</v>
      </c>
      <c r="P111" t="s">
        <v>1041</v>
      </c>
    </row>
    <row r="112" spans="1:16" x14ac:dyDescent="0.3">
      <c r="A112" t="s">
        <v>777</v>
      </c>
      <c r="B112" t="s">
        <v>787</v>
      </c>
      <c r="C112" t="s">
        <v>788</v>
      </c>
      <c r="D112" t="s">
        <v>826</v>
      </c>
      <c r="E112">
        <v>3</v>
      </c>
      <c r="F112" t="s">
        <v>793</v>
      </c>
      <c r="G112" t="s">
        <v>802</v>
      </c>
      <c r="H112" t="s">
        <v>810</v>
      </c>
      <c r="I112" t="s">
        <v>840</v>
      </c>
      <c r="J112" t="str">
        <f t="shared" si="4"/>
        <v>i_n_toaster_3_p4_oven_kit_c</v>
      </c>
      <c r="L112" t="str">
        <f t="shared" si="3"/>
        <v>.*KIT.*-N-.*-n3.*-CON</v>
      </c>
      <c r="M112" t="s">
        <v>1035</v>
      </c>
      <c r="N112" t="s">
        <v>1037</v>
      </c>
      <c r="O112">
        <v>3</v>
      </c>
      <c r="P112" t="s">
        <v>1041</v>
      </c>
    </row>
    <row r="113" spans="1:16" x14ac:dyDescent="0.3">
      <c r="A113" t="s">
        <v>778</v>
      </c>
      <c r="B113" t="s">
        <v>787</v>
      </c>
      <c r="C113" t="s">
        <v>788</v>
      </c>
      <c r="D113" t="s">
        <v>827</v>
      </c>
      <c r="E113">
        <v>4</v>
      </c>
      <c r="F113" t="s">
        <v>796</v>
      </c>
      <c r="G113" t="s">
        <v>792</v>
      </c>
      <c r="H113" t="s">
        <v>810</v>
      </c>
      <c r="I113" t="s">
        <v>840</v>
      </c>
      <c r="J113" t="str">
        <f t="shared" si="4"/>
        <v>i_n_oil_4_p1_p3_kit_c</v>
      </c>
      <c r="L113" t="str">
        <f t="shared" si="3"/>
        <v>.*KIT.*-N-.*-n4.*-CON</v>
      </c>
      <c r="M113" t="s">
        <v>1035</v>
      </c>
      <c r="N113" t="s">
        <v>1037</v>
      </c>
      <c r="O113">
        <v>4</v>
      </c>
      <c r="P113" t="s">
        <v>1041</v>
      </c>
    </row>
    <row r="114" spans="1:16" x14ac:dyDescent="0.3">
      <c r="A114" t="s">
        <v>779</v>
      </c>
      <c r="B114" t="s">
        <v>787</v>
      </c>
      <c r="C114" t="s">
        <v>788</v>
      </c>
      <c r="D114" t="s">
        <v>828</v>
      </c>
      <c r="E114">
        <v>5</v>
      </c>
      <c r="F114" t="s">
        <v>803</v>
      </c>
      <c r="G114" t="s">
        <v>804</v>
      </c>
      <c r="H114" t="s">
        <v>810</v>
      </c>
      <c r="I114" t="s">
        <v>840</v>
      </c>
      <c r="J114" t="str">
        <f t="shared" si="4"/>
        <v>i_n_keys_5_bench_pantry_kit_c</v>
      </c>
      <c r="L114" t="str">
        <f t="shared" si="3"/>
        <v>.*KIT.*-N-.*-n5.*-CON</v>
      </c>
      <c r="M114" t="s">
        <v>1035</v>
      </c>
      <c r="N114" t="s">
        <v>1037</v>
      </c>
      <c r="O114">
        <v>5</v>
      </c>
      <c r="P114" t="s">
        <v>1041</v>
      </c>
    </row>
    <row r="115" spans="1:16" x14ac:dyDescent="0.3">
      <c r="A115" t="s">
        <v>780</v>
      </c>
      <c r="B115" t="s">
        <v>787</v>
      </c>
      <c r="C115" t="s">
        <v>788</v>
      </c>
      <c r="D115" t="s">
        <v>829</v>
      </c>
      <c r="E115">
        <v>6</v>
      </c>
      <c r="F115" t="s">
        <v>804</v>
      </c>
      <c r="G115" t="s">
        <v>803</v>
      </c>
      <c r="H115" t="s">
        <v>810</v>
      </c>
      <c r="I115" t="s">
        <v>840</v>
      </c>
      <c r="J115" t="str">
        <f t="shared" si="4"/>
        <v>i_n_tpaper_6_pantry_bench_kit_c</v>
      </c>
      <c r="L115" t="str">
        <f t="shared" si="3"/>
        <v>.*KIT.*-N-.*-n6.*-CON</v>
      </c>
      <c r="M115" t="s">
        <v>1035</v>
      </c>
      <c r="N115" t="s">
        <v>1037</v>
      </c>
      <c r="O115">
        <v>6</v>
      </c>
      <c r="P115" t="s">
        <v>1041</v>
      </c>
    </row>
    <row r="116" spans="1:16" x14ac:dyDescent="0.3">
      <c r="A116" t="s">
        <v>781</v>
      </c>
      <c r="B116" t="s">
        <v>787</v>
      </c>
      <c r="C116" t="s">
        <v>788</v>
      </c>
      <c r="D116" t="s">
        <v>830</v>
      </c>
      <c r="E116">
        <v>1</v>
      </c>
      <c r="F116" t="s">
        <v>805</v>
      </c>
      <c r="G116" t="s">
        <v>806</v>
      </c>
      <c r="H116" t="s">
        <v>811</v>
      </c>
      <c r="I116" t="s">
        <v>840</v>
      </c>
      <c r="J116" t="str">
        <f t="shared" si="4"/>
        <v>i_n_drill_1_couch_bookcase_liv_c</v>
      </c>
      <c r="L116" t="str">
        <f t="shared" si="3"/>
        <v>.*LIV.*-N-.*-n1.*-CON</v>
      </c>
      <c r="M116" t="s">
        <v>1036</v>
      </c>
      <c r="N116" t="s">
        <v>1037</v>
      </c>
      <c r="O116">
        <v>1</v>
      </c>
      <c r="P116" t="s">
        <v>1041</v>
      </c>
    </row>
    <row r="117" spans="1:16" x14ac:dyDescent="0.3">
      <c r="A117" t="s">
        <v>782</v>
      </c>
      <c r="B117" t="s">
        <v>787</v>
      </c>
      <c r="C117" t="s">
        <v>788</v>
      </c>
      <c r="D117" t="s">
        <v>831</v>
      </c>
      <c r="E117">
        <v>2</v>
      </c>
      <c r="F117" t="s">
        <v>793</v>
      </c>
      <c r="G117" t="s">
        <v>796</v>
      </c>
      <c r="H117" t="s">
        <v>811</v>
      </c>
      <c r="I117" t="s">
        <v>840</v>
      </c>
      <c r="J117" t="str">
        <f t="shared" si="4"/>
        <v>i_n_mask_2_p4_p1_liv_c</v>
      </c>
      <c r="L117" t="str">
        <f t="shared" si="3"/>
        <v>.*LIV.*-N-.*-n2.*-CON</v>
      </c>
      <c r="M117" t="s">
        <v>1036</v>
      </c>
      <c r="N117" t="s">
        <v>1037</v>
      </c>
      <c r="O117">
        <v>2</v>
      </c>
      <c r="P117" t="s">
        <v>1041</v>
      </c>
    </row>
    <row r="118" spans="1:16" x14ac:dyDescent="0.3">
      <c r="A118" t="s">
        <v>783</v>
      </c>
      <c r="B118" t="s">
        <v>787</v>
      </c>
      <c r="C118" t="s">
        <v>788</v>
      </c>
      <c r="D118" t="s">
        <v>832</v>
      </c>
      <c r="E118">
        <v>3</v>
      </c>
      <c r="F118" t="s">
        <v>791</v>
      </c>
      <c r="G118" t="s">
        <v>805</v>
      </c>
      <c r="H118" t="s">
        <v>811</v>
      </c>
      <c r="I118" t="s">
        <v>840</v>
      </c>
      <c r="J118" t="str">
        <f t="shared" si="4"/>
        <v>i_n_lamp_3_p2_couch_liv_c</v>
      </c>
      <c r="L118" t="str">
        <f t="shared" si="3"/>
        <v>.*LIV.*-N-.*-n3.*-CON</v>
      </c>
      <c r="M118" t="s">
        <v>1036</v>
      </c>
      <c r="N118" t="s">
        <v>1037</v>
      </c>
      <c r="O118">
        <v>3</v>
      </c>
      <c r="P118" t="s">
        <v>1041</v>
      </c>
    </row>
    <row r="119" spans="1:16" x14ac:dyDescent="0.3">
      <c r="A119" t="s">
        <v>784</v>
      </c>
      <c r="B119" t="s">
        <v>787</v>
      </c>
      <c r="C119" t="s">
        <v>788</v>
      </c>
      <c r="D119" t="s">
        <v>833</v>
      </c>
      <c r="E119">
        <v>4</v>
      </c>
      <c r="F119" t="s">
        <v>807</v>
      </c>
      <c r="G119" t="s">
        <v>791</v>
      </c>
      <c r="H119" t="s">
        <v>811</v>
      </c>
      <c r="I119" t="s">
        <v>840</v>
      </c>
      <c r="J119" t="str">
        <f t="shared" si="4"/>
        <v>i_n_handbag_4_tv_p2_liv_c</v>
      </c>
      <c r="L119" t="str">
        <f t="shared" si="3"/>
        <v>.*LIV.*-N-.*-n4.*-CON</v>
      </c>
      <c r="M119" t="s">
        <v>1036</v>
      </c>
      <c r="N119" t="s">
        <v>1037</v>
      </c>
      <c r="O119">
        <v>4</v>
      </c>
      <c r="P119" t="s">
        <v>1041</v>
      </c>
    </row>
    <row r="120" spans="1:16" x14ac:dyDescent="0.3">
      <c r="A120" t="s">
        <v>785</v>
      </c>
      <c r="B120" t="s">
        <v>787</v>
      </c>
      <c r="C120" t="s">
        <v>788</v>
      </c>
      <c r="D120" t="s">
        <v>834</v>
      </c>
      <c r="E120">
        <v>5</v>
      </c>
      <c r="F120" t="s">
        <v>808</v>
      </c>
      <c r="G120" t="s">
        <v>807</v>
      </c>
      <c r="H120" t="s">
        <v>811</v>
      </c>
      <c r="I120" t="s">
        <v>840</v>
      </c>
      <c r="J120" t="str">
        <f t="shared" si="4"/>
        <v>i_n_laptop_5_chair_tv_liv_c</v>
      </c>
      <c r="L120" t="str">
        <f t="shared" si="3"/>
        <v>.*LIV.*-N-.*-n5.*-CON</v>
      </c>
      <c r="M120" t="s">
        <v>1036</v>
      </c>
      <c r="N120" t="s">
        <v>1037</v>
      </c>
      <c r="O120">
        <v>5</v>
      </c>
      <c r="P120" t="s">
        <v>1041</v>
      </c>
    </row>
    <row r="121" spans="1:16" x14ac:dyDescent="0.3">
      <c r="A121" t="s">
        <v>786</v>
      </c>
      <c r="B121" t="s">
        <v>787</v>
      </c>
      <c r="C121" t="s">
        <v>788</v>
      </c>
      <c r="D121" t="s">
        <v>835</v>
      </c>
      <c r="E121">
        <v>6</v>
      </c>
      <c r="F121" t="s">
        <v>792</v>
      </c>
      <c r="G121" t="s">
        <v>808</v>
      </c>
      <c r="H121" t="s">
        <v>811</v>
      </c>
      <c r="I121" t="s">
        <v>840</v>
      </c>
      <c r="J121" t="str">
        <f t="shared" si="4"/>
        <v>i_n_newspaper_6_p3_chair_liv_c</v>
      </c>
      <c r="L121" t="str">
        <f t="shared" si="3"/>
        <v>.*LIV.*-N-.*-n6.*-CON</v>
      </c>
      <c r="M121" t="s">
        <v>1036</v>
      </c>
      <c r="N121" t="s">
        <v>1037</v>
      </c>
      <c r="O121">
        <v>6</v>
      </c>
      <c r="P121" t="s">
        <v>1041</v>
      </c>
    </row>
    <row r="122" spans="1:16" x14ac:dyDescent="0.3">
      <c r="A122" t="s">
        <v>763</v>
      </c>
      <c r="B122" t="s">
        <v>787</v>
      </c>
      <c r="C122" t="s">
        <v>836</v>
      </c>
      <c r="D122" t="s">
        <v>812</v>
      </c>
      <c r="E122">
        <v>1</v>
      </c>
      <c r="F122" t="s">
        <v>789</v>
      </c>
      <c r="G122" t="s">
        <v>790</v>
      </c>
      <c r="H122" t="s">
        <v>809</v>
      </c>
      <c r="I122" t="s">
        <v>840</v>
      </c>
      <c r="J122" t="str">
        <f t="shared" si="4"/>
        <v>i_u_duck_1_bath_shower_bat_c</v>
      </c>
      <c r="L122" t="str">
        <f t="shared" si="3"/>
        <v>.*BAT.*-U-.*-n1.*-CON</v>
      </c>
      <c r="M122" t="s">
        <v>1033</v>
      </c>
      <c r="N122" t="s">
        <v>1038</v>
      </c>
      <c r="O122">
        <v>1</v>
      </c>
      <c r="P122" t="s">
        <v>1041</v>
      </c>
    </row>
    <row r="123" spans="1:16" x14ac:dyDescent="0.3">
      <c r="A123" t="s">
        <v>764</v>
      </c>
      <c r="B123" t="s">
        <v>787</v>
      </c>
      <c r="C123" t="s">
        <v>836</v>
      </c>
      <c r="D123" t="s">
        <v>813</v>
      </c>
      <c r="E123">
        <v>2</v>
      </c>
      <c r="F123" t="s">
        <v>791</v>
      </c>
      <c r="G123" t="s">
        <v>789</v>
      </c>
      <c r="H123" t="s">
        <v>809</v>
      </c>
      <c r="I123" t="s">
        <v>840</v>
      </c>
      <c r="J123" t="str">
        <f t="shared" si="4"/>
        <v>i_u_remote_2_p2_bath_bat_c</v>
      </c>
      <c r="L123" t="str">
        <f t="shared" si="3"/>
        <v>.*BAT.*-U-.*-n2.*-CON</v>
      </c>
      <c r="M123" t="s">
        <v>1033</v>
      </c>
      <c r="N123" t="s">
        <v>1038</v>
      </c>
      <c r="O123">
        <v>2</v>
      </c>
      <c r="P123" t="s">
        <v>1041</v>
      </c>
    </row>
    <row r="124" spans="1:16" x14ac:dyDescent="0.3">
      <c r="A124" t="s">
        <v>765</v>
      </c>
      <c r="B124" t="s">
        <v>787</v>
      </c>
      <c r="C124" t="s">
        <v>836</v>
      </c>
      <c r="D124" t="s">
        <v>814</v>
      </c>
      <c r="E124">
        <v>3</v>
      </c>
      <c r="F124" t="s">
        <v>792</v>
      </c>
      <c r="G124" t="s">
        <v>793</v>
      </c>
      <c r="H124" t="s">
        <v>809</v>
      </c>
      <c r="I124" t="s">
        <v>840</v>
      </c>
      <c r="J124" t="str">
        <f t="shared" si="4"/>
        <v>i_u_tbrushes_3_p3_p4_bat_c</v>
      </c>
      <c r="L124" t="str">
        <f t="shared" si="3"/>
        <v>.*BAT.*-U-.*-n3.*-CON</v>
      </c>
      <c r="M124" t="s">
        <v>1033</v>
      </c>
      <c r="N124" t="s">
        <v>1038</v>
      </c>
      <c r="O124">
        <v>3</v>
      </c>
      <c r="P124" t="s">
        <v>1041</v>
      </c>
    </row>
    <row r="125" spans="1:16" x14ac:dyDescent="0.3">
      <c r="A125" t="s">
        <v>766</v>
      </c>
      <c r="B125" t="s">
        <v>787</v>
      </c>
      <c r="C125" t="s">
        <v>836</v>
      </c>
      <c r="D125" t="s">
        <v>815</v>
      </c>
      <c r="E125">
        <v>4</v>
      </c>
      <c r="F125" t="s">
        <v>794</v>
      </c>
      <c r="G125" t="s">
        <v>792</v>
      </c>
      <c r="H125" t="s">
        <v>809</v>
      </c>
      <c r="I125" t="s">
        <v>840</v>
      </c>
      <c r="J125" t="str">
        <f t="shared" si="4"/>
        <v>i_u_book_4_toilet_p3_bat_c</v>
      </c>
      <c r="L125" t="str">
        <f t="shared" si="3"/>
        <v>.*BAT.*-U-.*-n4.*-CON</v>
      </c>
      <c r="M125" t="s">
        <v>1033</v>
      </c>
      <c r="N125" t="s">
        <v>1038</v>
      </c>
      <c r="O125">
        <v>4</v>
      </c>
      <c r="P125" t="s">
        <v>1041</v>
      </c>
    </row>
    <row r="126" spans="1:16" x14ac:dyDescent="0.3">
      <c r="A126" t="s">
        <v>767</v>
      </c>
      <c r="B126" t="s">
        <v>787</v>
      </c>
      <c r="C126" t="s">
        <v>836</v>
      </c>
      <c r="D126" t="s">
        <v>816</v>
      </c>
      <c r="E126">
        <v>5</v>
      </c>
      <c r="F126" t="s">
        <v>795</v>
      </c>
      <c r="G126" t="s">
        <v>794</v>
      </c>
      <c r="H126" t="s">
        <v>809</v>
      </c>
      <c r="I126" t="s">
        <v>840</v>
      </c>
      <c r="J126" t="str">
        <f t="shared" si="4"/>
        <v>i_u_hammer_5_sink_toilet_bat_c</v>
      </c>
      <c r="L126" t="str">
        <f t="shared" si="3"/>
        <v>.*BAT.*-U-.*-n5.*-CON</v>
      </c>
      <c r="M126" t="s">
        <v>1033</v>
      </c>
      <c r="N126" t="s">
        <v>1038</v>
      </c>
      <c r="O126">
        <v>5</v>
      </c>
      <c r="P126" t="s">
        <v>1041</v>
      </c>
    </row>
    <row r="127" spans="1:16" x14ac:dyDescent="0.3">
      <c r="A127" t="s">
        <v>768</v>
      </c>
      <c r="B127" t="s">
        <v>787</v>
      </c>
      <c r="C127" t="s">
        <v>836</v>
      </c>
      <c r="D127" t="s">
        <v>817</v>
      </c>
      <c r="E127">
        <v>6</v>
      </c>
      <c r="F127" t="s">
        <v>796</v>
      </c>
      <c r="G127" t="s">
        <v>795</v>
      </c>
      <c r="H127" t="s">
        <v>809</v>
      </c>
      <c r="I127" t="s">
        <v>840</v>
      </c>
      <c r="J127" t="str">
        <f t="shared" si="4"/>
        <v>i_u_glasses_6_p1_sink_bat_c</v>
      </c>
      <c r="L127" t="str">
        <f t="shared" si="3"/>
        <v>.*BAT.*-U-.*-n6.*-CON</v>
      </c>
      <c r="M127" t="s">
        <v>1033</v>
      </c>
      <c r="N127" t="s">
        <v>1038</v>
      </c>
      <c r="O127">
        <v>6</v>
      </c>
      <c r="P127" t="s">
        <v>1041</v>
      </c>
    </row>
    <row r="128" spans="1:16" x14ac:dyDescent="0.3">
      <c r="A128" t="s">
        <v>769</v>
      </c>
      <c r="B128" t="s">
        <v>787</v>
      </c>
      <c r="C128" t="s">
        <v>836</v>
      </c>
      <c r="D128" t="s">
        <v>818</v>
      </c>
      <c r="E128">
        <v>1</v>
      </c>
      <c r="F128" t="s">
        <v>797</v>
      </c>
      <c r="G128" t="s">
        <v>793</v>
      </c>
      <c r="H128" t="s">
        <v>797</v>
      </c>
      <c r="I128" t="s">
        <v>840</v>
      </c>
      <c r="J128" t="str">
        <f t="shared" si="4"/>
        <v>i_u_alarm_1_bed_p4_bed_c</v>
      </c>
      <c r="L128" t="str">
        <f t="shared" si="3"/>
        <v>.*BED.*-U-.*-n1.*-CON</v>
      </c>
      <c r="M128" t="s">
        <v>1034</v>
      </c>
      <c r="N128" t="s">
        <v>1038</v>
      </c>
      <c r="O128">
        <v>1</v>
      </c>
      <c r="P128" t="s">
        <v>1041</v>
      </c>
    </row>
    <row r="129" spans="1:16" x14ac:dyDescent="0.3">
      <c r="A129" t="s">
        <v>770</v>
      </c>
      <c r="B129" t="s">
        <v>787</v>
      </c>
      <c r="C129" t="s">
        <v>836</v>
      </c>
      <c r="D129" t="s">
        <v>819</v>
      </c>
      <c r="E129">
        <v>2</v>
      </c>
      <c r="F129" t="s">
        <v>798</v>
      </c>
      <c r="G129" t="s">
        <v>797</v>
      </c>
      <c r="H129" t="s">
        <v>797</v>
      </c>
      <c r="I129" t="s">
        <v>840</v>
      </c>
      <c r="J129" t="str">
        <f t="shared" si="4"/>
        <v>i_u_magazine_2_dresser_bed_bed_c</v>
      </c>
      <c r="L129" t="str">
        <f t="shared" si="3"/>
        <v>.*BED.*-U-.*-n2.*-CON</v>
      </c>
      <c r="M129" t="s">
        <v>1034</v>
      </c>
      <c r="N129" t="s">
        <v>1038</v>
      </c>
      <c r="O129">
        <v>2</v>
      </c>
      <c r="P129" t="s">
        <v>1041</v>
      </c>
    </row>
    <row r="130" spans="1:16" x14ac:dyDescent="0.3">
      <c r="A130" t="s">
        <v>771</v>
      </c>
      <c r="B130" t="s">
        <v>787</v>
      </c>
      <c r="C130" t="s">
        <v>836</v>
      </c>
      <c r="D130" t="s">
        <v>820</v>
      </c>
      <c r="E130">
        <v>3</v>
      </c>
      <c r="F130" t="s">
        <v>796</v>
      </c>
      <c r="G130" t="s">
        <v>798</v>
      </c>
      <c r="H130" t="s">
        <v>797</v>
      </c>
      <c r="I130" t="s">
        <v>840</v>
      </c>
      <c r="J130" t="str">
        <f t="shared" si="4"/>
        <v>i_u_picture_3_p1_dresser_bed_c</v>
      </c>
      <c r="L130" t="str">
        <f t="shared" si="3"/>
        <v>.*BED.*-U-.*-n3.*-CON</v>
      </c>
      <c r="M130" t="s">
        <v>1034</v>
      </c>
      <c r="N130" t="s">
        <v>1038</v>
      </c>
      <c r="O130">
        <v>3</v>
      </c>
      <c r="P130" t="s">
        <v>1041</v>
      </c>
    </row>
    <row r="131" spans="1:16" x14ac:dyDescent="0.3">
      <c r="A131" t="s">
        <v>772</v>
      </c>
      <c r="B131" t="s">
        <v>787</v>
      </c>
      <c r="C131" t="s">
        <v>836</v>
      </c>
      <c r="D131" t="s">
        <v>821</v>
      </c>
      <c r="E131">
        <v>4</v>
      </c>
      <c r="F131" t="s">
        <v>799</v>
      </c>
      <c r="G131" t="s">
        <v>800</v>
      </c>
      <c r="H131" t="s">
        <v>797</v>
      </c>
      <c r="I131" t="s">
        <v>840</v>
      </c>
      <c r="J131" t="str">
        <f t="shared" si="4"/>
        <v>i_u_frypan_4_bookshelf_wardrobe_bed_c</v>
      </c>
      <c r="L131" t="str">
        <f t="shared" ref="L131:L193" si="5">".*"&amp;M131&amp;".*-"&amp;N131&amp;"-.*-n"&amp;O131&amp;".*-"&amp;P131</f>
        <v>.*BED.*-U-.*-n4.*-CON</v>
      </c>
      <c r="M131" t="s">
        <v>1034</v>
      </c>
      <c r="N131" t="s">
        <v>1038</v>
      </c>
      <c r="O131">
        <v>4</v>
      </c>
      <c r="P131" t="s">
        <v>1041</v>
      </c>
    </row>
    <row r="132" spans="1:16" x14ac:dyDescent="0.3">
      <c r="A132" t="s">
        <v>773</v>
      </c>
      <c r="B132" t="s">
        <v>787</v>
      </c>
      <c r="C132" t="s">
        <v>836</v>
      </c>
      <c r="D132" t="s">
        <v>822</v>
      </c>
      <c r="E132">
        <v>5</v>
      </c>
      <c r="F132" t="s">
        <v>793</v>
      </c>
      <c r="G132" t="s">
        <v>791</v>
      </c>
      <c r="H132" t="s">
        <v>797</v>
      </c>
      <c r="I132" t="s">
        <v>840</v>
      </c>
      <c r="J132" t="str">
        <f t="shared" si="4"/>
        <v>i_u_phone_5_p4_p2_bed_c</v>
      </c>
      <c r="L132" t="str">
        <f t="shared" si="5"/>
        <v>.*BED.*-U-.*-n5.*-CON</v>
      </c>
      <c r="M132" t="s">
        <v>1034</v>
      </c>
      <c r="N132" t="s">
        <v>1038</v>
      </c>
      <c r="O132">
        <v>5</v>
      </c>
      <c r="P132" t="s">
        <v>1041</v>
      </c>
    </row>
    <row r="133" spans="1:16" x14ac:dyDescent="0.3">
      <c r="A133" t="s">
        <v>774</v>
      </c>
      <c r="B133" t="s">
        <v>787</v>
      </c>
      <c r="C133" t="s">
        <v>836</v>
      </c>
      <c r="D133" t="s">
        <v>823</v>
      </c>
      <c r="E133">
        <v>6</v>
      </c>
      <c r="F133" t="s">
        <v>792</v>
      </c>
      <c r="G133" t="s">
        <v>799</v>
      </c>
      <c r="H133" t="s">
        <v>797</v>
      </c>
      <c r="I133" t="s">
        <v>840</v>
      </c>
      <c r="J133" t="str">
        <f t="shared" si="4"/>
        <v>i_u_knife_6_p3_bookshelf_bed_c</v>
      </c>
      <c r="L133" t="str">
        <f t="shared" si="5"/>
        <v>.*BED.*-U-.*-n6.*-CON</v>
      </c>
      <c r="M133" t="s">
        <v>1034</v>
      </c>
      <c r="N133" t="s">
        <v>1038</v>
      </c>
      <c r="O133">
        <v>6</v>
      </c>
      <c r="P133" t="s">
        <v>1041</v>
      </c>
    </row>
    <row r="134" spans="1:16" x14ac:dyDescent="0.3">
      <c r="A134" t="s">
        <v>775</v>
      </c>
      <c r="B134" t="s">
        <v>787</v>
      </c>
      <c r="C134" t="s">
        <v>836</v>
      </c>
      <c r="D134" t="s">
        <v>824</v>
      </c>
      <c r="E134">
        <v>1</v>
      </c>
      <c r="F134" t="s">
        <v>791</v>
      </c>
      <c r="G134" t="s">
        <v>801</v>
      </c>
      <c r="H134" t="s">
        <v>810</v>
      </c>
      <c r="I134" t="s">
        <v>840</v>
      </c>
      <c r="J134" t="str">
        <f t="shared" si="4"/>
        <v>i_u_letters_1_p2_fridge_kit_c</v>
      </c>
      <c r="L134" t="str">
        <f t="shared" si="5"/>
        <v>.*KIT.*-U-.*-n1.*-CON</v>
      </c>
      <c r="M134" t="s">
        <v>1035</v>
      </c>
      <c r="N134" t="s">
        <v>1038</v>
      </c>
      <c r="O134">
        <v>1</v>
      </c>
      <c r="P134" t="s">
        <v>1041</v>
      </c>
    </row>
    <row r="135" spans="1:16" x14ac:dyDescent="0.3">
      <c r="A135" t="s">
        <v>776</v>
      </c>
      <c r="B135" t="s">
        <v>787</v>
      </c>
      <c r="C135" t="s">
        <v>836</v>
      </c>
      <c r="D135" t="s">
        <v>825</v>
      </c>
      <c r="E135">
        <v>2</v>
      </c>
      <c r="F135" t="s">
        <v>802</v>
      </c>
      <c r="G135" t="s">
        <v>791</v>
      </c>
      <c r="H135" t="s">
        <v>810</v>
      </c>
      <c r="I135" t="s">
        <v>840</v>
      </c>
      <c r="J135" t="str">
        <f t="shared" si="4"/>
        <v>i_u_cutlery_2_oven_p2_kit_c</v>
      </c>
      <c r="L135" t="str">
        <f t="shared" si="5"/>
        <v>.*KIT.*-U-.*-n2.*-CON</v>
      </c>
      <c r="M135" t="s">
        <v>1035</v>
      </c>
      <c r="N135" t="s">
        <v>1038</v>
      </c>
      <c r="O135">
        <v>2</v>
      </c>
      <c r="P135" t="s">
        <v>1041</v>
      </c>
    </row>
    <row r="136" spans="1:16" x14ac:dyDescent="0.3">
      <c r="A136" t="s">
        <v>777</v>
      </c>
      <c r="B136" t="s">
        <v>787</v>
      </c>
      <c r="C136" t="s">
        <v>836</v>
      </c>
      <c r="D136" t="s">
        <v>826</v>
      </c>
      <c r="E136">
        <v>3</v>
      </c>
      <c r="F136" t="s">
        <v>793</v>
      </c>
      <c r="G136" t="s">
        <v>802</v>
      </c>
      <c r="H136" t="s">
        <v>810</v>
      </c>
      <c r="I136" t="s">
        <v>840</v>
      </c>
      <c r="J136" t="str">
        <f t="shared" si="4"/>
        <v>i_u_toaster_3_p4_oven_kit_c</v>
      </c>
      <c r="L136" t="str">
        <f t="shared" si="5"/>
        <v>.*KIT.*-U-.*-n3.*-CON</v>
      </c>
      <c r="M136" t="s">
        <v>1035</v>
      </c>
      <c r="N136" t="s">
        <v>1038</v>
      </c>
      <c r="O136">
        <v>3</v>
      </c>
      <c r="P136" t="s">
        <v>1041</v>
      </c>
    </row>
    <row r="137" spans="1:16" x14ac:dyDescent="0.3">
      <c r="A137" t="s">
        <v>778</v>
      </c>
      <c r="B137" t="s">
        <v>787</v>
      </c>
      <c r="C137" t="s">
        <v>836</v>
      </c>
      <c r="D137" t="s">
        <v>827</v>
      </c>
      <c r="E137">
        <v>4</v>
      </c>
      <c r="F137" t="s">
        <v>796</v>
      </c>
      <c r="G137" t="s">
        <v>792</v>
      </c>
      <c r="H137" t="s">
        <v>810</v>
      </c>
      <c r="I137" t="s">
        <v>840</v>
      </c>
      <c r="J137" t="str">
        <f t="shared" si="4"/>
        <v>i_u_oil_4_p1_p3_kit_c</v>
      </c>
      <c r="L137" t="str">
        <f t="shared" si="5"/>
        <v>.*KIT.*-U-.*-n4.*-CON</v>
      </c>
      <c r="M137" t="s">
        <v>1035</v>
      </c>
      <c r="N137" t="s">
        <v>1038</v>
      </c>
      <c r="O137">
        <v>4</v>
      </c>
      <c r="P137" t="s">
        <v>1041</v>
      </c>
    </row>
    <row r="138" spans="1:16" x14ac:dyDescent="0.3">
      <c r="A138" t="s">
        <v>779</v>
      </c>
      <c r="B138" t="s">
        <v>787</v>
      </c>
      <c r="C138" t="s">
        <v>836</v>
      </c>
      <c r="D138" t="s">
        <v>828</v>
      </c>
      <c r="E138">
        <v>5</v>
      </c>
      <c r="F138" t="s">
        <v>803</v>
      </c>
      <c r="G138" t="s">
        <v>804</v>
      </c>
      <c r="H138" t="s">
        <v>810</v>
      </c>
      <c r="I138" t="s">
        <v>840</v>
      </c>
      <c r="J138" t="str">
        <f t="shared" si="4"/>
        <v>i_u_keys_5_bench_pantry_kit_c</v>
      </c>
      <c r="L138" t="str">
        <f t="shared" si="5"/>
        <v>.*KIT.*-U-.*-n5.*-CON</v>
      </c>
      <c r="M138" t="s">
        <v>1035</v>
      </c>
      <c r="N138" t="s">
        <v>1038</v>
      </c>
      <c r="O138">
        <v>5</v>
      </c>
      <c r="P138" t="s">
        <v>1041</v>
      </c>
    </row>
    <row r="139" spans="1:16" x14ac:dyDescent="0.3">
      <c r="A139" t="s">
        <v>780</v>
      </c>
      <c r="B139" t="s">
        <v>787</v>
      </c>
      <c r="C139" t="s">
        <v>836</v>
      </c>
      <c r="D139" t="s">
        <v>829</v>
      </c>
      <c r="E139">
        <v>6</v>
      </c>
      <c r="F139" t="s">
        <v>804</v>
      </c>
      <c r="G139" t="s">
        <v>803</v>
      </c>
      <c r="H139" t="s">
        <v>810</v>
      </c>
      <c r="I139" t="s">
        <v>840</v>
      </c>
      <c r="J139" t="str">
        <f t="shared" si="4"/>
        <v>i_u_tpaper_6_pantry_bench_kit_c</v>
      </c>
      <c r="L139" t="str">
        <f t="shared" si="5"/>
        <v>.*KIT.*-U-.*-n6.*-CON</v>
      </c>
      <c r="M139" t="s">
        <v>1035</v>
      </c>
      <c r="N139" t="s">
        <v>1038</v>
      </c>
      <c r="O139">
        <v>6</v>
      </c>
      <c r="P139" t="s">
        <v>1041</v>
      </c>
    </row>
    <row r="140" spans="1:16" x14ac:dyDescent="0.3">
      <c r="A140" t="s">
        <v>781</v>
      </c>
      <c r="B140" t="s">
        <v>787</v>
      </c>
      <c r="C140" t="s">
        <v>836</v>
      </c>
      <c r="D140" t="s">
        <v>830</v>
      </c>
      <c r="E140">
        <v>1</v>
      </c>
      <c r="F140" t="s">
        <v>805</v>
      </c>
      <c r="G140" t="s">
        <v>806</v>
      </c>
      <c r="H140" t="s">
        <v>811</v>
      </c>
      <c r="I140" t="s">
        <v>840</v>
      </c>
      <c r="J140" t="str">
        <f t="shared" si="4"/>
        <v>i_u_drill_1_couch_bookcase_liv_c</v>
      </c>
      <c r="L140" t="str">
        <f t="shared" si="5"/>
        <v>.*LIV.*-U-.*-n1.*-CON</v>
      </c>
      <c r="M140" t="s">
        <v>1036</v>
      </c>
      <c r="N140" t="s">
        <v>1038</v>
      </c>
      <c r="O140">
        <v>1</v>
      </c>
      <c r="P140" t="s">
        <v>1041</v>
      </c>
    </row>
    <row r="141" spans="1:16" x14ac:dyDescent="0.3">
      <c r="A141" t="s">
        <v>782</v>
      </c>
      <c r="B141" t="s">
        <v>787</v>
      </c>
      <c r="C141" t="s">
        <v>836</v>
      </c>
      <c r="D141" t="s">
        <v>831</v>
      </c>
      <c r="E141">
        <v>2</v>
      </c>
      <c r="F141" t="s">
        <v>793</v>
      </c>
      <c r="G141" t="s">
        <v>796</v>
      </c>
      <c r="H141" t="s">
        <v>811</v>
      </c>
      <c r="I141" t="s">
        <v>840</v>
      </c>
      <c r="J141" t="str">
        <f t="shared" si="4"/>
        <v>i_u_mask_2_p4_p1_liv_c</v>
      </c>
      <c r="L141" t="str">
        <f t="shared" si="5"/>
        <v>.*LIV.*-U-.*-n2.*-CON</v>
      </c>
      <c r="M141" t="s">
        <v>1036</v>
      </c>
      <c r="N141" t="s">
        <v>1038</v>
      </c>
      <c r="O141">
        <v>2</v>
      </c>
      <c r="P141" t="s">
        <v>1041</v>
      </c>
    </row>
    <row r="142" spans="1:16" x14ac:dyDescent="0.3">
      <c r="A142" t="s">
        <v>783</v>
      </c>
      <c r="B142" t="s">
        <v>787</v>
      </c>
      <c r="C142" t="s">
        <v>836</v>
      </c>
      <c r="D142" t="s">
        <v>832</v>
      </c>
      <c r="E142">
        <v>3</v>
      </c>
      <c r="F142" t="s">
        <v>791</v>
      </c>
      <c r="G142" t="s">
        <v>805</v>
      </c>
      <c r="H142" t="s">
        <v>811</v>
      </c>
      <c r="I142" t="s">
        <v>840</v>
      </c>
      <c r="J142" t="str">
        <f t="shared" si="4"/>
        <v>i_u_lamp_3_p2_couch_liv_c</v>
      </c>
      <c r="L142" t="str">
        <f t="shared" si="5"/>
        <v>.*LIV.*-U-.*-n3.*-CON</v>
      </c>
      <c r="M142" t="s">
        <v>1036</v>
      </c>
      <c r="N142" t="s">
        <v>1038</v>
      </c>
      <c r="O142">
        <v>3</v>
      </c>
      <c r="P142" t="s">
        <v>1041</v>
      </c>
    </row>
    <row r="143" spans="1:16" x14ac:dyDescent="0.3">
      <c r="A143" t="s">
        <v>784</v>
      </c>
      <c r="B143" t="s">
        <v>787</v>
      </c>
      <c r="C143" t="s">
        <v>836</v>
      </c>
      <c r="D143" t="s">
        <v>833</v>
      </c>
      <c r="E143">
        <v>4</v>
      </c>
      <c r="F143" t="s">
        <v>807</v>
      </c>
      <c r="G143" t="s">
        <v>791</v>
      </c>
      <c r="H143" t="s">
        <v>811</v>
      </c>
      <c r="I143" t="s">
        <v>840</v>
      </c>
      <c r="J143" t="str">
        <f t="shared" si="4"/>
        <v>i_u_handbag_4_tv_p2_liv_c</v>
      </c>
      <c r="L143" t="str">
        <f t="shared" si="5"/>
        <v>.*LIV.*-U-.*-n4.*-CON</v>
      </c>
      <c r="M143" t="s">
        <v>1036</v>
      </c>
      <c r="N143" t="s">
        <v>1038</v>
      </c>
      <c r="O143">
        <v>4</v>
      </c>
      <c r="P143" t="s">
        <v>1041</v>
      </c>
    </row>
    <row r="144" spans="1:16" x14ac:dyDescent="0.3">
      <c r="A144" t="s">
        <v>785</v>
      </c>
      <c r="B144" t="s">
        <v>787</v>
      </c>
      <c r="C144" t="s">
        <v>836</v>
      </c>
      <c r="D144" t="s">
        <v>834</v>
      </c>
      <c r="E144">
        <v>5</v>
      </c>
      <c r="F144" t="s">
        <v>808</v>
      </c>
      <c r="G144" t="s">
        <v>807</v>
      </c>
      <c r="H144" t="s">
        <v>811</v>
      </c>
      <c r="I144" t="s">
        <v>840</v>
      </c>
      <c r="J144" t="str">
        <f t="shared" si="4"/>
        <v>i_u_laptop_5_chair_tv_liv_c</v>
      </c>
      <c r="L144" t="str">
        <f t="shared" si="5"/>
        <v>.*LIV.*-U-.*-n5.*-CON</v>
      </c>
      <c r="M144" t="s">
        <v>1036</v>
      </c>
      <c r="N144" t="s">
        <v>1038</v>
      </c>
      <c r="O144">
        <v>5</v>
      </c>
      <c r="P144" t="s">
        <v>1041</v>
      </c>
    </row>
    <row r="145" spans="1:16" x14ac:dyDescent="0.3">
      <c r="A145" t="s">
        <v>786</v>
      </c>
      <c r="B145" t="s">
        <v>787</v>
      </c>
      <c r="C145" t="s">
        <v>836</v>
      </c>
      <c r="D145" t="s">
        <v>835</v>
      </c>
      <c r="E145">
        <v>6</v>
      </c>
      <c r="F145" t="s">
        <v>792</v>
      </c>
      <c r="G145" t="s">
        <v>808</v>
      </c>
      <c r="H145" t="s">
        <v>811</v>
      </c>
      <c r="I145" t="s">
        <v>840</v>
      </c>
      <c r="J145" t="str">
        <f t="shared" si="4"/>
        <v>i_u_newspaper_6_p3_chair_liv_c</v>
      </c>
      <c r="L145" t="str">
        <f t="shared" si="5"/>
        <v>.*LIV.*-U-.*-n6.*-CON</v>
      </c>
      <c r="M145" t="s">
        <v>1036</v>
      </c>
      <c r="N145" t="s">
        <v>1038</v>
      </c>
      <c r="O145">
        <v>6</v>
      </c>
      <c r="P145" t="s">
        <v>1041</v>
      </c>
    </row>
    <row r="146" spans="1:16" x14ac:dyDescent="0.3">
      <c r="A146" t="s">
        <v>763</v>
      </c>
      <c r="B146" t="s">
        <v>787</v>
      </c>
      <c r="C146" t="s">
        <v>837</v>
      </c>
      <c r="D146" t="s">
        <v>812</v>
      </c>
      <c r="E146">
        <v>1</v>
      </c>
      <c r="F146" t="s">
        <v>789</v>
      </c>
      <c r="G146" t="s">
        <v>790</v>
      </c>
      <c r="H146" t="s">
        <v>809</v>
      </c>
      <c r="I146" t="s">
        <v>840</v>
      </c>
      <c r="J146" t="str">
        <f t="shared" si="4"/>
        <v>i_d_duck_1_bath_shower_bat_c</v>
      </c>
      <c r="L146" t="str">
        <f t="shared" si="5"/>
        <v>.*BAT.*-D-.*-n1.*-CON</v>
      </c>
      <c r="M146" t="s">
        <v>1033</v>
      </c>
      <c r="N146" t="s">
        <v>1039</v>
      </c>
      <c r="O146">
        <v>1</v>
      </c>
      <c r="P146" t="s">
        <v>1041</v>
      </c>
    </row>
    <row r="147" spans="1:16" x14ac:dyDescent="0.3">
      <c r="A147" t="s">
        <v>764</v>
      </c>
      <c r="B147" t="s">
        <v>787</v>
      </c>
      <c r="C147" t="s">
        <v>837</v>
      </c>
      <c r="D147" t="s">
        <v>813</v>
      </c>
      <c r="E147">
        <v>2</v>
      </c>
      <c r="F147" t="s">
        <v>791</v>
      </c>
      <c r="G147" t="s">
        <v>789</v>
      </c>
      <c r="H147" t="s">
        <v>809</v>
      </c>
      <c r="I147" t="s">
        <v>840</v>
      </c>
      <c r="J147" t="str">
        <f t="shared" si="4"/>
        <v>i_d_remote_2_p2_bath_bat_c</v>
      </c>
      <c r="L147" t="str">
        <f t="shared" si="5"/>
        <v>.*BAT.*-D-.*-n2.*-CON</v>
      </c>
      <c r="M147" t="s">
        <v>1033</v>
      </c>
      <c r="N147" t="s">
        <v>1039</v>
      </c>
      <c r="O147">
        <v>2</v>
      </c>
      <c r="P147" t="s">
        <v>1041</v>
      </c>
    </row>
    <row r="148" spans="1:16" x14ac:dyDescent="0.3">
      <c r="A148" t="s">
        <v>765</v>
      </c>
      <c r="B148" t="s">
        <v>787</v>
      </c>
      <c r="C148" t="s">
        <v>837</v>
      </c>
      <c r="D148" t="s">
        <v>814</v>
      </c>
      <c r="E148">
        <v>3</v>
      </c>
      <c r="F148" t="s">
        <v>792</v>
      </c>
      <c r="G148" t="s">
        <v>793</v>
      </c>
      <c r="H148" t="s">
        <v>809</v>
      </c>
      <c r="I148" t="s">
        <v>840</v>
      </c>
      <c r="J148" t="str">
        <f t="shared" si="4"/>
        <v>i_d_tbrushes_3_p3_p4_bat_c</v>
      </c>
      <c r="L148" t="str">
        <f t="shared" si="5"/>
        <v>.*BAT.*-D-.*-n3.*-CON</v>
      </c>
      <c r="M148" t="s">
        <v>1033</v>
      </c>
      <c r="N148" t="s">
        <v>1039</v>
      </c>
      <c r="O148">
        <v>3</v>
      </c>
      <c r="P148" t="s">
        <v>1041</v>
      </c>
    </row>
    <row r="149" spans="1:16" x14ac:dyDescent="0.3">
      <c r="A149" t="s">
        <v>766</v>
      </c>
      <c r="B149" t="s">
        <v>787</v>
      </c>
      <c r="C149" t="s">
        <v>837</v>
      </c>
      <c r="D149" t="s">
        <v>815</v>
      </c>
      <c r="E149">
        <v>4</v>
      </c>
      <c r="F149" t="s">
        <v>794</v>
      </c>
      <c r="G149" t="s">
        <v>792</v>
      </c>
      <c r="H149" t="s">
        <v>809</v>
      </c>
      <c r="I149" t="s">
        <v>840</v>
      </c>
      <c r="J149" t="str">
        <f t="shared" si="4"/>
        <v>i_d_book_4_toilet_p3_bat_c</v>
      </c>
      <c r="L149" t="str">
        <f t="shared" si="5"/>
        <v>.*BAT.*-D-.*-n4.*-CON</v>
      </c>
      <c r="M149" t="s">
        <v>1033</v>
      </c>
      <c r="N149" t="s">
        <v>1039</v>
      </c>
      <c r="O149">
        <v>4</v>
      </c>
      <c r="P149" t="s">
        <v>1041</v>
      </c>
    </row>
    <row r="150" spans="1:16" x14ac:dyDescent="0.3">
      <c r="A150" t="s">
        <v>767</v>
      </c>
      <c r="B150" t="s">
        <v>787</v>
      </c>
      <c r="C150" t="s">
        <v>837</v>
      </c>
      <c r="D150" t="s">
        <v>816</v>
      </c>
      <c r="E150">
        <v>5</v>
      </c>
      <c r="F150" t="s">
        <v>795</v>
      </c>
      <c r="G150" t="s">
        <v>794</v>
      </c>
      <c r="H150" t="s">
        <v>809</v>
      </c>
      <c r="I150" t="s">
        <v>840</v>
      </c>
      <c r="J150" t="str">
        <f t="shared" si="4"/>
        <v>i_d_hammer_5_sink_toilet_bat_c</v>
      </c>
      <c r="L150" t="str">
        <f t="shared" si="5"/>
        <v>.*BAT.*-D-.*-n5.*-CON</v>
      </c>
      <c r="M150" t="s">
        <v>1033</v>
      </c>
      <c r="N150" t="s">
        <v>1039</v>
      </c>
      <c r="O150">
        <v>5</v>
      </c>
      <c r="P150" t="s">
        <v>1041</v>
      </c>
    </row>
    <row r="151" spans="1:16" x14ac:dyDescent="0.3">
      <c r="A151" t="s">
        <v>768</v>
      </c>
      <c r="B151" t="s">
        <v>787</v>
      </c>
      <c r="C151" t="s">
        <v>837</v>
      </c>
      <c r="D151" t="s">
        <v>817</v>
      </c>
      <c r="E151">
        <v>6</v>
      </c>
      <c r="F151" t="s">
        <v>796</v>
      </c>
      <c r="G151" t="s">
        <v>795</v>
      </c>
      <c r="H151" t="s">
        <v>809</v>
      </c>
      <c r="I151" t="s">
        <v>840</v>
      </c>
      <c r="J151" t="str">
        <f t="shared" si="4"/>
        <v>i_d_glasses_6_p1_sink_bat_c</v>
      </c>
      <c r="L151" t="str">
        <f t="shared" si="5"/>
        <v>.*BAT.*-D-.*-n6.*-CON</v>
      </c>
      <c r="M151" t="s">
        <v>1033</v>
      </c>
      <c r="N151" t="s">
        <v>1039</v>
      </c>
      <c r="O151">
        <v>6</v>
      </c>
      <c r="P151" t="s">
        <v>1041</v>
      </c>
    </row>
    <row r="152" spans="1:16" x14ac:dyDescent="0.3">
      <c r="A152" t="s">
        <v>769</v>
      </c>
      <c r="B152" t="s">
        <v>787</v>
      </c>
      <c r="C152" t="s">
        <v>837</v>
      </c>
      <c r="D152" t="s">
        <v>818</v>
      </c>
      <c r="E152">
        <v>1</v>
      </c>
      <c r="F152" t="s">
        <v>797</v>
      </c>
      <c r="G152" t="s">
        <v>793</v>
      </c>
      <c r="H152" t="s">
        <v>797</v>
      </c>
      <c r="I152" t="s">
        <v>840</v>
      </c>
      <c r="J152" t="str">
        <f t="shared" si="4"/>
        <v>i_d_alarm_1_bed_p4_bed_c</v>
      </c>
      <c r="L152" t="str">
        <f t="shared" si="5"/>
        <v>.*BED.*-D-.*-n1.*-CON</v>
      </c>
      <c r="M152" t="s">
        <v>1034</v>
      </c>
      <c r="N152" t="s">
        <v>1039</v>
      </c>
      <c r="O152">
        <v>1</v>
      </c>
      <c r="P152" t="s">
        <v>1041</v>
      </c>
    </row>
    <row r="153" spans="1:16" x14ac:dyDescent="0.3">
      <c r="A153" t="s">
        <v>770</v>
      </c>
      <c r="B153" t="s">
        <v>787</v>
      </c>
      <c r="C153" t="s">
        <v>837</v>
      </c>
      <c r="D153" t="s">
        <v>819</v>
      </c>
      <c r="E153">
        <v>2</v>
      </c>
      <c r="F153" t="s">
        <v>798</v>
      </c>
      <c r="G153" t="s">
        <v>797</v>
      </c>
      <c r="H153" t="s">
        <v>797</v>
      </c>
      <c r="I153" t="s">
        <v>840</v>
      </c>
      <c r="J153" t="str">
        <f t="shared" si="4"/>
        <v>i_d_magazine_2_dresser_bed_bed_c</v>
      </c>
      <c r="L153" t="str">
        <f t="shared" si="5"/>
        <v>.*BED.*-D-.*-n2.*-CON</v>
      </c>
      <c r="M153" t="s">
        <v>1034</v>
      </c>
      <c r="N153" t="s">
        <v>1039</v>
      </c>
      <c r="O153">
        <v>2</v>
      </c>
      <c r="P153" t="s">
        <v>1041</v>
      </c>
    </row>
    <row r="154" spans="1:16" x14ac:dyDescent="0.3">
      <c r="A154" t="s">
        <v>771</v>
      </c>
      <c r="B154" t="s">
        <v>787</v>
      </c>
      <c r="C154" t="s">
        <v>837</v>
      </c>
      <c r="D154" t="s">
        <v>820</v>
      </c>
      <c r="E154">
        <v>3</v>
      </c>
      <c r="F154" t="s">
        <v>796</v>
      </c>
      <c r="G154" t="s">
        <v>798</v>
      </c>
      <c r="H154" t="s">
        <v>797</v>
      </c>
      <c r="I154" t="s">
        <v>840</v>
      </c>
      <c r="J154" t="str">
        <f t="shared" si="4"/>
        <v>i_d_picture_3_p1_dresser_bed_c</v>
      </c>
      <c r="L154" t="str">
        <f t="shared" si="5"/>
        <v>.*BED.*-D-.*-n3.*-CON</v>
      </c>
      <c r="M154" t="s">
        <v>1034</v>
      </c>
      <c r="N154" t="s">
        <v>1039</v>
      </c>
      <c r="O154">
        <v>3</v>
      </c>
      <c r="P154" t="s">
        <v>1041</v>
      </c>
    </row>
    <row r="155" spans="1:16" x14ac:dyDescent="0.3">
      <c r="A155" t="s">
        <v>772</v>
      </c>
      <c r="B155" t="s">
        <v>787</v>
      </c>
      <c r="C155" t="s">
        <v>837</v>
      </c>
      <c r="D155" t="s">
        <v>821</v>
      </c>
      <c r="E155">
        <v>4</v>
      </c>
      <c r="F155" t="s">
        <v>799</v>
      </c>
      <c r="G155" t="s">
        <v>800</v>
      </c>
      <c r="H155" t="s">
        <v>797</v>
      </c>
      <c r="I155" t="s">
        <v>840</v>
      </c>
      <c r="J155" t="str">
        <f t="shared" si="4"/>
        <v>i_d_frypan_4_bookshelf_wardrobe_bed_c</v>
      </c>
      <c r="L155" t="str">
        <f t="shared" si="5"/>
        <v>.*BED.*-D-.*-n4.*-CON</v>
      </c>
      <c r="M155" t="s">
        <v>1034</v>
      </c>
      <c r="N155" t="s">
        <v>1039</v>
      </c>
      <c r="O155">
        <v>4</v>
      </c>
      <c r="P155" t="s">
        <v>1041</v>
      </c>
    </row>
    <row r="156" spans="1:16" x14ac:dyDescent="0.3">
      <c r="A156" t="s">
        <v>773</v>
      </c>
      <c r="B156" t="s">
        <v>787</v>
      </c>
      <c r="C156" t="s">
        <v>837</v>
      </c>
      <c r="D156" t="s">
        <v>822</v>
      </c>
      <c r="E156">
        <v>5</v>
      </c>
      <c r="F156" t="s">
        <v>793</v>
      </c>
      <c r="G156" t="s">
        <v>791</v>
      </c>
      <c r="H156" t="s">
        <v>797</v>
      </c>
      <c r="I156" t="s">
        <v>840</v>
      </c>
      <c r="J156" t="str">
        <f t="shared" si="4"/>
        <v>i_d_phone_5_p4_p2_bed_c</v>
      </c>
      <c r="L156" t="str">
        <f t="shared" si="5"/>
        <v>.*BED.*-D-.*-n5.*-CON</v>
      </c>
      <c r="M156" t="s">
        <v>1034</v>
      </c>
      <c r="N156" t="s">
        <v>1039</v>
      </c>
      <c r="O156">
        <v>5</v>
      </c>
      <c r="P156" t="s">
        <v>1041</v>
      </c>
    </row>
    <row r="157" spans="1:16" x14ac:dyDescent="0.3">
      <c r="A157" t="s">
        <v>774</v>
      </c>
      <c r="B157" t="s">
        <v>787</v>
      </c>
      <c r="C157" t="s">
        <v>837</v>
      </c>
      <c r="D157" t="s">
        <v>823</v>
      </c>
      <c r="E157">
        <v>6</v>
      </c>
      <c r="F157" t="s">
        <v>792</v>
      </c>
      <c r="G157" t="s">
        <v>799</v>
      </c>
      <c r="H157" t="s">
        <v>797</v>
      </c>
      <c r="I157" t="s">
        <v>840</v>
      </c>
      <c r="J157" t="str">
        <f t="shared" si="4"/>
        <v>i_d_knife_6_p3_bookshelf_bed_c</v>
      </c>
      <c r="L157" t="str">
        <f t="shared" si="5"/>
        <v>.*BED.*-D-.*-n6.*-CON</v>
      </c>
      <c r="M157" t="s">
        <v>1034</v>
      </c>
      <c r="N157" t="s">
        <v>1039</v>
      </c>
      <c r="O157">
        <v>6</v>
      </c>
      <c r="P157" t="s">
        <v>1041</v>
      </c>
    </row>
    <row r="158" spans="1:16" x14ac:dyDescent="0.3">
      <c r="A158" t="s">
        <v>775</v>
      </c>
      <c r="B158" t="s">
        <v>787</v>
      </c>
      <c r="C158" t="s">
        <v>837</v>
      </c>
      <c r="D158" t="s">
        <v>824</v>
      </c>
      <c r="E158">
        <v>1</v>
      </c>
      <c r="F158" t="s">
        <v>791</v>
      </c>
      <c r="G158" t="s">
        <v>801</v>
      </c>
      <c r="H158" t="s">
        <v>810</v>
      </c>
      <c r="I158" t="s">
        <v>840</v>
      </c>
      <c r="J158" t="str">
        <f t="shared" si="4"/>
        <v>i_d_letters_1_p2_fridge_kit_c</v>
      </c>
      <c r="L158" t="str">
        <f t="shared" si="5"/>
        <v>.*KIT.*-D-.*-n1.*-CON</v>
      </c>
      <c r="M158" t="s">
        <v>1035</v>
      </c>
      <c r="N158" t="s">
        <v>1039</v>
      </c>
      <c r="O158">
        <v>1</v>
      </c>
      <c r="P158" t="s">
        <v>1041</v>
      </c>
    </row>
    <row r="159" spans="1:16" x14ac:dyDescent="0.3">
      <c r="A159" t="s">
        <v>776</v>
      </c>
      <c r="B159" t="s">
        <v>787</v>
      </c>
      <c r="C159" t="s">
        <v>837</v>
      </c>
      <c r="D159" t="s">
        <v>825</v>
      </c>
      <c r="E159">
        <v>2</v>
      </c>
      <c r="F159" t="s">
        <v>802</v>
      </c>
      <c r="G159" t="s">
        <v>791</v>
      </c>
      <c r="H159" t="s">
        <v>810</v>
      </c>
      <c r="I159" t="s">
        <v>840</v>
      </c>
      <c r="J159" t="str">
        <f t="shared" si="4"/>
        <v>i_d_cutlery_2_oven_p2_kit_c</v>
      </c>
      <c r="L159" t="str">
        <f t="shared" si="5"/>
        <v>.*KIT.*-D-.*-n2.*-CON</v>
      </c>
      <c r="M159" t="s">
        <v>1035</v>
      </c>
      <c r="N159" t="s">
        <v>1039</v>
      </c>
      <c r="O159">
        <v>2</v>
      </c>
      <c r="P159" t="s">
        <v>1041</v>
      </c>
    </row>
    <row r="160" spans="1:16" x14ac:dyDescent="0.3">
      <c r="A160" t="s">
        <v>777</v>
      </c>
      <c r="B160" t="s">
        <v>787</v>
      </c>
      <c r="C160" t="s">
        <v>837</v>
      </c>
      <c r="D160" t="s">
        <v>826</v>
      </c>
      <c r="E160">
        <v>3</v>
      </c>
      <c r="F160" t="s">
        <v>793</v>
      </c>
      <c r="G160" t="s">
        <v>802</v>
      </c>
      <c r="H160" t="s">
        <v>810</v>
      </c>
      <c r="I160" t="s">
        <v>840</v>
      </c>
      <c r="J160" t="str">
        <f t="shared" si="4"/>
        <v>i_d_toaster_3_p4_oven_kit_c</v>
      </c>
      <c r="L160" t="str">
        <f t="shared" si="5"/>
        <v>.*KIT.*-D-.*-n3.*-CON</v>
      </c>
      <c r="M160" t="s">
        <v>1035</v>
      </c>
      <c r="N160" t="s">
        <v>1039</v>
      </c>
      <c r="O160">
        <v>3</v>
      </c>
      <c r="P160" t="s">
        <v>1041</v>
      </c>
    </row>
    <row r="161" spans="1:16" x14ac:dyDescent="0.3">
      <c r="A161" t="s">
        <v>778</v>
      </c>
      <c r="B161" t="s">
        <v>787</v>
      </c>
      <c r="C161" t="s">
        <v>837</v>
      </c>
      <c r="D161" t="s">
        <v>827</v>
      </c>
      <c r="E161">
        <v>4</v>
      </c>
      <c r="F161" t="s">
        <v>796</v>
      </c>
      <c r="G161" t="s">
        <v>792</v>
      </c>
      <c r="H161" t="s">
        <v>810</v>
      </c>
      <c r="I161" t="s">
        <v>840</v>
      </c>
      <c r="J161" t="str">
        <f t="shared" si="4"/>
        <v>i_d_oil_4_p1_p3_kit_c</v>
      </c>
      <c r="L161" t="str">
        <f t="shared" si="5"/>
        <v>.*KIT.*-D-.*-n4.*-CON</v>
      </c>
      <c r="M161" t="s">
        <v>1035</v>
      </c>
      <c r="N161" t="s">
        <v>1039</v>
      </c>
      <c r="O161">
        <v>4</v>
      </c>
      <c r="P161" t="s">
        <v>1041</v>
      </c>
    </row>
    <row r="162" spans="1:16" x14ac:dyDescent="0.3">
      <c r="A162" t="s">
        <v>779</v>
      </c>
      <c r="B162" t="s">
        <v>787</v>
      </c>
      <c r="C162" t="s">
        <v>837</v>
      </c>
      <c r="D162" t="s">
        <v>828</v>
      </c>
      <c r="E162">
        <v>5</v>
      </c>
      <c r="F162" t="s">
        <v>803</v>
      </c>
      <c r="G162" t="s">
        <v>804</v>
      </c>
      <c r="H162" t="s">
        <v>810</v>
      </c>
      <c r="I162" t="s">
        <v>840</v>
      </c>
      <c r="J162" t="str">
        <f t="shared" si="4"/>
        <v>i_d_keys_5_bench_pantry_kit_c</v>
      </c>
      <c r="L162" t="str">
        <f t="shared" si="5"/>
        <v>.*KIT.*-D-.*-n5.*-CON</v>
      </c>
      <c r="M162" t="s">
        <v>1035</v>
      </c>
      <c r="N162" t="s">
        <v>1039</v>
      </c>
      <c r="O162">
        <v>5</v>
      </c>
      <c r="P162" t="s">
        <v>1041</v>
      </c>
    </row>
    <row r="163" spans="1:16" x14ac:dyDescent="0.3">
      <c r="A163" t="s">
        <v>780</v>
      </c>
      <c r="B163" t="s">
        <v>787</v>
      </c>
      <c r="C163" t="s">
        <v>837</v>
      </c>
      <c r="D163" t="s">
        <v>829</v>
      </c>
      <c r="E163">
        <v>6</v>
      </c>
      <c r="F163" t="s">
        <v>804</v>
      </c>
      <c r="G163" t="s">
        <v>803</v>
      </c>
      <c r="H163" t="s">
        <v>810</v>
      </c>
      <c r="I163" t="s">
        <v>840</v>
      </c>
      <c r="J163" t="str">
        <f t="shared" ref="J163:J193" si="6">B163&amp;"_"&amp;C163&amp;"_"&amp;D163&amp;"_"&amp;E163&amp;"_"&amp;F163&amp;"_"&amp;G163&amp;"_"&amp;H163&amp;"_"&amp;I163</f>
        <v>i_d_tpaper_6_pantry_bench_kit_c</v>
      </c>
      <c r="L163" t="str">
        <f t="shared" si="5"/>
        <v>.*KIT.*-D-.*-n6.*-CON</v>
      </c>
      <c r="M163" t="s">
        <v>1035</v>
      </c>
      <c r="N163" t="s">
        <v>1039</v>
      </c>
      <c r="O163">
        <v>6</v>
      </c>
      <c r="P163" t="s">
        <v>1041</v>
      </c>
    </row>
    <row r="164" spans="1:16" x14ac:dyDescent="0.3">
      <c r="A164" t="s">
        <v>781</v>
      </c>
      <c r="B164" t="s">
        <v>787</v>
      </c>
      <c r="C164" t="s">
        <v>837</v>
      </c>
      <c r="D164" t="s">
        <v>830</v>
      </c>
      <c r="E164">
        <v>1</v>
      </c>
      <c r="F164" t="s">
        <v>805</v>
      </c>
      <c r="G164" t="s">
        <v>806</v>
      </c>
      <c r="H164" t="s">
        <v>811</v>
      </c>
      <c r="I164" t="s">
        <v>840</v>
      </c>
      <c r="J164" t="str">
        <f t="shared" si="6"/>
        <v>i_d_drill_1_couch_bookcase_liv_c</v>
      </c>
      <c r="L164" t="str">
        <f t="shared" si="5"/>
        <v>.*LIV.*-D-.*-n1.*-CON</v>
      </c>
      <c r="M164" t="s">
        <v>1036</v>
      </c>
      <c r="N164" t="s">
        <v>1039</v>
      </c>
      <c r="O164">
        <v>1</v>
      </c>
      <c r="P164" t="s">
        <v>1041</v>
      </c>
    </row>
    <row r="165" spans="1:16" x14ac:dyDescent="0.3">
      <c r="A165" t="s">
        <v>782</v>
      </c>
      <c r="B165" t="s">
        <v>787</v>
      </c>
      <c r="C165" t="s">
        <v>837</v>
      </c>
      <c r="D165" t="s">
        <v>831</v>
      </c>
      <c r="E165">
        <v>2</v>
      </c>
      <c r="F165" t="s">
        <v>793</v>
      </c>
      <c r="G165" t="s">
        <v>796</v>
      </c>
      <c r="H165" t="s">
        <v>811</v>
      </c>
      <c r="I165" t="s">
        <v>840</v>
      </c>
      <c r="J165" t="str">
        <f t="shared" si="6"/>
        <v>i_d_mask_2_p4_p1_liv_c</v>
      </c>
      <c r="L165" t="str">
        <f t="shared" si="5"/>
        <v>.*LIV.*-D-.*-n2.*-CON</v>
      </c>
      <c r="M165" t="s">
        <v>1036</v>
      </c>
      <c r="N165" t="s">
        <v>1039</v>
      </c>
      <c r="O165">
        <v>2</v>
      </c>
      <c r="P165" t="s">
        <v>1041</v>
      </c>
    </row>
    <row r="166" spans="1:16" x14ac:dyDescent="0.3">
      <c r="A166" t="s">
        <v>783</v>
      </c>
      <c r="B166" t="s">
        <v>787</v>
      </c>
      <c r="C166" t="s">
        <v>837</v>
      </c>
      <c r="D166" t="s">
        <v>832</v>
      </c>
      <c r="E166">
        <v>3</v>
      </c>
      <c r="F166" t="s">
        <v>791</v>
      </c>
      <c r="G166" t="s">
        <v>805</v>
      </c>
      <c r="H166" t="s">
        <v>811</v>
      </c>
      <c r="I166" t="s">
        <v>840</v>
      </c>
      <c r="J166" t="str">
        <f t="shared" si="6"/>
        <v>i_d_lamp_3_p2_couch_liv_c</v>
      </c>
      <c r="L166" t="str">
        <f t="shared" si="5"/>
        <v>.*LIV.*-D-.*-n3.*-CON</v>
      </c>
      <c r="M166" t="s">
        <v>1036</v>
      </c>
      <c r="N166" t="s">
        <v>1039</v>
      </c>
      <c r="O166">
        <v>3</v>
      </c>
      <c r="P166" t="s">
        <v>1041</v>
      </c>
    </row>
    <row r="167" spans="1:16" x14ac:dyDescent="0.3">
      <c r="A167" t="s">
        <v>784</v>
      </c>
      <c r="B167" t="s">
        <v>787</v>
      </c>
      <c r="C167" t="s">
        <v>837</v>
      </c>
      <c r="D167" t="s">
        <v>833</v>
      </c>
      <c r="E167">
        <v>4</v>
      </c>
      <c r="F167" t="s">
        <v>807</v>
      </c>
      <c r="G167" t="s">
        <v>791</v>
      </c>
      <c r="H167" t="s">
        <v>811</v>
      </c>
      <c r="I167" t="s">
        <v>840</v>
      </c>
      <c r="J167" t="str">
        <f t="shared" si="6"/>
        <v>i_d_handbag_4_tv_p2_liv_c</v>
      </c>
      <c r="L167" t="str">
        <f t="shared" si="5"/>
        <v>.*LIV.*-D-.*-n4.*-CON</v>
      </c>
      <c r="M167" t="s">
        <v>1036</v>
      </c>
      <c r="N167" t="s">
        <v>1039</v>
      </c>
      <c r="O167">
        <v>4</v>
      </c>
      <c r="P167" t="s">
        <v>1041</v>
      </c>
    </row>
    <row r="168" spans="1:16" x14ac:dyDescent="0.3">
      <c r="A168" t="s">
        <v>785</v>
      </c>
      <c r="B168" t="s">
        <v>787</v>
      </c>
      <c r="C168" t="s">
        <v>837</v>
      </c>
      <c r="D168" t="s">
        <v>834</v>
      </c>
      <c r="E168">
        <v>5</v>
      </c>
      <c r="F168" t="s">
        <v>808</v>
      </c>
      <c r="G168" t="s">
        <v>807</v>
      </c>
      <c r="H168" t="s">
        <v>811</v>
      </c>
      <c r="I168" t="s">
        <v>840</v>
      </c>
      <c r="J168" t="str">
        <f t="shared" si="6"/>
        <v>i_d_laptop_5_chair_tv_liv_c</v>
      </c>
      <c r="L168" t="str">
        <f t="shared" si="5"/>
        <v>.*LIV.*-D-.*-n5.*-CON</v>
      </c>
      <c r="M168" t="s">
        <v>1036</v>
      </c>
      <c r="N168" t="s">
        <v>1039</v>
      </c>
      <c r="O168">
        <v>5</v>
      </c>
      <c r="P168" t="s">
        <v>1041</v>
      </c>
    </row>
    <row r="169" spans="1:16" x14ac:dyDescent="0.3">
      <c r="A169" t="s">
        <v>786</v>
      </c>
      <c r="B169" t="s">
        <v>787</v>
      </c>
      <c r="C169" t="s">
        <v>837</v>
      </c>
      <c r="D169" t="s">
        <v>835</v>
      </c>
      <c r="E169">
        <v>6</v>
      </c>
      <c r="F169" t="s">
        <v>792</v>
      </c>
      <c r="G169" t="s">
        <v>808</v>
      </c>
      <c r="H169" t="s">
        <v>811</v>
      </c>
      <c r="I169" t="s">
        <v>840</v>
      </c>
      <c r="J169" t="str">
        <f t="shared" si="6"/>
        <v>i_d_newspaper_6_p3_chair_liv_c</v>
      </c>
      <c r="L169" t="str">
        <f t="shared" si="5"/>
        <v>.*LIV.*-D-.*-n6.*-CON</v>
      </c>
      <c r="M169" t="s">
        <v>1036</v>
      </c>
      <c r="N169" t="s">
        <v>1039</v>
      </c>
      <c r="O169">
        <v>6</v>
      </c>
      <c r="P169" t="s">
        <v>1041</v>
      </c>
    </row>
    <row r="170" spans="1:16" x14ac:dyDescent="0.3">
      <c r="A170" t="s">
        <v>763</v>
      </c>
      <c r="B170" t="s">
        <v>787</v>
      </c>
      <c r="C170" t="s">
        <v>838</v>
      </c>
      <c r="D170" t="s">
        <v>812</v>
      </c>
      <c r="E170">
        <v>1</v>
      </c>
      <c r="F170" t="s">
        <v>789</v>
      </c>
      <c r="G170" t="s">
        <v>790</v>
      </c>
      <c r="H170" t="s">
        <v>809</v>
      </c>
      <c r="I170" t="s">
        <v>840</v>
      </c>
      <c r="J170" t="str">
        <f t="shared" si="6"/>
        <v>i_o_duck_1_bath_shower_bat_c</v>
      </c>
      <c r="L170" t="str">
        <f t="shared" si="5"/>
        <v>.*BAT.*-O-.*-n1.*-CON</v>
      </c>
      <c r="M170" t="s">
        <v>1033</v>
      </c>
      <c r="N170" t="s">
        <v>1040</v>
      </c>
      <c r="O170">
        <v>1</v>
      </c>
      <c r="P170" t="s">
        <v>1041</v>
      </c>
    </row>
    <row r="171" spans="1:16" x14ac:dyDescent="0.3">
      <c r="A171" t="s">
        <v>764</v>
      </c>
      <c r="B171" t="s">
        <v>787</v>
      </c>
      <c r="C171" t="s">
        <v>838</v>
      </c>
      <c r="D171" t="s">
        <v>813</v>
      </c>
      <c r="E171">
        <v>2</v>
      </c>
      <c r="F171" t="s">
        <v>791</v>
      </c>
      <c r="G171" t="s">
        <v>789</v>
      </c>
      <c r="H171" t="s">
        <v>809</v>
      </c>
      <c r="I171" t="s">
        <v>840</v>
      </c>
      <c r="J171" t="str">
        <f t="shared" si="6"/>
        <v>i_o_remote_2_p2_bath_bat_c</v>
      </c>
      <c r="L171" t="str">
        <f t="shared" si="5"/>
        <v>.*BAT.*-O-.*-n2.*-CON</v>
      </c>
      <c r="M171" t="s">
        <v>1033</v>
      </c>
      <c r="N171" t="s">
        <v>1040</v>
      </c>
      <c r="O171">
        <v>2</v>
      </c>
      <c r="P171" t="s">
        <v>1041</v>
      </c>
    </row>
    <row r="172" spans="1:16" x14ac:dyDescent="0.3">
      <c r="A172" t="s">
        <v>765</v>
      </c>
      <c r="B172" t="s">
        <v>787</v>
      </c>
      <c r="C172" t="s">
        <v>838</v>
      </c>
      <c r="D172" t="s">
        <v>814</v>
      </c>
      <c r="E172">
        <v>3</v>
      </c>
      <c r="F172" t="s">
        <v>792</v>
      </c>
      <c r="G172" t="s">
        <v>793</v>
      </c>
      <c r="H172" t="s">
        <v>809</v>
      </c>
      <c r="I172" t="s">
        <v>840</v>
      </c>
      <c r="J172" t="str">
        <f t="shared" si="6"/>
        <v>i_o_tbrushes_3_p3_p4_bat_c</v>
      </c>
      <c r="L172" t="str">
        <f t="shared" si="5"/>
        <v>.*BAT.*-O-.*-n3.*-CON</v>
      </c>
      <c r="M172" t="s">
        <v>1033</v>
      </c>
      <c r="N172" t="s">
        <v>1040</v>
      </c>
      <c r="O172">
        <v>3</v>
      </c>
      <c r="P172" t="s">
        <v>1041</v>
      </c>
    </row>
    <row r="173" spans="1:16" x14ac:dyDescent="0.3">
      <c r="A173" t="s">
        <v>766</v>
      </c>
      <c r="B173" t="s">
        <v>787</v>
      </c>
      <c r="C173" t="s">
        <v>838</v>
      </c>
      <c r="D173" t="s">
        <v>815</v>
      </c>
      <c r="E173">
        <v>4</v>
      </c>
      <c r="F173" t="s">
        <v>794</v>
      </c>
      <c r="G173" t="s">
        <v>792</v>
      </c>
      <c r="H173" t="s">
        <v>809</v>
      </c>
      <c r="I173" t="s">
        <v>840</v>
      </c>
      <c r="J173" t="str">
        <f t="shared" si="6"/>
        <v>i_o_book_4_toilet_p3_bat_c</v>
      </c>
      <c r="L173" t="str">
        <f t="shared" si="5"/>
        <v>.*BAT.*-O-.*-n4.*-CON</v>
      </c>
      <c r="M173" t="s">
        <v>1033</v>
      </c>
      <c r="N173" t="s">
        <v>1040</v>
      </c>
      <c r="O173">
        <v>4</v>
      </c>
      <c r="P173" t="s">
        <v>1041</v>
      </c>
    </row>
    <row r="174" spans="1:16" x14ac:dyDescent="0.3">
      <c r="A174" t="s">
        <v>767</v>
      </c>
      <c r="B174" t="s">
        <v>787</v>
      </c>
      <c r="C174" t="s">
        <v>838</v>
      </c>
      <c r="D174" t="s">
        <v>816</v>
      </c>
      <c r="E174">
        <v>5</v>
      </c>
      <c r="F174" t="s">
        <v>795</v>
      </c>
      <c r="G174" t="s">
        <v>794</v>
      </c>
      <c r="H174" t="s">
        <v>809</v>
      </c>
      <c r="I174" t="s">
        <v>840</v>
      </c>
      <c r="J174" t="str">
        <f t="shared" si="6"/>
        <v>i_o_hammer_5_sink_toilet_bat_c</v>
      </c>
      <c r="L174" t="str">
        <f t="shared" si="5"/>
        <v>.*BAT.*-O-.*-n5.*-CON</v>
      </c>
      <c r="M174" t="s">
        <v>1033</v>
      </c>
      <c r="N174" t="s">
        <v>1040</v>
      </c>
      <c r="O174">
        <v>5</v>
      </c>
      <c r="P174" t="s">
        <v>1041</v>
      </c>
    </row>
    <row r="175" spans="1:16" x14ac:dyDescent="0.3">
      <c r="A175" t="s">
        <v>768</v>
      </c>
      <c r="B175" t="s">
        <v>787</v>
      </c>
      <c r="C175" t="s">
        <v>838</v>
      </c>
      <c r="D175" t="s">
        <v>817</v>
      </c>
      <c r="E175">
        <v>6</v>
      </c>
      <c r="F175" t="s">
        <v>796</v>
      </c>
      <c r="G175" t="s">
        <v>795</v>
      </c>
      <c r="H175" t="s">
        <v>809</v>
      </c>
      <c r="I175" t="s">
        <v>840</v>
      </c>
      <c r="J175" t="str">
        <f t="shared" si="6"/>
        <v>i_o_glasses_6_p1_sink_bat_c</v>
      </c>
      <c r="L175" t="str">
        <f t="shared" si="5"/>
        <v>.*BAT.*-O-.*-n6.*-CON</v>
      </c>
      <c r="M175" t="s">
        <v>1033</v>
      </c>
      <c r="N175" t="s">
        <v>1040</v>
      </c>
      <c r="O175">
        <v>6</v>
      </c>
      <c r="P175" t="s">
        <v>1041</v>
      </c>
    </row>
    <row r="176" spans="1:16" x14ac:dyDescent="0.3">
      <c r="A176" t="s">
        <v>769</v>
      </c>
      <c r="B176" t="s">
        <v>787</v>
      </c>
      <c r="C176" t="s">
        <v>838</v>
      </c>
      <c r="D176" t="s">
        <v>818</v>
      </c>
      <c r="E176">
        <v>1</v>
      </c>
      <c r="F176" t="s">
        <v>797</v>
      </c>
      <c r="G176" t="s">
        <v>793</v>
      </c>
      <c r="H176" t="s">
        <v>797</v>
      </c>
      <c r="I176" t="s">
        <v>840</v>
      </c>
      <c r="J176" t="str">
        <f t="shared" si="6"/>
        <v>i_o_alarm_1_bed_p4_bed_c</v>
      </c>
      <c r="L176" t="str">
        <f t="shared" si="5"/>
        <v>.*BED.*-O-.*-n1.*-CON</v>
      </c>
      <c r="M176" t="s">
        <v>1034</v>
      </c>
      <c r="N176" t="s">
        <v>1040</v>
      </c>
      <c r="O176">
        <v>1</v>
      </c>
      <c r="P176" t="s">
        <v>1041</v>
      </c>
    </row>
    <row r="177" spans="1:16" x14ac:dyDescent="0.3">
      <c r="A177" t="s">
        <v>770</v>
      </c>
      <c r="B177" t="s">
        <v>787</v>
      </c>
      <c r="C177" t="s">
        <v>838</v>
      </c>
      <c r="D177" t="s">
        <v>819</v>
      </c>
      <c r="E177">
        <v>2</v>
      </c>
      <c r="F177" t="s">
        <v>798</v>
      </c>
      <c r="G177" t="s">
        <v>797</v>
      </c>
      <c r="H177" t="s">
        <v>797</v>
      </c>
      <c r="I177" t="s">
        <v>840</v>
      </c>
      <c r="J177" t="str">
        <f t="shared" si="6"/>
        <v>i_o_magazine_2_dresser_bed_bed_c</v>
      </c>
      <c r="L177" t="str">
        <f t="shared" si="5"/>
        <v>.*BED.*-O-.*-n2.*-CON</v>
      </c>
      <c r="M177" t="s">
        <v>1034</v>
      </c>
      <c r="N177" t="s">
        <v>1040</v>
      </c>
      <c r="O177">
        <v>2</v>
      </c>
      <c r="P177" t="s">
        <v>1041</v>
      </c>
    </row>
    <row r="178" spans="1:16" x14ac:dyDescent="0.3">
      <c r="A178" t="s">
        <v>771</v>
      </c>
      <c r="B178" t="s">
        <v>787</v>
      </c>
      <c r="C178" t="s">
        <v>838</v>
      </c>
      <c r="D178" t="s">
        <v>820</v>
      </c>
      <c r="E178">
        <v>3</v>
      </c>
      <c r="F178" t="s">
        <v>796</v>
      </c>
      <c r="G178" t="s">
        <v>798</v>
      </c>
      <c r="H178" t="s">
        <v>797</v>
      </c>
      <c r="I178" t="s">
        <v>840</v>
      </c>
      <c r="J178" t="str">
        <f t="shared" si="6"/>
        <v>i_o_picture_3_p1_dresser_bed_c</v>
      </c>
      <c r="L178" t="str">
        <f t="shared" si="5"/>
        <v>.*BED.*-O-.*-n3.*-CON</v>
      </c>
      <c r="M178" t="s">
        <v>1034</v>
      </c>
      <c r="N178" t="s">
        <v>1040</v>
      </c>
      <c r="O178">
        <v>3</v>
      </c>
      <c r="P178" t="s">
        <v>1041</v>
      </c>
    </row>
    <row r="179" spans="1:16" x14ac:dyDescent="0.3">
      <c r="A179" t="s">
        <v>772</v>
      </c>
      <c r="B179" t="s">
        <v>787</v>
      </c>
      <c r="C179" t="s">
        <v>838</v>
      </c>
      <c r="D179" t="s">
        <v>821</v>
      </c>
      <c r="E179">
        <v>4</v>
      </c>
      <c r="F179" t="s">
        <v>799</v>
      </c>
      <c r="G179" t="s">
        <v>800</v>
      </c>
      <c r="H179" t="s">
        <v>797</v>
      </c>
      <c r="I179" t="s">
        <v>840</v>
      </c>
      <c r="J179" t="str">
        <f t="shared" si="6"/>
        <v>i_o_frypan_4_bookshelf_wardrobe_bed_c</v>
      </c>
      <c r="L179" t="str">
        <f t="shared" si="5"/>
        <v>.*BED.*-O-.*-n4.*-CON</v>
      </c>
      <c r="M179" t="s">
        <v>1034</v>
      </c>
      <c r="N179" t="s">
        <v>1040</v>
      </c>
      <c r="O179">
        <v>4</v>
      </c>
      <c r="P179" t="s">
        <v>1041</v>
      </c>
    </row>
    <row r="180" spans="1:16" x14ac:dyDescent="0.3">
      <c r="A180" t="s">
        <v>773</v>
      </c>
      <c r="B180" t="s">
        <v>787</v>
      </c>
      <c r="C180" t="s">
        <v>838</v>
      </c>
      <c r="D180" t="s">
        <v>822</v>
      </c>
      <c r="E180">
        <v>5</v>
      </c>
      <c r="F180" t="s">
        <v>793</v>
      </c>
      <c r="G180" t="s">
        <v>791</v>
      </c>
      <c r="H180" t="s">
        <v>797</v>
      </c>
      <c r="I180" t="s">
        <v>840</v>
      </c>
      <c r="J180" t="str">
        <f t="shared" si="6"/>
        <v>i_o_phone_5_p4_p2_bed_c</v>
      </c>
      <c r="L180" t="str">
        <f t="shared" si="5"/>
        <v>.*BED.*-O-.*-n5.*-CON</v>
      </c>
      <c r="M180" t="s">
        <v>1034</v>
      </c>
      <c r="N180" t="s">
        <v>1040</v>
      </c>
      <c r="O180">
        <v>5</v>
      </c>
      <c r="P180" t="s">
        <v>1041</v>
      </c>
    </row>
    <row r="181" spans="1:16" x14ac:dyDescent="0.3">
      <c r="A181" t="s">
        <v>774</v>
      </c>
      <c r="B181" t="s">
        <v>787</v>
      </c>
      <c r="C181" t="s">
        <v>838</v>
      </c>
      <c r="D181" t="s">
        <v>823</v>
      </c>
      <c r="E181">
        <v>6</v>
      </c>
      <c r="F181" t="s">
        <v>792</v>
      </c>
      <c r="G181" t="s">
        <v>799</v>
      </c>
      <c r="H181" t="s">
        <v>797</v>
      </c>
      <c r="I181" t="s">
        <v>840</v>
      </c>
      <c r="J181" t="str">
        <f t="shared" si="6"/>
        <v>i_o_knife_6_p3_bookshelf_bed_c</v>
      </c>
      <c r="L181" t="str">
        <f t="shared" si="5"/>
        <v>.*BED.*-O-.*-n6.*-CON</v>
      </c>
      <c r="M181" t="s">
        <v>1034</v>
      </c>
      <c r="N181" t="s">
        <v>1040</v>
      </c>
      <c r="O181">
        <v>6</v>
      </c>
      <c r="P181" t="s">
        <v>1041</v>
      </c>
    </row>
    <row r="182" spans="1:16" x14ac:dyDescent="0.3">
      <c r="A182" t="s">
        <v>775</v>
      </c>
      <c r="B182" t="s">
        <v>787</v>
      </c>
      <c r="C182" t="s">
        <v>838</v>
      </c>
      <c r="D182" t="s">
        <v>824</v>
      </c>
      <c r="E182">
        <v>1</v>
      </c>
      <c r="F182" t="s">
        <v>791</v>
      </c>
      <c r="G182" t="s">
        <v>801</v>
      </c>
      <c r="H182" t="s">
        <v>810</v>
      </c>
      <c r="I182" t="s">
        <v>840</v>
      </c>
      <c r="J182" t="str">
        <f t="shared" si="6"/>
        <v>i_o_letters_1_p2_fridge_kit_c</v>
      </c>
      <c r="L182" t="str">
        <f t="shared" si="5"/>
        <v>.*KIT.*-O-.*-n1.*-CON</v>
      </c>
      <c r="M182" t="s">
        <v>1035</v>
      </c>
      <c r="N182" t="s">
        <v>1040</v>
      </c>
      <c r="O182">
        <v>1</v>
      </c>
      <c r="P182" t="s">
        <v>1041</v>
      </c>
    </row>
    <row r="183" spans="1:16" x14ac:dyDescent="0.3">
      <c r="A183" t="s">
        <v>776</v>
      </c>
      <c r="B183" t="s">
        <v>787</v>
      </c>
      <c r="C183" t="s">
        <v>838</v>
      </c>
      <c r="D183" t="s">
        <v>825</v>
      </c>
      <c r="E183">
        <v>2</v>
      </c>
      <c r="F183" t="s">
        <v>802</v>
      </c>
      <c r="G183" t="s">
        <v>791</v>
      </c>
      <c r="H183" t="s">
        <v>810</v>
      </c>
      <c r="I183" t="s">
        <v>840</v>
      </c>
      <c r="J183" t="str">
        <f t="shared" si="6"/>
        <v>i_o_cutlery_2_oven_p2_kit_c</v>
      </c>
      <c r="L183" t="str">
        <f t="shared" si="5"/>
        <v>.*KIT.*-O-.*-n2.*-CON</v>
      </c>
      <c r="M183" t="s">
        <v>1035</v>
      </c>
      <c r="N183" t="s">
        <v>1040</v>
      </c>
      <c r="O183">
        <v>2</v>
      </c>
      <c r="P183" t="s">
        <v>1041</v>
      </c>
    </row>
    <row r="184" spans="1:16" x14ac:dyDescent="0.3">
      <c r="A184" t="s">
        <v>777</v>
      </c>
      <c r="B184" t="s">
        <v>787</v>
      </c>
      <c r="C184" t="s">
        <v>838</v>
      </c>
      <c r="D184" t="s">
        <v>826</v>
      </c>
      <c r="E184">
        <v>3</v>
      </c>
      <c r="F184" t="s">
        <v>793</v>
      </c>
      <c r="G184" t="s">
        <v>802</v>
      </c>
      <c r="H184" t="s">
        <v>810</v>
      </c>
      <c r="I184" t="s">
        <v>840</v>
      </c>
      <c r="J184" t="str">
        <f t="shared" si="6"/>
        <v>i_o_toaster_3_p4_oven_kit_c</v>
      </c>
      <c r="L184" t="str">
        <f t="shared" si="5"/>
        <v>.*KIT.*-O-.*-n3.*-CON</v>
      </c>
      <c r="M184" t="s">
        <v>1035</v>
      </c>
      <c r="N184" t="s">
        <v>1040</v>
      </c>
      <c r="O184">
        <v>3</v>
      </c>
      <c r="P184" t="s">
        <v>1041</v>
      </c>
    </row>
    <row r="185" spans="1:16" x14ac:dyDescent="0.3">
      <c r="A185" t="s">
        <v>778</v>
      </c>
      <c r="B185" t="s">
        <v>787</v>
      </c>
      <c r="C185" t="s">
        <v>838</v>
      </c>
      <c r="D185" t="s">
        <v>827</v>
      </c>
      <c r="E185">
        <v>4</v>
      </c>
      <c r="F185" t="s">
        <v>796</v>
      </c>
      <c r="G185" t="s">
        <v>792</v>
      </c>
      <c r="H185" t="s">
        <v>810</v>
      </c>
      <c r="I185" t="s">
        <v>840</v>
      </c>
      <c r="J185" t="str">
        <f t="shared" si="6"/>
        <v>i_o_oil_4_p1_p3_kit_c</v>
      </c>
      <c r="L185" t="str">
        <f t="shared" si="5"/>
        <v>.*KIT.*-O-.*-n4.*-CON</v>
      </c>
      <c r="M185" t="s">
        <v>1035</v>
      </c>
      <c r="N185" t="s">
        <v>1040</v>
      </c>
      <c r="O185">
        <v>4</v>
      </c>
      <c r="P185" t="s">
        <v>1041</v>
      </c>
    </row>
    <row r="186" spans="1:16" x14ac:dyDescent="0.3">
      <c r="A186" t="s">
        <v>779</v>
      </c>
      <c r="B186" t="s">
        <v>787</v>
      </c>
      <c r="C186" t="s">
        <v>838</v>
      </c>
      <c r="D186" t="s">
        <v>828</v>
      </c>
      <c r="E186">
        <v>5</v>
      </c>
      <c r="F186" t="s">
        <v>803</v>
      </c>
      <c r="G186" t="s">
        <v>804</v>
      </c>
      <c r="H186" t="s">
        <v>810</v>
      </c>
      <c r="I186" t="s">
        <v>840</v>
      </c>
      <c r="J186" t="str">
        <f t="shared" si="6"/>
        <v>i_o_keys_5_bench_pantry_kit_c</v>
      </c>
      <c r="L186" t="str">
        <f t="shared" si="5"/>
        <v>.*KIT.*-O-.*-n5.*-CON</v>
      </c>
      <c r="M186" t="s">
        <v>1035</v>
      </c>
      <c r="N186" t="s">
        <v>1040</v>
      </c>
      <c r="O186">
        <v>5</v>
      </c>
      <c r="P186" t="s">
        <v>1041</v>
      </c>
    </row>
    <row r="187" spans="1:16" x14ac:dyDescent="0.3">
      <c r="A187" t="s">
        <v>780</v>
      </c>
      <c r="B187" t="s">
        <v>787</v>
      </c>
      <c r="C187" t="s">
        <v>838</v>
      </c>
      <c r="D187" t="s">
        <v>829</v>
      </c>
      <c r="E187">
        <v>6</v>
      </c>
      <c r="F187" t="s">
        <v>804</v>
      </c>
      <c r="G187" t="s">
        <v>803</v>
      </c>
      <c r="H187" t="s">
        <v>810</v>
      </c>
      <c r="I187" t="s">
        <v>840</v>
      </c>
      <c r="J187" t="str">
        <f t="shared" si="6"/>
        <v>i_o_tpaper_6_pantry_bench_kit_c</v>
      </c>
      <c r="L187" t="str">
        <f t="shared" si="5"/>
        <v>.*KIT.*-O-.*-n6.*-CON</v>
      </c>
      <c r="M187" t="s">
        <v>1035</v>
      </c>
      <c r="N187" t="s">
        <v>1040</v>
      </c>
      <c r="O187">
        <v>6</v>
      </c>
      <c r="P187" t="s">
        <v>1041</v>
      </c>
    </row>
    <row r="188" spans="1:16" x14ac:dyDescent="0.3">
      <c r="A188" t="s">
        <v>781</v>
      </c>
      <c r="B188" t="s">
        <v>787</v>
      </c>
      <c r="C188" t="s">
        <v>838</v>
      </c>
      <c r="D188" t="s">
        <v>830</v>
      </c>
      <c r="E188">
        <v>1</v>
      </c>
      <c r="F188" t="s">
        <v>805</v>
      </c>
      <c r="G188" t="s">
        <v>806</v>
      </c>
      <c r="H188" t="s">
        <v>811</v>
      </c>
      <c r="I188" t="s">
        <v>840</v>
      </c>
      <c r="J188" t="str">
        <f t="shared" si="6"/>
        <v>i_o_drill_1_couch_bookcase_liv_c</v>
      </c>
      <c r="L188" t="str">
        <f t="shared" si="5"/>
        <v>.*LIV.*-O-.*-n1.*-CON</v>
      </c>
      <c r="M188" t="s">
        <v>1036</v>
      </c>
      <c r="N188" t="s">
        <v>1040</v>
      </c>
      <c r="O188">
        <v>1</v>
      </c>
      <c r="P188" t="s">
        <v>1041</v>
      </c>
    </row>
    <row r="189" spans="1:16" x14ac:dyDescent="0.3">
      <c r="A189" t="s">
        <v>782</v>
      </c>
      <c r="B189" t="s">
        <v>787</v>
      </c>
      <c r="C189" t="s">
        <v>838</v>
      </c>
      <c r="D189" t="s">
        <v>831</v>
      </c>
      <c r="E189">
        <v>2</v>
      </c>
      <c r="F189" t="s">
        <v>793</v>
      </c>
      <c r="G189" t="s">
        <v>796</v>
      </c>
      <c r="H189" t="s">
        <v>811</v>
      </c>
      <c r="I189" t="s">
        <v>840</v>
      </c>
      <c r="J189" t="str">
        <f t="shared" si="6"/>
        <v>i_o_mask_2_p4_p1_liv_c</v>
      </c>
      <c r="L189" t="str">
        <f t="shared" si="5"/>
        <v>.*LIV.*-O-.*-n2.*-CON</v>
      </c>
      <c r="M189" t="s">
        <v>1036</v>
      </c>
      <c r="N189" t="s">
        <v>1040</v>
      </c>
      <c r="O189">
        <v>2</v>
      </c>
      <c r="P189" t="s">
        <v>1041</v>
      </c>
    </row>
    <row r="190" spans="1:16" x14ac:dyDescent="0.3">
      <c r="A190" t="s">
        <v>783</v>
      </c>
      <c r="B190" t="s">
        <v>787</v>
      </c>
      <c r="C190" t="s">
        <v>838</v>
      </c>
      <c r="D190" t="s">
        <v>832</v>
      </c>
      <c r="E190">
        <v>3</v>
      </c>
      <c r="F190" t="s">
        <v>791</v>
      </c>
      <c r="G190" t="s">
        <v>805</v>
      </c>
      <c r="H190" t="s">
        <v>811</v>
      </c>
      <c r="I190" t="s">
        <v>840</v>
      </c>
      <c r="J190" t="str">
        <f t="shared" si="6"/>
        <v>i_o_lamp_3_p2_couch_liv_c</v>
      </c>
      <c r="L190" t="str">
        <f t="shared" si="5"/>
        <v>.*LIV.*-O-.*-n3.*-CON</v>
      </c>
      <c r="M190" t="s">
        <v>1036</v>
      </c>
      <c r="N190" t="s">
        <v>1040</v>
      </c>
      <c r="O190">
        <v>3</v>
      </c>
      <c r="P190" t="s">
        <v>1041</v>
      </c>
    </row>
    <row r="191" spans="1:16" x14ac:dyDescent="0.3">
      <c r="A191" t="s">
        <v>784</v>
      </c>
      <c r="B191" t="s">
        <v>787</v>
      </c>
      <c r="C191" t="s">
        <v>838</v>
      </c>
      <c r="D191" t="s">
        <v>833</v>
      </c>
      <c r="E191">
        <v>4</v>
      </c>
      <c r="F191" t="s">
        <v>807</v>
      </c>
      <c r="G191" t="s">
        <v>791</v>
      </c>
      <c r="H191" t="s">
        <v>811</v>
      </c>
      <c r="I191" t="s">
        <v>840</v>
      </c>
      <c r="J191" t="str">
        <f t="shared" si="6"/>
        <v>i_o_handbag_4_tv_p2_liv_c</v>
      </c>
      <c r="L191" t="str">
        <f t="shared" si="5"/>
        <v>.*LIV.*-O-.*-n4.*-CON</v>
      </c>
      <c r="M191" t="s">
        <v>1036</v>
      </c>
      <c r="N191" t="s">
        <v>1040</v>
      </c>
      <c r="O191">
        <v>4</v>
      </c>
      <c r="P191" t="s">
        <v>1041</v>
      </c>
    </row>
    <row r="192" spans="1:16" x14ac:dyDescent="0.3">
      <c r="A192" t="s">
        <v>785</v>
      </c>
      <c r="B192" t="s">
        <v>787</v>
      </c>
      <c r="C192" t="s">
        <v>838</v>
      </c>
      <c r="D192" t="s">
        <v>834</v>
      </c>
      <c r="E192">
        <v>5</v>
      </c>
      <c r="F192" t="s">
        <v>808</v>
      </c>
      <c r="G192" t="s">
        <v>807</v>
      </c>
      <c r="H192" t="s">
        <v>811</v>
      </c>
      <c r="I192" t="s">
        <v>840</v>
      </c>
      <c r="J192" t="str">
        <f t="shared" si="6"/>
        <v>i_o_laptop_5_chair_tv_liv_c</v>
      </c>
      <c r="L192" t="str">
        <f t="shared" si="5"/>
        <v>.*LIV.*-O-.*-n5.*-CON</v>
      </c>
      <c r="M192" t="s">
        <v>1036</v>
      </c>
      <c r="N192" t="s">
        <v>1040</v>
      </c>
      <c r="O192">
        <v>5</v>
      </c>
      <c r="P192" t="s">
        <v>1041</v>
      </c>
    </row>
    <row r="193" spans="1:16" x14ac:dyDescent="0.3">
      <c r="A193" t="s">
        <v>786</v>
      </c>
      <c r="B193" t="s">
        <v>787</v>
      </c>
      <c r="C193" t="s">
        <v>838</v>
      </c>
      <c r="D193" t="s">
        <v>835</v>
      </c>
      <c r="E193">
        <v>6</v>
      </c>
      <c r="F193" t="s">
        <v>792</v>
      </c>
      <c r="G193" t="s">
        <v>808</v>
      </c>
      <c r="H193" t="s">
        <v>811</v>
      </c>
      <c r="I193" t="s">
        <v>840</v>
      </c>
      <c r="J193" t="str">
        <f t="shared" si="6"/>
        <v>i_o_newspaper_6_p3_chair_liv_c</v>
      </c>
      <c r="L193" t="str">
        <f t="shared" si="5"/>
        <v>.*LIV.*-O-.*-n6.*-CON</v>
      </c>
      <c r="M193" t="s">
        <v>1036</v>
      </c>
      <c r="N193" t="s">
        <v>1040</v>
      </c>
      <c r="O193">
        <v>6</v>
      </c>
      <c r="P193" t="s">
        <v>1041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989E-256D-4328-BC97-EA873BB44E77}">
  <dimension ref="A1:E211"/>
  <sheetViews>
    <sheetView topLeftCell="A190" workbookViewId="0">
      <selection activeCell="A2" sqref="A2:E211"/>
    </sheetView>
  </sheetViews>
  <sheetFormatPr defaultRowHeight="14.4" x14ac:dyDescent="0.3"/>
  <cols>
    <col min="1" max="2" width="15.44140625" bestFit="1" customWidth="1"/>
    <col min="3" max="3" width="8.21875" bestFit="1" customWidth="1"/>
    <col min="4" max="4" width="4.88671875" bestFit="1" customWidth="1"/>
    <col min="5" max="5" width="16.109375" bestFit="1" customWidth="1"/>
  </cols>
  <sheetData>
    <row r="1" spans="1:5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5" x14ac:dyDescent="0.3">
      <c r="A2" t="s">
        <v>1234</v>
      </c>
      <c r="B2" t="s">
        <v>1234</v>
      </c>
      <c r="C2" t="s">
        <v>10</v>
      </c>
      <c r="D2" t="s">
        <v>193</v>
      </c>
      <c r="E2" t="s">
        <v>415</v>
      </c>
    </row>
    <row r="3" spans="1:5" x14ac:dyDescent="0.3">
      <c r="A3" t="s">
        <v>1235</v>
      </c>
      <c r="B3" t="s">
        <v>1235</v>
      </c>
      <c r="C3" t="s">
        <v>10</v>
      </c>
      <c r="D3" t="s">
        <v>193</v>
      </c>
      <c r="E3" t="s">
        <v>416</v>
      </c>
    </row>
    <row r="4" spans="1:5" x14ac:dyDescent="0.3">
      <c r="A4" t="s">
        <v>1236</v>
      </c>
      <c r="B4" t="s">
        <v>1236</v>
      </c>
      <c r="C4" t="s">
        <v>10</v>
      </c>
      <c r="D4" t="s">
        <v>193</v>
      </c>
      <c r="E4" t="s">
        <v>417</v>
      </c>
    </row>
    <row r="5" spans="1:5" x14ac:dyDescent="0.3">
      <c r="A5" t="s">
        <v>1237</v>
      </c>
      <c r="B5" t="s">
        <v>1237</v>
      </c>
      <c r="C5" t="s">
        <v>10</v>
      </c>
      <c r="D5" t="s">
        <v>193</v>
      </c>
      <c r="E5" t="s">
        <v>418</v>
      </c>
    </row>
    <row r="6" spans="1:5" x14ac:dyDescent="0.3">
      <c r="A6" t="s">
        <v>1238</v>
      </c>
      <c r="B6" t="s">
        <v>1238</v>
      </c>
      <c r="C6" t="s">
        <v>10</v>
      </c>
      <c r="D6" t="s">
        <v>193</v>
      </c>
      <c r="E6" t="s">
        <v>419</v>
      </c>
    </row>
    <row r="7" spans="1:5" x14ac:dyDescent="0.3">
      <c r="A7" t="s">
        <v>1239</v>
      </c>
      <c r="B7" t="s">
        <v>1239</v>
      </c>
      <c r="C7" t="s">
        <v>10</v>
      </c>
      <c r="D7" t="s">
        <v>193</v>
      </c>
      <c r="E7" t="s">
        <v>420</v>
      </c>
    </row>
    <row r="8" spans="1:5" x14ac:dyDescent="0.3">
      <c r="A8" t="s">
        <v>1240</v>
      </c>
      <c r="B8" t="s">
        <v>1240</v>
      </c>
      <c r="C8" t="s">
        <v>10</v>
      </c>
      <c r="D8" t="s">
        <v>193</v>
      </c>
      <c r="E8" t="s">
        <v>421</v>
      </c>
    </row>
    <row r="9" spans="1:5" x14ac:dyDescent="0.3">
      <c r="A9" t="s">
        <v>1241</v>
      </c>
      <c r="B9" t="s">
        <v>1241</v>
      </c>
      <c r="C9" t="s">
        <v>10</v>
      </c>
      <c r="D9" t="s">
        <v>193</v>
      </c>
      <c r="E9" t="s">
        <v>343</v>
      </c>
    </row>
    <row r="10" spans="1:5" x14ac:dyDescent="0.3">
      <c r="A10" t="s">
        <v>1242</v>
      </c>
      <c r="B10" t="s">
        <v>1242</v>
      </c>
      <c r="C10" t="s">
        <v>10</v>
      </c>
      <c r="D10" t="s">
        <v>193</v>
      </c>
      <c r="E10" t="s">
        <v>344</v>
      </c>
    </row>
    <row r="11" spans="1:5" x14ac:dyDescent="0.3">
      <c r="A11" t="s">
        <v>1243</v>
      </c>
      <c r="B11" t="s">
        <v>1243</v>
      </c>
      <c r="C11" t="s">
        <v>10</v>
      </c>
      <c r="D11" t="s">
        <v>193</v>
      </c>
      <c r="E11" t="s">
        <v>345</v>
      </c>
    </row>
    <row r="12" spans="1:5" x14ac:dyDescent="0.3">
      <c r="A12" t="s">
        <v>1244</v>
      </c>
      <c r="B12" t="s">
        <v>1244</v>
      </c>
      <c r="C12" t="s">
        <v>10</v>
      </c>
      <c r="D12" t="s">
        <v>193</v>
      </c>
      <c r="E12" t="s">
        <v>346</v>
      </c>
    </row>
    <row r="13" spans="1:5" x14ac:dyDescent="0.3">
      <c r="A13" t="s">
        <v>1245</v>
      </c>
      <c r="B13" t="s">
        <v>1245</v>
      </c>
      <c r="C13" t="s">
        <v>10</v>
      </c>
      <c r="D13" t="s">
        <v>193</v>
      </c>
      <c r="E13" t="s">
        <v>347</v>
      </c>
    </row>
    <row r="14" spans="1:5" x14ac:dyDescent="0.3">
      <c r="A14" t="s">
        <v>1246</v>
      </c>
      <c r="B14" t="s">
        <v>1246</v>
      </c>
      <c r="C14" t="s">
        <v>10</v>
      </c>
      <c r="D14" t="s">
        <v>193</v>
      </c>
      <c r="E14" t="s">
        <v>348</v>
      </c>
    </row>
    <row r="15" spans="1:5" x14ac:dyDescent="0.3">
      <c r="A15" t="s">
        <v>1247</v>
      </c>
      <c r="B15" t="s">
        <v>1247</v>
      </c>
      <c r="C15" t="s">
        <v>10</v>
      </c>
      <c r="D15" t="s">
        <v>193</v>
      </c>
      <c r="E15" t="s">
        <v>422</v>
      </c>
    </row>
    <row r="16" spans="1:5" x14ac:dyDescent="0.3">
      <c r="A16" t="s">
        <v>1248</v>
      </c>
      <c r="B16" t="s">
        <v>1248</v>
      </c>
      <c r="C16" t="s">
        <v>10</v>
      </c>
      <c r="D16" t="s">
        <v>193</v>
      </c>
      <c r="E16" t="s">
        <v>423</v>
      </c>
    </row>
    <row r="17" spans="1:5" x14ac:dyDescent="0.3">
      <c r="A17" t="s">
        <v>1249</v>
      </c>
      <c r="B17" t="s">
        <v>1249</v>
      </c>
      <c r="C17" t="s">
        <v>10</v>
      </c>
      <c r="D17" t="s">
        <v>193</v>
      </c>
      <c r="E17" t="s">
        <v>424</v>
      </c>
    </row>
    <row r="18" spans="1:5" x14ac:dyDescent="0.3">
      <c r="A18" t="s">
        <v>1250</v>
      </c>
      <c r="B18" t="s">
        <v>1250</v>
      </c>
      <c r="C18" t="s">
        <v>10</v>
      </c>
      <c r="D18" t="s">
        <v>193</v>
      </c>
      <c r="E18" t="s">
        <v>425</v>
      </c>
    </row>
    <row r="19" spans="1:5" x14ac:dyDescent="0.3">
      <c r="A19" t="s">
        <v>1251</v>
      </c>
      <c r="B19" t="s">
        <v>1251</v>
      </c>
      <c r="C19" t="s">
        <v>10</v>
      </c>
      <c r="D19" t="s">
        <v>193</v>
      </c>
      <c r="E19" t="s">
        <v>426</v>
      </c>
    </row>
    <row r="20" spans="1:5" x14ac:dyDescent="0.3">
      <c r="A20" t="s">
        <v>1252</v>
      </c>
      <c r="B20" t="s">
        <v>1252</v>
      </c>
      <c r="C20" t="s">
        <v>10</v>
      </c>
      <c r="D20" t="s">
        <v>193</v>
      </c>
      <c r="E20" t="s">
        <v>427</v>
      </c>
    </row>
    <row r="21" spans="1:5" x14ac:dyDescent="0.3">
      <c r="A21" t="s">
        <v>1253</v>
      </c>
      <c r="B21" t="s">
        <v>1253</v>
      </c>
      <c r="C21" t="s">
        <v>10</v>
      </c>
      <c r="D21" t="s">
        <v>193</v>
      </c>
      <c r="E21" t="s">
        <v>428</v>
      </c>
    </row>
    <row r="22" spans="1:5" x14ac:dyDescent="0.3">
      <c r="A22" t="s">
        <v>1254</v>
      </c>
      <c r="B22" t="s">
        <v>1254</v>
      </c>
      <c r="C22" t="s">
        <v>10</v>
      </c>
      <c r="D22" t="s">
        <v>193</v>
      </c>
      <c r="E22" t="s">
        <v>429</v>
      </c>
    </row>
    <row r="23" spans="1:5" x14ac:dyDescent="0.3">
      <c r="A23" t="s">
        <v>1255</v>
      </c>
      <c r="B23" t="s">
        <v>1255</v>
      </c>
      <c r="C23" t="s">
        <v>10</v>
      </c>
      <c r="D23" t="s">
        <v>193</v>
      </c>
      <c r="E23" t="s">
        <v>430</v>
      </c>
    </row>
    <row r="24" spans="1:5" x14ac:dyDescent="0.3">
      <c r="A24" t="s">
        <v>1256</v>
      </c>
      <c r="B24" t="s">
        <v>1256</v>
      </c>
      <c r="C24" t="s">
        <v>10</v>
      </c>
      <c r="D24" t="s">
        <v>193</v>
      </c>
      <c r="E24" t="s">
        <v>431</v>
      </c>
    </row>
    <row r="25" spans="1:5" x14ac:dyDescent="0.3">
      <c r="A25" t="s">
        <v>1257</v>
      </c>
      <c r="B25" t="s">
        <v>1257</v>
      </c>
      <c r="C25" t="s">
        <v>10</v>
      </c>
      <c r="D25" t="s">
        <v>193</v>
      </c>
      <c r="E25" t="s">
        <v>432</v>
      </c>
    </row>
    <row r="26" spans="1:5" x14ac:dyDescent="0.3">
      <c r="A26" t="s">
        <v>1258</v>
      </c>
      <c r="B26" t="s">
        <v>1258</v>
      </c>
      <c r="C26" t="s">
        <v>10</v>
      </c>
      <c r="D26" t="s">
        <v>193</v>
      </c>
      <c r="E26" t="s">
        <v>433</v>
      </c>
    </row>
    <row r="27" spans="1:5" x14ac:dyDescent="0.3">
      <c r="A27" t="s">
        <v>1259</v>
      </c>
      <c r="B27" t="s">
        <v>1259</v>
      </c>
      <c r="C27" t="s">
        <v>10</v>
      </c>
      <c r="D27" t="s">
        <v>193</v>
      </c>
      <c r="E27" t="s">
        <v>349</v>
      </c>
    </row>
    <row r="28" spans="1:5" x14ac:dyDescent="0.3">
      <c r="A28" t="s">
        <v>1260</v>
      </c>
      <c r="B28" t="s">
        <v>1260</v>
      </c>
      <c r="C28" t="s">
        <v>10</v>
      </c>
      <c r="D28" t="s">
        <v>193</v>
      </c>
      <c r="E28" t="s">
        <v>350</v>
      </c>
    </row>
    <row r="29" spans="1:5" x14ac:dyDescent="0.3">
      <c r="A29" t="s">
        <v>1261</v>
      </c>
      <c r="B29" t="s">
        <v>1261</v>
      </c>
      <c r="C29" t="s">
        <v>10</v>
      </c>
      <c r="D29" t="s">
        <v>193</v>
      </c>
      <c r="E29" t="s">
        <v>351</v>
      </c>
    </row>
    <row r="30" spans="1:5" x14ac:dyDescent="0.3">
      <c r="A30" t="s">
        <v>1262</v>
      </c>
      <c r="B30" t="s">
        <v>1262</v>
      </c>
      <c r="C30" t="s">
        <v>10</v>
      </c>
      <c r="D30" t="s">
        <v>193</v>
      </c>
      <c r="E30" t="s">
        <v>352</v>
      </c>
    </row>
    <row r="31" spans="1:5" x14ac:dyDescent="0.3">
      <c r="A31" t="s">
        <v>1263</v>
      </c>
      <c r="B31" t="s">
        <v>1263</v>
      </c>
      <c r="C31" t="s">
        <v>10</v>
      </c>
      <c r="D31" t="s">
        <v>193</v>
      </c>
      <c r="E31" t="s">
        <v>353</v>
      </c>
    </row>
    <row r="32" spans="1:5" x14ac:dyDescent="0.3">
      <c r="A32" t="s">
        <v>1264</v>
      </c>
      <c r="B32" t="s">
        <v>1264</v>
      </c>
      <c r="C32" t="s">
        <v>10</v>
      </c>
      <c r="D32" t="s">
        <v>193</v>
      </c>
      <c r="E32" t="s">
        <v>354</v>
      </c>
    </row>
    <row r="33" spans="1:5" x14ac:dyDescent="0.3">
      <c r="A33" t="s">
        <v>1265</v>
      </c>
      <c r="B33" t="s">
        <v>1265</v>
      </c>
      <c r="C33" t="s">
        <v>10</v>
      </c>
      <c r="D33" t="s">
        <v>193</v>
      </c>
      <c r="E33" t="s">
        <v>355</v>
      </c>
    </row>
    <row r="34" spans="1:5" x14ac:dyDescent="0.3">
      <c r="A34" t="s">
        <v>1266</v>
      </c>
      <c r="B34" t="s">
        <v>1266</v>
      </c>
      <c r="C34" t="s">
        <v>10</v>
      </c>
      <c r="D34" t="s">
        <v>193</v>
      </c>
      <c r="E34" t="s">
        <v>356</v>
      </c>
    </row>
    <row r="35" spans="1:5" x14ac:dyDescent="0.3">
      <c r="A35" t="s">
        <v>1267</v>
      </c>
      <c r="B35" t="s">
        <v>1267</v>
      </c>
      <c r="C35" t="s">
        <v>10</v>
      </c>
      <c r="D35" t="s">
        <v>193</v>
      </c>
      <c r="E35" t="s">
        <v>357</v>
      </c>
    </row>
    <row r="36" spans="1:5" x14ac:dyDescent="0.3">
      <c r="A36" t="s">
        <v>1268</v>
      </c>
      <c r="B36" t="s">
        <v>1268</v>
      </c>
      <c r="C36" t="s">
        <v>10</v>
      </c>
      <c r="D36" t="s">
        <v>193</v>
      </c>
      <c r="E36" t="s">
        <v>358</v>
      </c>
    </row>
    <row r="37" spans="1:5" x14ac:dyDescent="0.3">
      <c r="A37" t="s">
        <v>1269</v>
      </c>
      <c r="B37" t="s">
        <v>1269</v>
      </c>
      <c r="C37" t="s">
        <v>10</v>
      </c>
      <c r="D37" t="s">
        <v>193</v>
      </c>
      <c r="E37" t="s">
        <v>359</v>
      </c>
    </row>
    <row r="38" spans="1:5" x14ac:dyDescent="0.3">
      <c r="A38" t="s">
        <v>1270</v>
      </c>
      <c r="B38" t="s">
        <v>1270</v>
      </c>
      <c r="C38" t="s">
        <v>10</v>
      </c>
      <c r="D38" t="s">
        <v>193</v>
      </c>
      <c r="E38" t="s">
        <v>360</v>
      </c>
    </row>
    <row r="39" spans="1:5" x14ac:dyDescent="0.3">
      <c r="A39" t="s">
        <v>1271</v>
      </c>
      <c r="B39" t="s">
        <v>1271</v>
      </c>
      <c r="C39" t="s">
        <v>10</v>
      </c>
      <c r="D39" t="s">
        <v>193</v>
      </c>
      <c r="E39" t="s">
        <v>361</v>
      </c>
    </row>
    <row r="40" spans="1:5" x14ac:dyDescent="0.3">
      <c r="A40" t="s">
        <v>1272</v>
      </c>
      <c r="B40" t="s">
        <v>1272</v>
      </c>
      <c r="C40" t="s">
        <v>10</v>
      </c>
      <c r="D40" t="s">
        <v>193</v>
      </c>
      <c r="E40" t="s">
        <v>362</v>
      </c>
    </row>
    <row r="41" spans="1:5" x14ac:dyDescent="0.3">
      <c r="A41" t="s">
        <v>1273</v>
      </c>
      <c r="B41" t="s">
        <v>1273</v>
      </c>
      <c r="C41" t="s">
        <v>10</v>
      </c>
      <c r="D41" t="s">
        <v>193</v>
      </c>
      <c r="E41" t="s">
        <v>363</v>
      </c>
    </row>
    <row r="42" spans="1:5" x14ac:dyDescent="0.3">
      <c r="A42" t="s">
        <v>1274</v>
      </c>
      <c r="B42" t="s">
        <v>1274</v>
      </c>
      <c r="C42" t="s">
        <v>10</v>
      </c>
      <c r="D42" t="s">
        <v>193</v>
      </c>
      <c r="E42" t="s">
        <v>364</v>
      </c>
    </row>
    <row r="43" spans="1:5" x14ac:dyDescent="0.3">
      <c r="A43" t="s">
        <v>1275</v>
      </c>
      <c r="B43" t="s">
        <v>1275</v>
      </c>
      <c r="C43" t="s">
        <v>10</v>
      </c>
      <c r="D43" t="s">
        <v>193</v>
      </c>
      <c r="E43" t="s">
        <v>365</v>
      </c>
    </row>
    <row r="44" spans="1:5" x14ac:dyDescent="0.3">
      <c r="A44" t="s">
        <v>1276</v>
      </c>
      <c r="B44" t="s">
        <v>1276</v>
      </c>
      <c r="C44" t="s">
        <v>10</v>
      </c>
      <c r="D44" t="s">
        <v>193</v>
      </c>
      <c r="E44" t="s">
        <v>366</v>
      </c>
    </row>
    <row r="45" spans="1:5" x14ac:dyDescent="0.3">
      <c r="A45" t="s">
        <v>1277</v>
      </c>
      <c r="B45" t="s">
        <v>1277</v>
      </c>
      <c r="C45" t="s">
        <v>10</v>
      </c>
      <c r="D45" t="s">
        <v>193</v>
      </c>
      <c r="E45" t="s">
        <v>434</v>
      </c>
    </row>
    <row r="46" spans="1:5" x14ac:dyDescent="0.3">
      <c r="A46" t="s">
        <v>1278</v>
      </c>
      <c r="B46" t="s">
        <v>1278</v>
      </c>
      <c r="C46" t="s">
        <v>10</v>
      </c>
      <c r="D46" t="s">
        <v>193</v>
      </c>
      <c r="E46" t="s">
        <v>435</v>
      </c>
    </row>
    <row r="47" spans="1:5" x14ac:dyDescent="0.3">
      <c r="A47" t="s">
        <v>1279</v>
      </c>
      <c r="B47" t="s">
        <v>1279</v>
      </c>
      <c r="C47" t="s">
        <v>10</v>
      </c>
      <c r="D47" t="s">
        <v>193</v>
      </c>
      <c r="E47" t="s">
        <v>436</v>
      </c>
    </row>
    <row r="48" spans="1:5" x14ac:dyDescent="0.3">
      <c r="A48" t="s">
        <v>1280</v>
      </c>
      <c r="B48" t="s">
        <v>1280</v>
      </c>
      <c r="C48" t="s">
        <v>10</v>
      </c>
      <c r="D48" t="s">
        <v>193</v>
      </c>
      <c r="E48" t="s">
        <v>437</v>
      </c>
    </row>
    <row r="49" spans="1:5" x14ac:dyDescent="0.3">
      <c r="A49" t="s">
        <v>1281</v>
      </c>
      <c r="B49" t="s">
        <v>1281</v>
      </c>
      <c r="C49" t="s">
        <v>10</v>
      </c>
      <c r="D49" t="s">
        <v>193</v>
      </c>
      <c r="E49" t="s">
        <v>438</v>
      </c>
    </row>
    <row r="50" spans="1:5" x14ac:dyDescent="0.3">
      <c r="A50" t="s">
        <v>1282</v>
      </c>
      <c r="B50" t="s">
        <v>1282</v>
      </c>
      <c r="C50" t="s">
        <v>10</v>
      </c>
      <c r="D50" t="s">
        <v>193</v>
      </c>
      <c r="E50" t="s">
        <v>439</v>
      </c>
    </row>
    <row r="51" spans="1:5" x14ac:dyDescent="0.3">
      <c r="A51" t="s">
        <v>1283</v>
      </c>
      <c r="B51" t="s">
        <v>1283</v>
      </c>
      <c r="C51" t="s">
        <v>10</v>
      </c>
      <c r="D51" t="s">
        <v>193</v>
      </c>
      <c r="E51" t="s">
        <v>367</v>
      </c>
    </row>
    <row r="52" spans="1:5" x14ac:dyDescent="0.3">
      <c r="A52" t="s">
        <v>1284</v>
      </c>
      <c r="B52" t="s">
        <v>1284</v>
      </c>
      <c r="C52" t="s">
        <v>10</v>
      </c>
      <c r="D52" t="s">
        <v>193</v>
      </c>
      <c r="E52" t="s">
        <v>368</v>
      </c>
    </row>
    <row r="53" spans="1:5" x14ac:dyDescent="0.3">
      <c r="A53" t="s">
        <v>1285</v>
      </c>
      <c r="B53" t="s">
        <v>1285</v>
      </c>
      <c r="C53" t="s">
        <v>10</v>
      </c>
      <c r="D53" t="s">
        <v>193</v>
      </c>
      <c r="E53" t="s">
        <v>369</v>
      </c>
    </row>
    <row r="54" spans="1:5" x14ac:dyDescent="0.3">
      <c r="A54" t="s">
        <v>1286</v>
      </c>
      <c r="B54" t="s">
        <v>1286</v>
      </c>
      <c r="C54" t="s">
        <v>10</v>
      </c>
      <c r="D54" t="s">
        <v>193</v>
      </c>
      <c r="E54" t="s">
        <v>370</v>
      </c>
    </row>
    <row r="55" spans="1:5" x14ac:dyDescent="0.3">
      <c r="A55" t="s">
        <v>1287</v>
      </c>
      <c r="B55" t="s">
        <v>1287</v>
      </c>
      <c r="C55" t="s">
        <v>10</v>
      </c>
      <c r="D55" t="s">
        <v>193</v>
      </c>
      <c r="E55" t="s">
        <v>371</v>
      </c>
    </row>
    <row r="56" spans="1:5" x14ac:dyDescent="0.3">
      <c r="A56" t="s">
        <v>1288</v>
      </c>
      <c r="B56" t="s">
        <v>1288</v>
      </c>
      <c r="C56" t="s">
        <v>10</v>
      </c>
      <c r="D56" t="s">
        <v>193</v>
      </c>
      <c r="E56" t="s">
        <v>372</v>
      </c>
    </row>
    <row r="57" spans="1:5" x14ac:dyDescent="0.3">
      <c r="A57" t="s">
        <v>1289</v>
      </c>
      <c r="B57" t="s">
        <v>1289</v>
      </c>
      <c r="C57" t="s">
        <v>10</v>
      </c>
      <c r="D57" t="s">
        <v>193</v>
      </c>
      <c r="E57" t="s">
        <v>373</v>
      </c>
    </row>
    <row r="58" spans="1:5" x14ac:dyDescent="0.3">
      <c r="A58" t="s">
        <v>1290</v>
      </c>
      <c r="B58" t="s">
        <v>1290</v>
      </c>
      <c r="C58" t="s">
        <v>10</v>
      </c>
      <c r="D58" t="s">
        <v>193</v>
      </c>
      <c r="E58" t="s">
        <v>374</v>
      </c>
    </row>
    <row r="59" spans="1:5" x14ac:dyDescent="0.3">
      <c r="A59" t="s">
        <v>1291</v>
      </c>
      <c r="B59" t="s">
        <v>1291</v>
      </c>
      <c r="C59" t="s">
        <v>10</v>
      </c>
      <c r="D59" t="s">
        <v>193</v>
      </c>
      <c r="E59" t="s">
        <v>375</v>
      </c>
    </row>
    <row r="60" spans="1:5" x14ac:dyDescent="0.3">
      <c r="A60" t="s">
        <v>1292</v>
      </c>
      <c r="B60" t="s">
        <v>1292</v>
      </c>
      <c r="C60" t="s">
        <v>10</v>
      </c>
      <c r="D60" t="s">
        <v>193</v>
      </c>
      <c r="E60" t="s">
        <v>376</v>
      </c>
    </row>
    <row r="61" spans="1:5" x14ac:dyDescent="0.3">
      <c r="A61" t="s">
        <v>1293</v>
      </c>
      <c r="B61" t="s">
        <v>1293</v>
      </c>
      <c r="C61" t="s">
        <v>10</v>
      </c>
      <c r="D61" t="s">
        <v>193</v>
      </c>
      <c r="E61" t="s">
        <v>377</v>
      </c>
    </row>
    <row r="62" spans="1:5" x14ac:dyDescent="0.3">
      <c r="A62" t="s">
        <v>1294</v>
      </c>
      <c r="B62" t="s">
        <v>1294</v>
      </c>
      <c r="C62" t="s">
        <v>10</v>
      </c>
      <c r="D62" t="s">
        <v>193</v>
      </c>
      <c r="E62" t="s">
        <v>378</v>
      </c>
    </row>
    <row r="63" spans="1:5" x14ac:dyDescent="0.3">
      <c r="A63" t="s">
        <v>1295</v>
      </c>
      <c r="B63" t="s">
        <v>1295</v>
      </c>
      <c r="C63" t="s">
        <v>10</v>
      </c>
      <c r="D63" t="s">
        <v>193</v>
      </c>
      <c r="E63" t="s">
        <v>379</v>
      </c>
    </row>
    <row r="64" spans="1:5" x14ac:dyDescent="0.3">
      <c r="A64" t="s">
        <v>1296</v>
      </c>
      <c r="B64" t="s">
        <v>1296</v>
      </c>
      <c r="C64" t="s">
        <v>10</v>
      </c>
      <c r="D64" t="s">
        <v>193</v>
      </c>
      <c r="E64" t="s">
        <v>380</v>
      </c>
    </row>
    <row r="65" spans="1:5" x14ac:dyDescent="0.3">
      <c r="A65" t="s">
        <v>1297</v>
      </c>
      <c r="B65" t="s">
        <v>1297</v>
      </c>
      <c r="C65" t="s">
        <v>10</v>
      </c>
      <c r="D65" t="s">
        <v>193</v>
      </c>
      <c r="E65" t="s">
        <v>381</v>
      </c>
    </row>
    <row r="66" spans="1:5" x14ac:dyDescent="0.3">
      <c r="A66" t="s">
        <v>1298</v>
      </c>
      <c r="B66" t="s">
        <v>1298</v>
      </c>
      <c r="C66" t="s">
        <v>10</v>
      </c>
      <c r="D66" t="s">
        <v>193</v>
      </c>
      <c r="E66" t="s">
        <v>382</v>
      </c>
    </row>
    <row r="67" spans="1:5" x14ac:dyDescent="0.3">
      <c r="A67" t="s">
        <v>1299</v>
      </c>
      <c r="B67" t="s">
        <v>1299</v>
      </c>
      <c r="C67" t="s">
        <v>10</v>
      </c>
      <c r="D67" t="s">
        <v>193</v>
      </c>
      <c r="E67" t="s">
        <v>383</v>
      </c>
    </row>
    <row r="68" spans="1:5" x14ac:dyDescent="0.3">
      <c r="A68" t="s">
        <v>1300</v>
      </c>
      <c r="B68" t="s">
        <v>1300</v>
      </c>
      <c r="C68" t="s">
        <v>10</v>
      </c>
      <c r="D68" t="s">
        <v>193</v>
      </c>
      <c r="E68" t="s">
        <v>384</v>
      </c>
    </row>
    <row r="69" spans="1:5" x14ac:dyDescent="0.3">
      <c r="A69" t="s">
        <v>1301</v>
      </c>
      <c r="B69" t="s">
        <v>1301</v>
      </c>
      <c r="C69" t="s">
        <v>10</v>
      </c>
      <c r="D69" t="s">
        <v>193</v>
      </c>
      <c r="E69" t="s">
        <v>385</v>
      </c>
    </row>
    <row r="70" spans="1:5" x14ac:dyDescent="0.3">
      <c r="A70" t="s">
        <v>1302</v>
      </c>
      <c r="B70" t="s">
        <v>1302</v>
      </c>
      <c r="C70" t="s">
        <v>10</v>
      </c>
      <c r="D70" t="s">
        <v>193</v>
      </c>
      <c r="E70" t="s">
        <v>386</v>
      </c>
    </row>
    <row r="71" spans="1:5" x14ac:dyDescent="0.3">
      <c r="A71" t="s">
        <v>1303</v>
      </c>
      <c r="B71" t="s">
        <v>1303</v>
      </c>
      <c r="C71" t="s">
        <v>10</v>
      </c>
      <c r="D71" t="s">
        <v>193</v>
      </c>
      <c r="E71" t="s">
        <v>387</v>
      </c>
    </row>
    <row r="72" spans="1:5" x14ac:dyDescent="0.3">
      <c r="A72" t="s">
        <v>1304</v>
      </c>
      <c r="B72" t="s">
        <v>1304</v>
      </c>
      <c r="C72" t="s">
        <v>10</v>
      </c>
      <c r="D72" t="s">
        <v>193</v>
      </c>
      <c r="E72" t="s">
        <v>388</v>
      </c>
    </row>
    <row r="73" spans="1:5" x14ac:dyDescent="0.3">
      <c r="A73" t="s">
        <v>1305</v>
      </c>
      <c r="B73" t="s">
        <v>1305</v>
      </c>
      <c r="C73" t="s">
        <v>10</v>
      </c>
      <c r="D73" t="s">
        <v>193</v>
      </c>
      <c r="E73" t="s">
        <v>389</v>
      </c>
    </row>
    <row r="74" spans="1:5" x14ac:dyDescent="0.3">
      <c r="A74" t="s">
        <v>1306</v>
      </c>
      <c r="B74" t="s">
        <v>1306</v>
      </c>
      <c r="C74" t="s">
        <v>10</v>
      </c>
      <c r="D74" t="s">
        <v>193</v>
      </c>
      <c r="E74" t="s">
        <v>390</v>
      </c>
    </row>
    <row r="75" spans="1:5" x14ac:dyDescent="0.3">
      <c r="A75" t="s">
        <v>1307</v>
      </c>
      <c r="B75" t="s">
        <v>1307</v>
      </c>
      <c r="C75" t="s">
        <v>10</v>
      </c>
      <c r="D75" t="s">
        <v>193</v>
      </c>
      <c r="E75" t="s">
        <v>440</v>
      </c>
    </row>
    <row r="76" spans="1:5" x14ac:dyDescent="0.3">
      <c r="A76" t="s">
        <v>1308</v>
      </c>
      <c r="B76" t="s">
        <v>1308</v>
      </c>
      <c r="C76" t="s">
        <v>10</v>
      </c>
      <c r="D76" t="s">
        <v>193</v>
      </c>
      <c r="E76" t="s">
        <v>441</v>
      </c>
    </row>
    <row r="77" spans="1:5" x14ac:dyDescent="0.3">
      <c r="A77" t="s">
        <v>1309</v>
      </c>
      <c r="B77" t="s">
        <v>1309</v>
      </c>
      <c r="C77" t="s">
        <v>10</v>
      </c>
      <c r="D77" t="s">
        <v>193</v>
      </c>
      <c r="E77" t="s">
        <v>442</v>
      </c>
    </row>
    <row r="78" spans="1:5" x14ac:dyDescent="0.3">
      <c r="A78" t="s">
        <v>1310</v>
      </c>
      <c r="B78" t="s">
        <v>1310</v>
      </c>
      <c r="C78" t="s">
        <v>10</v>
      </c>
      <c r="D78" t="s">
        <v>193</v>
      </c>
      <c r="E78" t="s">
        <v>443</v>
      </c>
    </row>
    <row r="79" spans="1:5" x14ac:dyDescent="0.3">
      <c r="A79" t="s">
        <v>1311</v>
      </c>
      <c r="B79" t="s">
        <v>1311</v>
      </c>
      <c r="C79" t="s">
        <v>10</v>
      </c>
      <c r="D79" t="s">
        <v>193</v>
      </c>
      <c r="E79" t="s">
        <v>444</v>
      </c>
    </row>
    <row r="80" spans="1:5" x14ac:dyDescent="0.3">
      <c r="A80" t="s">
        <v>1312</v>
      </c>
      <c r="B80" t="s">
        <v>1312</v>
      </c>
      <c r="C80" t="s">
        <v>10</v>
      </c>
      <c r="D80" t="s">
        <v>193</v>
      </c>
      <c r="E80" t="s">
        <v>445</v>
      </c>
    </row>
    <row r="81" spans="1:5" x14ac:dyDescent="0.3">
      <c r="A81" t="s">
        <v>1313</v>
      </c>
      <c r="B81" t="s">
        <v>1313</v>
      </c>
      <c r="C81" t="s">
        <v>10</v>
      </c>
      <c r="D81" t="s">
        <v>193</v>
      </c>
      <c r="E81" t="s">
        <v>446</v>
      </c>
    </row>
    <row r="82" spans="1:5" x14ac:dyDescent="0.3">
      <c r="A82" t="s">
        <v>1314</v>
      </c>
      <c r="B82" t="s">
        <v>1314</v>
      </c>
      <c r="C82" t="s">
        <v>10</v>
      </c>
      <c r="D82" t="s">
        <v>193</v>
      </c>
      <c r="E82" t="s">
        <v>447</v>
      </c>
    </row>
    <row r="83" spans="1:5" x14ac:dyDescent="0.3">
      <c r="A83" t="s">
        <v>1315</v>
      </c>
      <c r="B83" t="s">
        <v>1315</v>
      </c>
      <c r="C83" t="s">
        <v>10</v>
      </c>
      <c r="D83" t="s">
        <v>193</v>
      </c>
      <c r="E83" t="s">
        <v>391</v>
      </c>
    </row>
    <row r="84" spans="1:5" x14ac:dyDescent="0.3">
      <c r="A84" t="s">
        <v>1316</v>
      </c>
      <c r="B84" t="s">
        <v>1316</v>
      </c>
      <c r="C84" t="s">
        <v>10</v>
      </c>
      <c r="D84" t="s">
        <v>193</v>
      </c>
      <c r="E84" t="s">
        <v>392</v>
      </c>
    </row>
    <row r="85" spans="1:5" x14ac:dyDescent="0.3">
      <c r="A85" t="s">
        <v>1317</v>
      </c>
      <c r="B85" t="s">
        <v>1317</v>
      </c>
      <c r="C85" t="s">
        <v>10</v>
      </c>
      <c r="D85" t="s">
        <v>193</v>
      </c>
      <c r="E85" t="s">
        <v>393</v>
      </c>
    </row>
    <row r="86" spans="1:5" x14ac:dyDescent="0.3">
      <c r="A86" t="s">
        <v>1318</v>
      </c>
      <c r="B86" t="s">
        <v>1318</v>
      </c>
      <c r="C86" t="s">
        <v>10</v>
      </c>
      <c r="D86" t="s">
        <v>193</v>
      </c>
      <c r="E86" t="s">
        <v>394</v>
      </c>
    </row>
    <row r="87" spans="1:5" x14ac:dyDescent="0.3">
      <c r="A87" t="s">
        <v>1319</v>
      </c>
      <c r="B87" t="s">
        <v>1319</v>
      </c>
      <c r="C87" t="s">
        <v>10</v>
      </c>
      <c r="D87" t="s">
        <v>193</v>
      </c>
      <c r="E87" t="s">
        <v>395</v>
      </c>
    </row>
    <row r="88" spans="1:5" x14ac:dyDescent="0.3">
      <c r="A88" t="s">
        <v>1320</v>
      </c>
      <c r="B88" t="s">
        <v>1320</v>
      </c>
      <c r="C88" t="s">
        <v>10</v>
      </c>
      <c r="D88" t="s">
        <v>193</v>
      </c>
      <c r="E88" t="s">
        <v>396</v>
      </c>
    </row>
    <row r="89" spans="1:5" x14ac:dyDescent="0.3">
      <c r="A89" t="s">
        <v>1321</v>
      </c>
      <c r="B89" t="s">
        <v>1321</v>
      </c>
      <c r="C89" t="s">
        <v>10</v>
      </c>
      <c r="D89" t="s">
        <v>193</v>
      </c>
      <c r="E89" t="s">
        <v>397</v>
      </c>
    </row>
    <row r="90" spans="1:5" x14ac:dyDescent="0.3">
      <c r="A90" t="s">
        <v>1322</v>
      </c>
      <c r="B90" t="s">
        <v>1322</v>
      </c>
      <c r="C90" t="s">
        <v>10</v>
      </c>
      <c r="D90" t="s">
        <v>193</v>
      </c>
      <c r="E90" t="s">
        <v>398</v>
      </c>
    </row>
    <row r="91" spans="1:5" x14ac:dyDescent="0.3">
      <c r="A91" t="s">
        <v>1323</v>
      </c>
      <c r="B91" t="s">
        <v>1323</v>
      </c>
      <c r="C91" t="s">
        <v>10</v>
      </c>
      <c r="D91" t="s">
        <v>193</v>
      </c>
      <c r="E91" t="s">
        <v>399</v>
      </c>
    </row>
    <row r="92" spans="1:5" x14ac:dyDescent="0.3">
      <c r="A92" t="s">
        <v>1324</v>
      </c>
      <c r="B92" t="s">
        <v>1324</v>
      </c>
      <c r="C92" t="s">
        <v>10</v>
      </c>
      <c r="D92" t="s">
        <v>193</v>
      </c>
      <c r="E92" t="s">
        <v>400</v>
      </c>
    </row>
    <row r="93" spans="1:5" x14ac:dyDescent="0.3">
      <c r="A93" t="s">
        <v>1325</v>
      </c>
      <c r="B93" t="s">
        <v>1325</v>
      </c>
      <c r="C93" t="s">
        <v>10</v>
      </c>
      <c r="D93" t="s">
        <v>193</v>
      </c>
      <c r="E93" t="s">
        <v>401</v>
      </c>
    </row>
    <row r="94" spans="1:5" x14ac:dyDescent="0.3">
      <c r="A94" t="s">
        <v>1326</v>
      </c>
      <c r="B94" t="s">
        <v>1326</v>
      </c>
      <c r="C94" t="s">
        <v>10</v>
      </c>
      <c r="D94" t="s">
        <v>193</v>
      </c>
      <c r="E94" t="s">
        <v>402</v>
      </c>
    </row>
    <row r="95" spans="1:5" x14ac:dyDescent="0.3">
      <c r="A95" t="s">
        <v>1327</v>
      </c>
      <c r="B95" t="s">
        <v>1327</v>
      </c>
      <c r="C95" t="s">
        <v>10</v>
      </c>
      <c r="D95" t="s">
        <v>193</v>
      </c>
      <c r="E95" t="s">
        <v>403</v>
      </c>
    </row>
    <row r="96" spans="1:5" x14ac:dyDescent="0.3">
      <c r="A96" t="s">
        <v>1328</v>
      </c>
      <c r="B96" t="s">
        <v>1328</v>
      </c>
      <c r="C96" t="s">
        <v>10</v>
      </c>
      <c r="D96" t="s">
        <v>193</v>
      </c>
      <c r="E96" t="s">
        <v>404</v>
      </c>
    </row>
    <row r="97" spans="1:5" x14ac:dyDescent="0.3">
      <c r="A97" t="s">
        <v>1329</v>
      </c>
      <c r="B97" t="s">
        <v>1329</v>
      </c>
      <c r="C97" t="s">
        <v>10</v>
      </c>
      <c r="D97" t="s">
        <v>193</v>
      </c>
      <c r="E97" t="s">
        <v>405</v>
      </c>
    </row>
    <row r="98" spans="1:5" x14ac:dyDescent="0.3">
      <c r="A98" t="s">
        <v>1330</v>
      </c>
      <c r="B98" t="s">
        <v>1330</v>
      </c>
      <c r="C98" t="s">
        <v>10</v>
      </c>
      <c r="D98" t="s">
        <v>193</v>
      </c>
      <c r="E98" t="s">
        <v>406</v>
      </c>
    </row>
    <row r="99" spans="1:5" x14ac:dyDescent="0.3">
      <c r="A99" t="s">
        <v>1331</v>
      </c>
      <c r="B99" t="s">
        <v>1331</v>
      </c>
      <c r="C99" t="s">
        <v>10</v>
      </c>
      <c r="D99" t="s">
        <v>193</v>
      </c>
      <c r="E99" t="s">
        <v>407</v>
      </c>
    </row>
    <row r="100" spans="1:5" x14ac:dyDescent="0.3">
      <c r="A100" t="s">
        <v>1332</v>
      </c>
      <c r="B100" t="s">
        <v>1332</v>
      </c>
      <c r="C100" t="s">
        <v>10</v>
      </c>
      <c r="D100" t="s">
        <v>193</v>
      </c>
      <c r="E100" t="s">
        <v>408</v>
      </c>
    </row>
    <row r="101" spans="1:5" x14ac:dyDescent="0.3">
      <c r="A101" t="s">
        <v>1333</v>
      </c>
      <c r="B101" t="s">
        <v>1333</v>
      </c>
      <c r="C101" t="s">
        <v>10</v>
      </c>
      <c r="D101" t="s">
        <v>193</v>
      </c>
      <c r="E101" t="s">
        <v>409</v>
      </c>
    </row>
    <row r="102" spans="1:5" x14ac:dyDescent="0.3">
      <c r="A102" t="s">
        <v>1334</v>
      </c>
      <c r="B102" t="s">
        <v>1334</v>
      </c>
      <c r="C102" t="s">
        <v>10</v>
      </c>
      <c r="D102" t="s">
        <v>193</v>
      </c>
      <c r="E102" t="s">
        <v>410</v>
      </c>
    </row>
    <row r="103" spans="1:5" x14ac:dyDescent="0.3">
      <c r="A103" t="s">
        <v>1335</v>
      </c>
      <c r="B103" t="s">
        <v>1335</v>
      </c>
      <c r="C103" t="s">
        <v>10</v>
      </c>
      <c r="D103" t="s">
        <v>193</v>
      </c>
      <c r="E103" t="s">
        <v>411</v>
      </c>
    </row>
    <row r="104" spans="1:5" x14ac:dyDescent="0.3">
      <c r="A104" t="s">
        <v>1336</v>
      </c>
      <c r="B104" t="s">
        <v>1336</v>
      </c>
      <c r="C104" t="s">
        <v>10</v>
      </c>
      <c r="D104" t="s">
        <v>193</v>
      </c>
      <c r="E104" t="s">
        <v>412</v>
      </c>
    </row>
    <row r="105" spans="1:5" x14ac:dyDescent="0.3">
      <c r="A105" t="s">
        <v>1337</v>
      </c>
      <c r="B105" t="s">
        <v>1337</v>
      </c>
      <c r="C105" t="s">
        <v>10</v>
      </c>
      <c r="D105" t="s">
        <v>193</v>
      </c>
      <c r="E105" t="s">
        <v>413</v>
      </c>
    </row>
    <row r="106" spans="1:5" x14ac:dyDescent="0.3">
      <c r="A106" t="s">
        <v>1338</v>
      </c>
      <c r="B106" t="s">
        <v>1338</v>
      </c>
      <c r="C106" t="s">
        <v>10</v>
      </c>
      <c r="D106" t="s">
        <v>193</v>
      </c>
      <c r="E106" t="s">
        <v>414</v>
      </c>
    </row>
    <row r="107" spans="1:5" x14ac:dyDescent="0.3">
      <c r="A107" t="s">
        <v>1444</v>
      </c>
      <c r="B107" t="s">
        <v>1444</v>
      </c>
      <c r="C107" t="s">
        <v>10</v>
      </c>
      <c r="D107" t="s">
        <v>193</v>
      </c>
      <c r="E107" t="s">
        <v>1339</v>
      </c>
    </row>
    <row r="108" spans="1:5" x14ac:dyDescent="0.3">
      <c r="A108" t="s">
        <v>1445</v>
      </c>
      <c r="B108" t="s">
        <v>1445</v>
      </c>
      <c r="C108" t="s">
        <v>10</v>
      </c>
      <c r="D108" t="s">
        <v>193</v>
      </c>
      <c r="E108" t="s">
        <v>1340</v>
      </c>
    </row>
    <row r="109" spans="1:5" x14ac:dyDescent="0.3">
      <c r="A109" t="s">
        <v>1446</v>
      </c>
      <c r="B109" t="s">
        <v>1446</v>
      </c>
      <c r="C109" t="s">
        <v>10</v>
      </c>
      <c r="D109" t="s">
        <v>193</v>
      </c>
      <c r="E109" t="s">
        <v>1341</v>
      </c>
    </row>
    <row r="110" spans="1:5" x14ac:dyDescent="0.3">
      <c r="A110" t="s">
        <v>1447</v>
      </c>
      <c r="B110" t="s">
        <v>1447</v>
      </c>
      <c r="C110" t="s">
        <v>10</v>
      </c>
      <c r="D110" t="s">
        <v>193</v>
      </c>
      <c r="E110" t="s">
        <v>1342</v>
      </c>
    </row>
    <row r="111" spans="1:5" x14ac:dyDescent="0.3">
      <c r="A111" t="s">
        <v>1448</v>
      </c>
      <c r="B111" t="s">
        <v>1448</v>
      </c>
      <c r="C111" t="s">
        <v>10</v>
      </c>
      <c r="D111" t="s">
        <v>193</v>
      </c>
      <c r="E111" t="s">
        <v>1343</v>
      </c>
    </row>
    <row r="112" spans="1:5" x14ac:dyDescent="0.3">
      <c r="A112" t="s">
        <v>1449</v>
      </c>
      <c r="B112" t="s">
        <v>1449</v>
      </c>
      <c r="C112" t="s">
        <v>10</v>
      </c>
      <c r="D112" t="s">
        <v>193</v>
      </c>
      <c r="E112" t="s">
        <v>1344</v>
      </c>
    </row>
    <row r="113" spans="1:5" x14ac:dyDescent="0.3">
      <c r="A113" t="s">
        <v>1450</v>
      </c>
      <c r="B113" t="s">
        <v>1450</v>
      </c>
      <c r="C113" t="s">
        <v>10</v>
      </c>
      <c r="D113" t="s">
        <v>193</v>
      </c>
      <c r="E113" t="s">
        <v>1345</v>
      </c>
    </row>
    <row r="114" spans="1:5" x14ac:dyDescent="0.3">
      <c r="A114" t="s">
        <v>1451</v>
      </c>
      <c r="B114" t="s">
        <v>1451</v>
      </c>
      <c r="C114" t="s">
        <v>10</v>
      </c>
      <c r="D114" t="s">
        <v>193</v>
      </c>
      <c r="E114" t="s">
        <v>1346</v>
      </c>
    </row>
    <row r="115" spans="1:5" x14ac:dyDescent="0.3">
      <c r="A115" t="s">
        <v>1452</v>
      </c>
      <c r="B115" t="s">
        <v>1452</v>
      </c>
      <c r="C115" t="s">
        <v>10</v>
      </c>
      <c r="D115" t="s">
        <v>193</v>
      </c>
      <c r="E115" t="s">
        <v>1347</v>
      </c>
    </row>
    <row r="116" spans="1:5" x14ac:dyDescent="0.3">
      <c r="A116" t="s">
        <v>1453</v>
      </c>
      <c r="B116" t="s">
        <v>1453</v>
      </c>
      <c r="C116" t="s">
        <v>10</v>
      </c>
      <c r="D116" t="s">
        <v>193</v>
      </c>
      <c r="E116" t="s">
        <v>1348</v>
      </c>
    </row>
    <row r="117" spans="1:5" x14ac:dyDescent="0.3">
      <c r="A117" t="s">
        <v>1454</v>
      </c>
      <c r="B117" t="s">
        <v>1454</v>
      </c>
      <c r="C117" t="s">
        <v>10</v>
      </c>
      <c r="D117" t="s">
        <v>193</v>
      </c>
      <c r="E117" t="s">
        <v>1349</v>
      </c>
    </row>
    <row r="118" spans="1:5" x14ac:dyDescent="0.3">
      <c r="A118" t="s">
        <v>1455</v>
      </c>
      <c r="B118" t="s">
        <v>1455</v>
      </c>
      <c r="C118" t="s">
        <v>10</v>
      </c>
      <c r="D118" t="s">
        <v>193</v>
      </c>
      <c r="E118" t="s">
        <v>1350</v>
      </c>
    </row>
    <row r="119" spans="1:5" x14ac:dyDescent="0.3">
      <c r="A119" t="s">
        <v>1456</v>
      </c>
      <c r="B119" t="s">
        <v>1456</v>
      </c>
      <c r="C119" t="s">
        <v>10</v>
      </c>
      <c r="D119" t="s">
        <v>193</v>
      </c>
      <c r="E119" t="s">
        <v>1351</v>
      </c>
    </row>
    <row r="120" spans="1:5" x14ac:dyDescent="0.3">
      <c r="A120" t="s">
        <v>1457</v>
      </c>
      <c r="B120" t="s">
        <v>1457</v>
      </c>
      <c r="C120" t="s">
        <v>10</v>
      </c>
      <c r="D120" t="s">
        <v>193</v>
      </c>
      <c r="E120" t="s">
        <v>1352</v>
      </c>
    </row>
    <row r="121" spans="1:5" x14ac:dyDescent="0.3">
      <c r="A121" t="s">
        <v>1458</v>
      </c>
      <c r="B121" t="s">
        <v>1458</v>
      </c>
      <c r="C121" t="s">
        <v>10</v>
      </c>
      <c r="D121" t="s">
        <v>193</v>
      </c>
      <c r="E121" t="s">
        <v>1353</v>
      </c>
    </row>
    <row r="122" spans="1:5" x14ac:dyDescent="0.3">
      <c r="A122" t="s">
        <v>1459</v>
      </c>
      <c r="B122" t="s">
        <v>1459</v>
      </c>
      <c r="C122" t="s">
        <v>10</v>
      </c>
      <c r="D122" t="s">
        <v>193</v>
      </c>
      <c r="E122" t="s">
        <v>1354</v>
      </c>
    </row>
    <row r="123" spans="1:5" x14ac:dyDescent="0.3">
      <c r="A123" t="s">
        <v>1460</v>
      </c>
      <c r="B123" t="s">
        <v>1460</v>
      </c>
      <c r="C123" t="s">
        <v>10</v>
      </c>
      <c r="D123" t="s">
        <v>193</v>
      </c>
      <c r="E123" t="s">
        <v>1355</v>
      </c>
    </row>
    <row r="124" spans="1:5" x14ac:dyDescent="0.3">
      <c r="A124" t="s">
        <v>1461</v>
      </c>
      <c r="B124" t="s">
        <v>1461</v>
      </c>
      <c r="C124" t="s">
        <v>10</v>
      </c>
      <c r="D124" t="s">
        <v>193</v>
      </c>
      <c r="E124" t="s">
        <v>1356</v>
      </c>
    </row>
    <row r="125" spans="1:5" x14ac:dyDescent="0.3">
      <c r="A125" t="s">
        <v>1462</v>
      </c>
      <c r="B125" t="s">
        <v>1462</v>
      </c>
      <c r="C125" t="s">
        <v>10</v>
      </c>
      <c r="D125" t="s">
        <v>193</v>
      </c>
      <c r="E125" t="s">
        <v>1357</v>
      </c>
    </row>
    <row r="126" spans="1:5" x14ac:dyDescent="0.3">
      <c r="A126" t="s">
        <v>1463</v>
      </c>
      <c r="B126" t="s">
        <v>1463</v>
      </c>
      <c r="C126" t="s">
        <v>10</v>
      </c>
      <c r="D126" t="s">
        <v>193</v>
      </c>
      <c r="E126" t="s">
        <v>1358</v>
      </c>
    </row>
    <row r="127" spans="1:5" x14ac:dyDescent="0.3">
      <c r="A127" t="s">
        <v>1464</v>
      </c>
      <c r="B127" t="s">
        <v>1464</v>
      </c>
      <c r="C127" t="s">
        <v>10</v>
      </c>
      <c r="D127" t="s">
        <v>193</v>
      </c>
      <c r="E127" t="s">
        <v>1359</v>
      </c>
    </row>
    <row r="128" spans="1:5" x14ac:dyDescent="0.3">
      <c r="A128" t="s">
        <v>1465</v>
      </c>
      <c r="B128" t="s">
        <v>1465</v>
      </c>
      <c r="C128" t="s">
        <v>10</v>
      </c>
      <c r="D128" t="s">
        <v>193</v>
      </c>
      <c r="E128" t="s">
        <v>1360</v>
      </c>
    </row>
    <row r="129" spans="1:5" x14ac:dyDescent="0.3">
      <c r="A129" t="s">
        <v>1466</v>
      </c>
      <c r="B129" t="s">
        <v>1466</v>
      </c>
      <c r="C129" t="s">
        <v>10</v>
      </c>
      <c r="D129" t="s">
        <v>193</v>
      </c>
      <c r="E129" t="s">
        <v>1361</v>
      </c>
    </row>
    <row r="130" spans="1:5" x14ac:dyDescent="0.3">
      <c r="A130" t="s">
        <v>1467</v>
      </c>
      <c r="B130" t="s">
        <v>1467</v>
      </c>
      <c r="C130" t="s">
        <v>10</v>
      </c>
      <c r="D130" t="s">
        <v>193</v>
      </c>
      <c r="E130" t="s">
        <v>1362</v>
      </c>
    </row>
    <row r="131" spans="1:5" x14ac:dyDescent="0.3">
      <c r="A131" t="s">
        <v>1468</v>
      </c>
      <c r="B131" t="s">
        <v>1468</v>
      </c>
      <c r="C131" t="s">
        <v>10</v>
      </c>
      <c r="D131" t="s">
        <v>193</v>
      </c>
      <c r="E131" t="s">
        <v>1363</v>
      </c>
    </row>
    <row r="132" spans="1:5" x14ac:dyDescent="0.3">
      <c r="A132" t="s">
        <v>1469</v>
      </c>
      <c r="B132" t="s">
        <v>1469</v>
      </c>
      <c r="C132" t="s">
        <v>10</v>
      </c>
      <c r="D132" t="s">
        <v>193</v>
      </c>
      <c r="E132" t="s">
        <v>1364</v>
      </c>
    </row>
    <row r="133" spans="1:5" x14ac:dyDescent="0.3">
      <c r="A133" t="s">
        <v>1470</v>
      </c>
      <c r="B133" t="s">
        <v>1470</v>
      </c>
      <c r="C133" t="s">
        <v>10</v>
      </c>
      <c r="D133" t="s">
        <v>193</v>
      </c>
      <c r="E133" t="s">
        <v>1365</v>
      </c>
    </row>
    <row r="134" spans="1:5" x14ac:dyDescent="0.3">
      <c r="A134" t="s">
        <v>1471</v>
      </c>
      <c r="B134" t="s">
        <v>1471</v>
      </c>
      <c r="C134" t="s">
        <v>10</v>
      </c>
      <c r="D134" t="s">
        <v>193</v>
      </c>
      <c r="E134" t="s">
        <v>1366</v>
      </c>
    </row>
    <row r="135" spans="1:5" x14ac:dyDescent="0.3">
      <c r="A135" t="s">
        <v>1472</v>
      </c>
      <c r="B135" t="s">
        <v>1472</v>
      </c>
      <c r="C135" t="s">
        <v>10</v>
      </c>
      <c r="D135" t="s">
        <v>193</v>
      </c>
      <c r="E135" t="s">
        <v>1367</v>
      </c>
    </row>
    <row r="136" spans="1:5" x14ac:dyDescent="0.3">
      <c r="A136" t="s">
        <v>1473</v>
      </c>
      <c r="B136" t="s">
        <v>1473</v>
      </c>
      <c r="C136" t="s">
        <v>10</v>
      </c>
      <c r="D136" t="s">
        <v>193</v>
      </c>
      <c r="E136" t="s">
        <v>1368</v>
      </c>
    </row>
    <row r="137" spans="1:5" x14ac:dyDescent="0.3">
      <c r="A137" t="s">
        <v>1474</v>
      </c>
      <c r="B137" t="s">
        <v>1474</v>
      </c>
      <c r="C137" t="s">
        <v>10</v>
      </c>
      <c r="D137" t="s">
        <v>193</v>
      </c>
      <c r="E137" t="s">
        <v>1369</v>
      </c>
    </row>
    <row r="138" spans="1:5" x14ac:dyDescent="0.3">
      <c r="A138" t="s">
        <v>1475</v>
      </c>
      <c r="B138" t="s">
        <v>1475</v>
      </c>
      <c r="C138" t="s">
        <v>10</v>
      </c>
      <c r="D138" t="s">
        <v>193</v>
      </c>
      <c r="E138" t="s">
        <v>1370</v>
      </c>
    </row>
    <row r="139" spans="1:5" x14ac:dyDescent="0.3">
      <c r="A139" t="s">
        <v>1476</v>
      </c>
      <c r="B139" t="s">
        <v>1476</v>
      </c>
      <c r="C139" t="s">
        <v>10</v>
      </c>
      <c r="D139" t="s">
        <v>193</v>
      </c>
      <c r="E139" t="s">
        <v>1371</v>
      </c>
    </row>
    <row r="140" spans="1:5" x14ac:dyDescent="0.3">
      <c r="A140" t="s">
        <v>1477</v>
      </c>
      <c r="B140" t="s">
        <v>1477</v>
      </c>
      <c r="C140" t="s">
        <v>10</v>
      </c>
      <c r="D140" t="s">
        <v>193</v>
      </c>
      <c r="E140" t="s">
        <v>1372</v>
      </c>
    </row>
    <row r="141" spans="1:5" x14ac:dyDescent="0.3">
      <c r="A141" t="s">
        <v>1478</v>
      </c>
      <c r="B141" t="s">
        <v>1478</v>
      </c>
      <c r="C141" t="s">
        <v>10</v>
      </c>
      <c r="D141" t="s">
        <v>193</v>
      </c>
      <c r="E141" t="s">
        <v>1373</v>
      </c>
    </row>
    <row r="142" spans="1:5" x14ac:dyDescent="0.3">
      <c r="A142" t="s">
        <v>1479</v>
      </c>
      <c r="B142" t="s">
        <v>1479</v>
      </c>
      <c r="C142" t="s">
        <v>10</v>
      </c>
      <c r="D142" t="s">
        <v>193</v>
      </c>
      <c r="E142" t="s">
        <v>1374</v>
      </c>
    </row>
    <row r="143" spans="1:5" x14ac:dyDescent="0.3">
      <c r="A143" t="s">
        <v>1480</v>
      </c>
      <c r="B143" t="s">
        <v>1480</v>
      </c>
      <c r="C143" t="s">
        <v>10</v>
      </c>
      <c r="D143" t="s">
        <v>193</v>
      </c>
      <c r="E143" t="s">
        <v>1375</v>
      </c>
    </row>
    <row r="144" spans="1:5" x14ac:dyDescent="0.3">
      <c r="A144" t="s">
        <v>1481</v>
      </c>
      <c r="B144" t="s">
        <v>1481</v>
      </c>
      <c r="C144" t="s">
        <v>10</v>
      </c>
      <c r="D144" t="s">
        <v>193</v>
      </c>
      <c r="E144" t="s">
        <v>1376</v>
      </c>
    </row>
    <row r="145" spans="1:5" x14ac:dyDescent="0.3">
      <c r="A145" t="s">
        <v>1482</v>
      </c>
      <c r="B145" t="s">
        <v>1482</v>
      </c>
      <c r="C145" t="s">
        <v>10</v>
      </c>
      <c r="D145" t="s">
        <v>193</v>
      </c>
      <c r="E145" t="s">
        <v>1377</v>
      </c>
    </row>
    <row r="146" spans="1:5" x14ac:dyDescent="0.3">
      <c r="A146" t="s">
        <v>1483</v>
      </c>
      <c r="B146" t="s">
        <v>1483</v>
      </c>
      <c r="C146" t="s">
        <v>10</v>
      </c>
      <c r="D146" t="s">
        <v>193</v>
      </c>
      <c r="E146" t="s">
        <v>1378</v>
      </c>
    </row>
    <row r="147" spans="1:5" x14ac:dyDescent="0.3">
      <c r="A147" t="s">
        <v>1484</v>
      </c>
      <c r="B147" t="s">
        <v>1484</v>
      </c>
      <c r="C147" t="s">
        <v>10</v>
      </c>
      <c r="D147" t="s">
        <v>193</v>
      </c>
      <c r="E147" t="s">
        <v>1379</v>
      </c>
    </row>
    <row r="148" spans="1:5" x14ac:dyDescent="0.3">
      <c r="A148" t="s">
        <v>1485</v>
      </c>
      <c r="B148" t="s">
        <v>1485</v>
      </c>
      <c r="C148" t="s">
        <v>10</v>
      </c>
      <c r="D148" t="s">
        <v>193</v>
      </c>
      <c r="E148" t="s">
        <v>1380</v>
      </c>
    </row>
    <row r="149" spans="1:5" x14ac:dyDescent="0.3">
      <c r="A149" t="s">
        <v>1486</v>
      </c>
      <c r="B149" t="s">
        <v>1486</v>
      </c>
      <c r="C149" t="s">
        <v>10</v>
      </c>
      <c r="D149" t="s">
        <v>193</v>
      </c>
      <c r="E149" t="s">
        <v>1381</v>
      </c>
    </row>
    <row r="150" spans="1:5" x14ac:dyDescent="0.3">
      <c r="A150" t="s">
        <v>1487</v>
      </c>
      <c r="B150" t="s">
        <v>1487</v>
      </c>
      <c r="C150" t="s">
        <v>10</v>
      </c>
      <c r="D150" t="s">
        <v>193</v>
      </c>
      <c r="E150" t="s">
        <v>1382</v>
      </c>
    </row>
    <row r="151" spans="1:5" x14ac:dyDescent="0.3">
      <c r="A151" t="s">
        <v>1488</v>
      </c>
      <c r="B151" t="s">
        <v>1488</v>
      </c>
      <c r="C151" t="s">
        <v>10</v>
      </c>
      <c r="D151" t="s">
        <v>193</v>
      </c>
      <c r="E151" t="s">
        <v>1383</v>
      </c>
    </row>
    <row r="152" spans="1:5" x14ac:dyDescent="0.3">
      <c r="A152" t="s">
        <v>1489</v>
      </c>
      <c r="B152" t="s">
        <v>1489</v>
      </c>
      <c r="C152" t="s">
        <v>10</v>
      </c>
      <c r="D152" t="s">
        <v>193</v>
      </c>
      <c r="E152" t="s">
        <v>1384</v>
      </c>
    </row>
    <row r="153" spans="1:5" x14ac:dyDescent="0.3">
      <c r="A153" t="s">
        <v>1490</v>
      </c>
      <c r="B153" t="s">
        <v>1490</v>
      </c>
      <c r="C153" t="s">
        <v>10</v>
      </c>
      <c r="D153" t="s">
        <v>193</v>
      </c>
      <c r="E153" t="s">
        <v>1385</v>
      </c>
    </row>
    <row r="154" spans="1:5" x14ac:dyDescent="0.3">
      <c r="A154" t="s">
        <v>1491</v>
      </c>
      <c r="B154" t="s">
        <v>1491</v>
      </c>
      <c r="C154" t="s">
        <v>10</v>
      </c>
      <c r="D154" t="s">
        <v>193</v>
      </c>
      <c r="E154" t="s">
        <v>1386</v>
      </c>
    </row>
    <row r="155" spans="1:5" x14ac:dyDescent="0.3">
      <c r="A155" t="s">
        <v>1492</v>
      </c>
      <c r="B155" t="s">
        <v>1492</v>
      </c>
      <c r="C155" t="s">
        <v>10</v>
      </c>
      <c r="D155" t="s">
        <v>193</v>
      </c>
      <c r="E155" t="s">
        <v>1387</v>
      </c>
    </row>
    <row r="156" spans="1:5" x14ac:dyDescent="0.3">
      <c r="A156" t="s">
        <v>1493</v>
      </c>
      <c r="B156" t="s">
        <v>1493</v>
      </c>
      <c r="C156" t="s">
        <v>10</v>
      </c>
      <c r="D156" t="s">
        <v>193</v>
      </c>
      <c r="E156" t="s">
        <v>1388</v>
      </c>
    </row>
    <row r="157" spans="1:5" x14ac:dyDescent="0.3">
      <c r="A157" t="s">
        <v>1494</v>
      </c>
      <c r="B157" t="s">
        <v>1494</v>
      </c>
      <c r="C157" t="s">
        <v>10</v>
      </c>
      <c r="D157" t="s">
        <v>193</v>
      </c>
      <c r="E157" t="s">
        <v>1389</v>
      </c>
    </row>
    <row r="158" spans="1:5" x14ac:dyDescent="0.3">
      <c r="A158" t="s">
        <v>1495</v>
      </c>
      <c r="B158" t="s">
        <v>1495</v>
      </c>
      <c r="C158" t="s">
        <v>10</v>
      </c>
      <c r="D158" t="s">
        <v>193</v>
      </c>
      <c r="E158" t="s">
        <v>1390</v>
      </c>
    </row>
    <row r="159" spans="1:5" x14ac:dyDescent="0.3">
      <c r="A159" t="s">
        <v>1496</v>
      </c>
      <c r="B159" t="s">
        <v>1496</v>
      </c>
      <c r="C159" t="s">
        <v>10</v>
      </c>
      <c r="D159" t="s">
        <v>193</v>
      </c>
      <c r="E159" t="s">
        <v>1391</v>
      </c>
    </row>
    <row r="160" spans="1:5" x14ac:dyDescent="0.3">
      <c r="A160" t="s">
        <v>1497</v>
      </c>
      <c r="B160" t="s">
        <v>1497</v>
      </c>
      <c r="C160" t="s">
        <v>10</v>
      </c>
      <c r="D160" t="s">
        <v>193</v>
      </c>
      <c r="E160" t="s">
        <v>1392</v>
      </c>
    </row>
    <row r="161" spans="1:5" x14ac:dyDescent="0.3">
      <c r="A161" t="s">
        <v>1498</v>
      </c>
      <c r="B161" t="s">
        <v>1498</v>
      </c>
      <c r="C161" t="s">
        <v>10</v>
      </c>
      <c r="D161" t="s">
        <v>193</v>
      </c>
      <c r="E161" t="s">
        <v>1393</v>
      </c>
    </row>
    <row r="162" spans="1:5" x14ac:dyDescent="0.3">
      <c r="A162" t="s">
        <v>1499</v>
      </c>
      <c r="B162" t="s">
        <v>1499</v>
      </c>
      <c r="C162" t="s">
        <v>10</v>
      </c>
      <c r="D162" t="s">
        <v>193</v>
      </c>
      <c r="E162" t="s">
        <v>1394</v>
      </c>
    </row>
    <row r="163" spans="1:5" x14ac:dyDescent="0.3">
      <c r="A163" t="s">
        <v>1500</v>
      </c>
      <c r="B163" t="s">
        <v>1500</v>
      </c>
      <c r="C163" t="s">
        <v>10</v>
      </c>
      <c r="D163" t="s">
        <v>193</v>
      </c>
      <c r="E163" t="s">
        <v>1395</v>
      </c>
    </row>
    <row r="164" spans="1:5" x14ac:dyDescent="0.3">
      <c r="A164" t="s">
        <v>1501</v>
      </c>
      <c r="B164" t="s">
        <v>1501</v>
      </c>
      <c r="C164" t="s">
        <v>10</v>
      </c>
      <c r="D164" t="s">
        <v>193</v>
      </c>
      <c r="E164" t="s">
        <v>1396</v>
      </c>
    </row>
    <row r="165" spans="1:5" x14ac:dyDescent="0.3">
      <c r="A165" t="s">
        <v>1502</v>
      </c>
      <c r="B165" t="s">
        <v>1502</v>
      </c>
      <c r="C165" t="s">
        <v>10</v>
      </c>
      <c r="D165" t="s">
        <v>193</v>
      </c>
      <c r="E165" t="s">
        <v>1397</v>
      </c>
    </row>
    <row r="166" spans="1:5" x14ac:dyDescent="0.3">
      <c r="A166" t="s">
        <v>1503</v>
      </c>
      <c r="B166" t="s">
        <v>1503</v>
      </c>
      <c r="C166" t="s">
        <v>10</v>
      </c>
      <c r="D166" t="s">
        <v>193</v>
      </c>
      <c r="E166" t="s">
        <v>1398</v>
      </c>
    </row>
    <row r="167" spans="1:5" x14ac:dyDescent="0.3">
      <c r="A167" t="s">
        <v>1504</v>
      </c>
      <c r="B167" t="s">
        <v>1504</v>
      </c>
      <c r="C167" t="s">
        <v>10</v>
      </c>
      <c r="D167" t="s">
        <v>193</v>
      </c>
      <c r="E167" t="s">
        <v>1399</v>
      </c>
    </row>
    <row r="168" spans="1:5" x14ac:dyDescent="0.3">
      <c r="A168" t="s">
        <v>1505</v>
      </c>
      <c r="B168" t="s">
        <v>1505</v>
      </c>
      <c r="C168" t="s">
        <v>10</v>
      </c>
      <c r="D168" t="s">
        <v>193</v>
      </c>
      <c r="E168" t="s">
        <v>1400</v>
      </c>
    </row>
    <row r="169" spans="1:5" x14ac:dyDescent="0.3">
      <c r="A169" t="s">
        <v>1506</v>
      </c>
      <c r="B169" t="s">
        <v>1506</v>
      </c>
      <c r="C169" t="s">
        <v>10</v>
      </c>
      <c r="D169" t="s">
        <v>193</v>
      </c>
      <c r="E169" t="s">
        <v>1401</v>
      </c>
    </row>
    <row r="170" spans="1:5" x14ac:dyDescent="0.3">
      <c r="A170" t="s">
        <v>1507</v>
      </c>
      <c r="B170" t="s">
        <v>1507</v>
      </c>
      <c r="C170" t="s">
        <v>10</v>
      </c>
      <c r="D170" t="s">
        <v>193</v>
      </c>
      <c r="E170" t="s">
        <v>1402</v>
      </c>
    </row>
    <row r="171" spans="1:5" x14ac:dyDescent="0.3">
      <c r="A171" t="s">
        <v>1508</v>
      </c>
      <c r="B171" t="s">
        <v>1508</v>
      </c>
      <c r="C171" t="s">
        <v>10</v>
      </c>
      <c r="D171" t="s">
        <v>193</v>
      </c>
      <c r="E171" t="s">
        <v>1403</v>
      </c>
    </row>
    <row r="172" spans="1:5" x14ac:dyDescent="0.3">
      <c r="A172" t="s">
        <v>1509</v>
      </c>
      <c r="B172" t="s">
        <v>1509</v>
      </c>
      <c r="C172" t="s">
        <v>10</v>
      </c>
      <c r="D172" t="s">
        <v>193</v>
      </c>
      <c r="E172" t="s">
        <v>1404</v>
      </c>
    </row>
    <row r="173" spans="1:5" x14ac:dyDescent="0.3">
      <c r="A173" t="s">
        <v>1510</v>
      </c>
      <c r="B173" t="s">
        <v>1510</v>
      </c>
      <c r="C173" t="s">
        <v>10</v>
      </c>
      <c r="D173" t="s">
        <v>193</v>
      </c>
      <c r="E173" t="s">
        <v>1405</v>
      </c>
    </row>
    <row r="174" spans="1:5" x14ac:dyDescent="0.3">
      <c r="A174" t="s">
        <v>1511</v>
      </c>
      <c r="B174" t="s">
        <v>1511</v>
      </c>
      <c r="C174" t="s">
        <v>10</v>
      </c>
      <c r="D174" t="s">
        <v>193</v>
      </c>
      <c r="E174" t="s">
        <v>1406</v>
      </c>
    </row>
    <row r="175" spans="1:5" x14ac:dyDescent="0.3">
      <c r="A175" t="s">
        <v>1512</v>
      </c>
      <c r="B175" t="s">
        <v>1512</v>
      </c>
      <c r="C175" t="s">
        <v>10</v>
      </c>
      <c r="D175" t="s">
        <v>193</v>
      </c>
      <c r="E175" t="s">
        <v>1407</v>
      </c>
    </row>
    <row r="176" spans="1:5" x14ac:dyDescent="0.3">
      <c r="A176" t="s">
        <v>1513</v>
      </c>
      <c r="B176" t="s">
        <v>1513</v>
      </c>
      <c r="C176" t="s">
        <v>10</v>
      </c>
      <c r="D176" t="s">
        <v>193</v>
      </c>
      <c r="E176" t="s">
        <v>1408</v>
      </c>
    </row>
    <row r="177" spans="1:5" x14ac:dyDescent="0.3">
      <c r="A177" t="s">
        <v>1514</v>
      </c>
      <c r="B177" t="s">
        <v>1514</v>
      </c>
      <c r="C177" t="s">
        <v>10</v>
      </c>
      <c r="D177" t="s">
        <v>193</v>
      </c>
      <c r="E177" t="s">
        <v>1409</v>
      </c>
    </row>
    <row r="178" spans="1:5" x14ac:dyDescent="0.3">
      <c r="A178" t="s">
        <v>1515</v>
      </c>
      <c r="B178" t="s">
        <v>1515</v>
      </c>
      <c r="C178" t="s">
        <v>10</v>
      </c>
      <c r="D178" t="s">
        <v>193</v>
      </c>
      <c r="E178" t="s">
        <v>1410</v>
      </c>
    </row>
    <row r="179" spans="1:5" x14ac:dyDescent="0.3">
      <c r="A179" t="s">
        <v>1516</v>
      </c>
      <c r="B179" t="s">
        <v>1516</v>
      </c>
      <c r="C179" t="s">
        <v>10</v>
      </c>
      <c r="D179" t="s">
        <v>193</v>
      </c>
      <c r="E179" t="s">
        <v>1411</v>
      </c>
    </row>
    <row r="180" spans="1:5" x14ac:dyDescent="0.3">
      <c r="A180" t="s">
        <v>1517</v>
      </c>
      <c r="B180" t="s">
        <v>1517</v>
      </c>
      <c r="C180" t="s">
        <v>10</v>
      </c>
      <c r="D180" t="s">
        <v>193</v>
      </c>
      <c r="E180" t="s">
        <v>1412</v>
      </c>
    </row>
    <row r="181" spans="1:5" x14ac:dyDescent="0.3">
      <c r="A181" t="s">
        <v>1518</v>
      </c>
      <c r="B181" t="s">
        <v>1518</v>
      </c>
      <c r="C181" t="s">
        <v>10</v>
      </c>
      <c r="D181" t="s">
        <v>193</v>
      </c>
      <c r="E181" t="s">
        <v>1413</v>
      </c>
    </row>
    <row r="182" spans="1:5" x14ac:dyDescent="0.3">
      <c r="A182" t="s">
        <v>1519</v>
      </c>
      <c r="B182" t="s">
        <v>1519</v>
      </c>
      <c r="C182" t="s">
        <v>10</v>
      </c>
      <c r="D182" t="s">
        <v>193</v>
      </c>
      <c r="E182" t="s">
        <v>1414</v>
      </c>
    </row>
    <row r="183" spans="1:5" x14ac:dyDescent="0.3">
      <c r="A183" t="s">
        <v>1520</v>
      </c>
      <c r="B183" t="s">
        <v>1520</v>
      </c>
      <c r="C183" t="s">
        <v>10</v>
      </c>
      <c r="D183" t="s">
        <v>193</v>
      </c>
      <c r="E183" t="s">
        <v>1415</v>
      </c>
    </row>
    <row r="184" spans="1:5" x14ac:dyDescent="0.3">
      <c r="A184" t="s">
        <v>1521</v>
      </c>
      <c r="B184" t="s">
        <v>1521</v>
      </c>
      <c r="C184" t="s">
        <v>10</v>
      </c>
      <c r="D184" t="s">
        <v>193</v>
      </c>
      <c r="E184" t="s">
        <v>1416</v>
      </c>
    </row>
    <row r="185" spans="1:5" x14ac:dyDescent="0.3">
      <c r="A185" t="s">
        <v>1522</v>
      </c>
      <c r="B185" t="s">
        <v>1522</v>
      </c>
      <c r="C185" t="s">
        <v>10</v>
      </c>
      <c r="D185" t="s">
        <v>193</v>
      </c>
      <c r="E185" t="s">
        <v>1417</v>
      </c>
    </row>
    <row r="186" spans="1:5" x14ac:dyDescent="0.3">
      <c r="A186" t="s">
        <v>1523</v>
      </c>
      <c r="B186" t="s">
        <v>1523</v>
      </c>
      <c r="C186" t="s">
        <v>10</v>
      </c>
      <c r="D186" t="s">
        <v>193</v>
      </c>
      <c r="E186" t="s">
        <v>1418</v>
      </c>
    </row>
    <row r="187" spans="1:5" x14ac:dyDescent="0.3">
      <c r="A187" t="s">
        <v>1524</v>
      </c>
      <c r="B187" t="s">
        <v>1524</v>
      </c>
      <c r="C187" t="s">
        <v>10</v>
      </c>
      <c r="D187" t="s">
        <v>193</v>
      </c>
      <c r="E187" t="s">
        <v>1419</v>
      </c>
    </row>
    <row r="188" spans="1:5" x14ac:dyDescent="0.3">
      <c r="A188" t="s">
        <v>1525</v>
      </c>
      <c r="B188" t="s">
        <v>1525</v>
      </c>
      <c r="C188" t="s">
        <v>10</v>
      </c>
      <c r="D188" t="s">
        <v>193</v>
      </c>
      <c r="E188" t="s">
        <v>1420</v>
      </c>
    </row>
    <row r="189" spans="1:5" x14ac:dyDescent="0.3">
      <c r="A189" t="s">
        <v>1526</v>
      </c>
      <c r="B189" t="s">
        <v>1526</v>
      </c>
      <c r="C189" t="s">
        <v>10</v>
      </c>
      <c r="D189" t="s">
        <v>193</v>
      </c>
      <c r="E189" t="s">
        <v>1421</v>
      </c>
    </row>
    <row r="190" spans="1:5" x14ac:dyDescent="0.3">
      <c r="A190" t="s">
        <v>1527</v>
      </c>
      <c r="B190" t="s">
        <v>1527</v>
      </c>
      <c r="C190" t="s">
        <v>10</v>
      </c>
      <c r="D190" t="s">
        <v>193</v>
      </c>
      <c r="E190" t="s">
        <v>1422</v>
      </c>
    </row>
    <row r="191" spans="1:5" x14ac:dyDescent="0.3">
      <c r="A191" t="s">
        <v>1528</v>
      </c>
      <c r="B191" t="s">
        <v>1528</v>
      </c>
      <c r="C191" t="s">
        <v>10</v>
      </c>
      <c r="D191" t="s">
        <v>193</v>
      </c>
      <c r="E191" t="s">
        <v>1423</v>
      </c>
    </row>
    <row r="192" spans="1:5" x14ac:dyDescent="0.3">
      <c r="A192" t="s">
        <v>1529</v>
      </c>
      <c r="B192" t="s">
        <v>1529</v>
      </c>
      <c r="C192" t="s">
        <v>10</v>
      </c>
      <c r="D192" t="s">
        <v>193</v>
      </c>
      <c r="E192" t="s">
        <v>1424</v>
      </c>
    </row>
    <row r="193" spans="1:5" x14ac:dyDescent="0.3">
      <c r="A193" t="s">
        <v>1530</v>
      </c>
      <c r="B193" t="s">
        <v>1530</v>
      </c>
      <c r="C193" t="s">
        <v>10</v>
      </c>
      <c r="D193" t="s">
        <v>193</v>
      </c>
      <c r="E193" t="s">
        <v>1425</v>
      </c>
    </row>
    <row r="194" spans="1:5" x14ac:dyDescent="0.3">
      <c r="A194" t="s">
        <v>1531</v>
      </c>
      <c r="B194" t="s">
        <v>1531</v>
      </c>
      <c r="C194" t="s">
        <v>10</v>
      </c>
      <c r="D194" t="s">
        <v>193</v>
      </c>
      <c r="E194" t="s">
        <v>1426</v>
      </c>
    </row>
    <row r="195" spans="1:5" x14ac:dyDescent="0.3">
      <c r="A195" t="s">
        <v>1532</v>
      </c>
      <c r="B195" t="s">
        <v>1532</v>
      </c>
      <c r="C195" t="s">
        <v>10</v>
      </c>
      <c r="D195" t="s">
        <v>193</v>
      </c>
      <c r="E195" t="s">
        <v>1427</v>
      </c>
    </row>
    <row r="196" spans="1:5" x14ac:dyDescent="0.3">
      <c r="A196" t="s">
        <v>1533</v>
      </c>
      <c r="B196" t="s">
        <v>1533</v>
      </c>
      <c r="C196" t="s">
        <v>10</v>
      </c>
      <c r="D196" t="s">
        <v>193</v>
      </c>
      <c r="E196" t="s">
        <v>1428</v>
      </c>
    </row>
    <row r="197" spans="1:5" x14ac:dyDescent="0.3">
      <c r="A197" t="s">
        <v>1534</v>
      </c>
      <c r="B197" t="s">
        <v>1534</v>
      </c>
      <c r="C197" t="s">
        <v>10</v>
      </c>
      <c r="D197" t="s">
        <v>193</v>
      </c>
      <c r="E197" t="s">
        <v>1429</v>
      </c>
    </row>
    <row r="198" spans="1:5" x14ac:dyDescent="0.3">
      <c r="A198" t="s">
        <v>1535</v>
      </c>
      <c r="B198" t="s">
        <v>1535</v>
      </c>
      <c r="C198" t="s">
        <v>10</v>
      </c>
      <c r="D198" t="s">
        <v>193</v>
      </c>
      <c r="E198" t="s">
        <v>1430</v>
      </c>
    </row>
    <row r="199" spans="1:5" x14ac:dyDescent="0.3">
      <c r="A199" t="s">
        <v>1536</v>
      </c>
      <c r="B199" t="s">
        <v>1536</v>
      </c>
      <c r="C199" t="s">
        <v>10</v>
      </c>
      <c r="D199" t="s">
        <v>193</v>
      </c>
      <c r="E199" t="s">
        <v>1431</v>
      </c>
    </row>
    <row r="200" spans="1:5" x14ac:dyDescent="0.3">
      <c r="A200" t="s">
        <v>1537</v>
      </c>
      <c r="B200" t="s">
        <v>1537</v>
      </c>
      <c r="C200" t="s">
        <v>10</v>
      </c>
      <c r="D200" t="s">
        <v>193</v>
      </c>
      <c r="E200" t="s">
        <v>1432</v>
      </c>
    </row>
    <row r="201" spans="1:5" x14ac:dyDescent="0.3">
      <c r="A201" t="s">
        <v>1538</v>
      </c>
      <c r="B201" t="s">
        <v>1538</v>
      </c>
      <c r="C201" t="s">
        <v>10</v>
      </c>
      <c r="D201" t="s">
        <v>193</v>
      </c>
      <c r="E201" t="s">
        <v>1433</v>
      </c>
    </row>
    <row r="202" spans="1:5" x14ac:dyDescent="0.3">
      <c r="A202" t="s">
        <v>1539</v>
      </c>
      <c r="B202" t="s">
        <v>1539</v>
      </c>
      <c r="C202" t="s">
        <v>10</v>
      </c>
      <c r="D202" t="s">
        <v>193</v>
      </c>
      <c r="E202" t="s">
        <v>1434</v>
      </c>
    </row>
    <row r="203" spans="1:5" x14ac:dyDescent="0.3">
      <c r="A203" t="s">
        <v>1540</v>
      </c>
      <c r="B203" t="s">
        <v>1540</v>
      </c>
      <c r="C203" t="s">
        <v>10</v>
      </c>
      <c r="D203" t="s">
        <v>193</v>
      </c>
      <c r="E203" t="s">
        <v>1435</v>
      </c>
    </row>
    <row r="204" spans="1:5" x14ac:dyDescent="0.3">
      <c r="A204" t="s">
        <v>1541</v>
      </c>
      <c r="B204" t="s">
        <v>1541</v>
      </c>
      <c r="C204" t="s">
        <v>10</v>
      </c>
      <c r="D204" t="s">
        <v>193</v>
      </c>
      <c r="E204" t="s">
        <v>1436</v>
      </c>
    </row>
    <row r="205" spans="1:5" x14ac:dyDescent="0.3">
      <c r="A205" t="s">
        <v>1542</v>
      </c>
      <c r="B205" t="s">
        <v>1542</v>
      </c>
      <c r="C205" t="s">
        <v>10</v>
      </c>
      <c r="D205" t="s">
        <v>193</v>
      </c>
      <c r="E205" t="s">
        <v>1437</v>
      </c>
    </row>
    <row r="206" spans="1:5" x14ac:dyDescent="0.3">
      <c r="A206" t="s">
        <v>1543</v>
      </c>
      <c r="B206" t="s">
        <v>1543</v>
      </c>
      <c r="C206" t="s">
        <v>10</v>
      </c>
      <c r="D206" t="s">
        <v>193</v>
      </c>
      <c r="E206" t="s">
        <v>1438</v>
      </c>
    </row>
    <row r="207" spans="1:5" x14ac:dyDescent="0.3">
      <c r="A207" t="s">
        <v>1544</v>
      </c>
      <c r="B207" t="s">
        <v>1544</v>
      </c>
      <c r="C207" t="s">
        <v>10</v>
      </c>
      <c r="D207" t="s">
        <v>193</v>
      </c>
      <c r="E207" t="s">
        <v>1439</v>
      </c>
    </row>
    <row r="208" spans="1:5" x14ac:dyDescent="0.3">
      <c r="A208" t="s">
        <v>1545</v>
      </c>
      <c r="B208" t="s">
        <v>1545</v>
      </c>
      <c r="C208" t="s">
        <v>10</v>
      </c>
      <c r="D208" t="s">
        <v>193</v>
      </c>
      <c r="E208" t="s">
        <v>1440</v>
      </c>
    </row>
    <row r="209" spans="1:5" x14ac:dyDescent="0.3">
      <c r="A209" t="s">
        <v>1546</v>
      </c>
      <c r="B209" t="s">
        <v>1546</v>
      </c>
      <c r="C209" t="s">
        <v>10</v>
      </c>
      <c r="D209" t="s">
        <v>193</v>
      </c>
      <c r="E209" t="s">
        <v>1441</v>
      </c>
    </row>
    <row r="210" spans="1:5" x14ac:dyDescent="0.3">
      <c r="A210" t="s">
        <v>1547</v>
      </c>
      <c r="B210" t="s">
        <v>1547</v>
      </c>
      <c r="C210" t="s">
        <v>10</v>
      </c>
      <c r="D210" t="s">
        <v>193</v>
      </c>
      <c r="E210" t="s">
        <v>1442</v>
      </c>
    </row>
    <row r="211" spans="1:5" x14ac:dyDescent="0.3">
      <c r="A211" t="s">
        <v>1548</v>
      </c>
      <c r="B211" t="s">
        <v>1548</v>
      </c>
      <c r="C211" t="s">
        <v>10</v>
      </c>
      <c r="D211" t="s">
        <v>193</v>
      </c>
      <c r="E211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variables</vt:lpstr>
      <vt:lpstr>old_variable_list</vt:lpstr>
      <vt:lpstr>test_items_with_Confidence</vt:lpstr>
      <vt:lpstr>test_items</vt:lpstr>
      <vt:lpstr>test questions</vt:lpstr>
      <vt:lpstr>Section</vt:lpstr>
      <vt:lpstr>vr</vt:lpstr>
      <vt:lpstr>items</vt:lpstr>
      <vt:lpstr>REMEMVR Ans and Con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Ronayne</cp:lastModifiedBy>
  <dcterms:created xsi:type="dcterms:W3CDTF">2024-04-12T00:10:51Z</dcterms:created>
  <dcterms:modified xsi:type="dcterms:W3CDTF">2024-09-12T02:58:28Z</dcterms:modified>
</cp:coreProperties>
</file>