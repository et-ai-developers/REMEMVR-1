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09"/>
  <workbookPr/>
  <mc:AlternateContent xmlns:mc="http://schemas.openxmlformats.org/markup-compatibility/2006">
    <mc:Choice Requires="x15">
      <x15ac:absPath xmlns:x15ac="http://schemas.microsoft.com/office/spreadsheetml/2010/11/ac" url="https://d.docs.live.net/1a537fde18f1f228/AI/Projects/REMEMVR/cogtests/"/>
    </mc:Choice>
  </mc:AlternateContent>
  <xr:revisionPtr revIDLastSave="176" documentId="11_1CECB4FF6C5CDD8A98D41ECE6BF6E7A7499CB7E5" xr6:coauthVersionLast="47" xr6:coauthVersionMax="47" xr10:uidLastSave="{868351AC-B5C6-49E3-BB24-0BA7DF9D4EB3}"/>
  <bookViews>
    <workbookView xWindow="-120" yWindow="-120" windowWidth="38640" windowHeight="21120" activeTab="2" xr2:uid="{00000000-000D-0000-FFFF-FFFF00000000}"/>
  </bookViews>
  <sheets>
    <sheet name="norms" sheetId="1" r:id="rId1"/>
    <sheet name="data" sheetId="2" r:id="rId2"/>
    <sheet name="analysis" sheetId="6" r:id="rId3"/>
    <sheet name="norms_full" sheetId="5" r:id="rId4"/>
    <sheet name="raw" sheetId="3" r:id="rId5"/>
    <sheet name="formula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6" i="4" l="1"/>
  <c r="W26" i="4"/>
  <c r="V26" i="4"/>
  <c r="U26" i="4"/>
  <c r="T26" i="4"/>
  <c r="S26" i="4"/>
  <c r="M26" i="4"/>
  <c r="L26" i="4"/>
  <c r="K26" i="4"/>
  <c r="J26" i="4"/>
  <c r="I26" i="4"/>
  <c r="G26" i="4"/>
  <c r="F26" i="4"/>
  <c r="E26" i="4"/>
  <c r="X25" i="4"/>
  <c r="W25" i="4"/>
  <c r="V25" i="4"/>
  <c r="U25" i="4"/>
  <c r="T25" i="4"/>
  <c r="S25" i="4"/>
  <c r="M25" i="4"/>
  <c r="L25" i="4"/>
  <c r="K25" i="4"/>
  <c r="J25" i="4"/>
  <c r="I25" i="4"/>
  <c r="G25" i="4"/>
  <c r="F25" i="4"/>
  <c r="E25" i="4"/>
  <c r="X24" i="4"/>
  <c r="W24" i="4"/>
  <c r="V24" i="4"/>
  <c r="U24" i="4"/>
  <c r="T24" i="4"/>
  <c r="S24" i="4"/>
  <c r="M24" i="4"/>
  <c r="L24" i="4"/>
  <c r="K24" i="4"/>
  <c r="J24" i="4"/>
  <c r="I24" i="4"/>
  <c r="G24" i="4"/>
  <c r="F24" i="4"/>
  <c r="E24" i="4"/>
  <c r="X23" i="4"/>
  <c r="W23" i="4"/>
  <c r="V23" i="4"/>
  <c r="U23" i="4"/>
  <c r="T23" i="4"/>
  <c r="S23" i="4"/>
  <c r="M23" i="4"/>
  <c r="L23" i="4"/>
  <c r="K23" i="4"/>
  <c r="J23" i="4"/>
  <c r="I23" i="4"/>
  <c r="G23" i="4"/>
  <c r="F23" i="4"/>
  <c r="E23" i="4"/>
  <c r="X22" i="4"/>
  <c r="W22" i="4"/>
  <c r="V22" i="4"/>
  <c r="U22" i="4"/>
  <c r="T22" i="4"/>
  <c r="S22" i="4"/>
  <c r="M22" i="4"/>
  <c r="L22" i="4"/>
  <c r="K22" i="4"/>
  <c r="J22" i="4"/>
  <c r="I22" i="4"/>
  <c r="G22" i="4"/>
  <c r="F22" i="4"/>
  <c r="E22" i="4"/>
  <c r="X21" i="4"/>
  <c r="W21" i="4"/>
  <c r="V21" i="4"/>
  <c r="U21" i="4"/>
  <c r="T21" i="4"/>
  <c r="S21" i="4"/>
  <c r="M21" i="4"/>
  <c r="L21" i="4"/>
  <c r="K21" i="4"/>
  <c r="J21" i="4"/>
  <c r="I21" i="4"/>
  <c r="G21" i="4"/>
  <c r="F21" i="4"/>
  <c r="E21" i="4"/>
  <c r="X20" i="4"/>
  <c r="W20" i="4"/>
  <c r="V20" i="4"/>
  <c r="U20" i="4"/>
  <c r="T20" i="4"/>
  <c r="S20" i="4"/>
  <c r="M20" i="4"/>
  <c r="L20" i="4"/>
  <c r="K20" i="4"/>
  <c r="J20" i="4"/>
  <c r="I20" i="4"/>
  <c r="G20" i="4"/>
  <c r="F20" i="4"/>
  <c r="E20" i="4"/>
  <c r="X18" i="4"/>
  <c r="W18" i="4"/>
  <c r="V18" i="4"/>
  <c r="U18" i="4"/>
  <c r="T18" i="4"/>
  <c r="S18" i="4"/>
  <c r="M18" i="4"/>
  <c r="L18" i="4"/>
  <c r="K18" i="4"/>
  <c r="J18" i="4"/>
  <c r="I18" i="4"/>
  <c r="G18" i="4"/>
  <c r="F18" i="4"/>
  <c r="E18" i="4"/>
  <c r="X17" i="4"/>
  <c r="W17" i="4"/>
  <c r="V17" i="4"/>
  <c r="U17" i="4"/>
  <c r="T17" i="4"/>
  <c r="S17" i="4"/>
  <c r="M17" i="4"/>
  <c r="L17" i="4"/>
  <c r="K17" i="4"/>
  <c r="J17" i="4"/>
  <c r="I17" i="4"/>
  <c r="G17" i="4"/>
  <c r="F17" i="4"/>
  <c r="E17" i="4"/>
  <c r="X16" i="4"/>
  <c r="W16" i="4"/>
  <c r="V16" i="4"/>
  <c r="U16" i="4"/>
  <c r="T16" i="4"/>
  <c r="S16" i="4"/>
  <c r="M16" i="4"/>
  <c r="L16" i="4"/>
  <c r="K16" i="4"/>
  <c r="J16" i="4"/>
  <c r="I16" i="4"/>
  <c r="G16" i="4"/>
  <c r="F16" i="4"/>
  <c r="E16" i="4"/>
  <c r="X15" i="4"/>
  <c r="W15" i="4"/>
  <c r="V15" i="4"/>
  <c r="U15" i="4"/>
  <c r="T15" i="4"/>
  <c r="S15" i="4"/>
  <c r="M15" i="4"/>
  <c r="L15" i="4"/>
  <c r="K15" i="4"/>
  <c r="J15" i="4"/>
  <c r="I15" i="4"/>
  <c r="G15" i="4"/>
  <c r="F15" i="4"/>
  <c r="E15" i="4"/>
  <c r="X14" i="4"/>
  <c r="W14" i="4"/>
  <c r="V14" i="4"/>
  <c r="U14" i="4"/>
  <c r="T14" i="4"/>
  <c r="S14" i="4"/>
  <c r="M14" i="4"/>
  <c r="L14" i="4"/>
  <c r="K14" i="4"/>
  <c r="J14" i="4"/>
  <c r="I14" i="4"/>
  <c r="G14" i="4"/>
  <c r="F14" i="4"/>
  <c r="E14" i="4"/>
  <c r="X13" i="4"/>
  <c r="W13" i="4"/>
  <c r="V13" i="4"/>
  <c r="U13" i="4"/>
  <c r="T13" i="4"/>
  <c r="S13" i="4"/>
  <c r="M13" i="4"/>
  <c r="L13" i="4"/>
  <c r="K13" i="4"/>
  <c r="J13" i="4"/>
  <c r="I13" i="4"/>
  <c r="G13" i="4"/>
  <c r="F13" i="4"/>
  <c r="E13" i="4"/>
  <c r="X12" i="4"/>
  <c r="W12" i="4"/>
  <c r="V12" i="4"/>
  <c r="U12" i="4"/>
  <c r="T12" i="4"/>
  <c r="S12" i="4"/>
  <c r="M12" i="4"/>
  <c r="L12" i="4"/>
  <c r="K12" i="4"/>
  <c r="J12" i="4"/>
  <c r="I12" i="4"/>
  <c r="G12" i="4"/>
  <c r="F12" i="4"/>
  <c r="E12" i="4"/>
</calcChain>
</file>

<file path=xl/sharedStrings.xml><?xml version="1.0" encoding="utf-8"?>
<sst xmlns="http://schemas.openxmlformats.org/spreadsheetml/2006/main" count="499" uniqueCount="234">
  <si>
    <t xml:space="preserve">  30-Min Recall</t>
  </si>
  <si>
    <t xml:space="preserve">  Sum of Trials</t>
  </si>
  <si>
    <t xml:space="preserve">  Recognition PC</t>
  </si>
  <si>
    <t>Secondary</t>
  </si>
  <si>
    <t xml:space="preserve">  Trial 1</t>
  </si>
  <si>
    <t xml:space="preserve">  Trial 2</t>
  </si>
  <si>
    <t xml:space="preserve">  Trial 3</t>
  </si>
  <si>
    <t xml:space="preserve">  Trial 4</t>
  </si>
  <si>
    <t xml:space="preserve">  Trial 5</t>
  </si>
  <si>
    <t xml:space="preserve">  1-3 Total</t>
  </si>
  <si>
    <t xml:space="preserve">  Interference trial</t>
  </si>
  <si>
    <t xml:space="preserve">  Trial 6</t>
  </si>
  <si>
    <t xml:space="preserve">  Short Term % Retention</t>
  </si>
  <si>
    <t xml:space="preserve">  Long Term % Retention </t>
  </si>
  <si>
    <t xml:space="preserve">  Memory Efficiency Score</t>
  </si>
  <si>
    <t>11.1 (3.2)</t>
  </si>
  <si>
    <t>74.9 (14.0)</t>
  </si>
  <si>
    <t>93.6 (8.1)</t>
  </si>
  <si>
    <t>6.5 (1.7)</t>
  </si>
  <si>
    <t>9.5 (2.2)</t>
  </si>
  <si>
    <t>11.4 (2.2)</t>
  </si>
  <si>
    <t>12.3 (2.2)</t>
  </si>
  <si>
    <t>12.8 (2.1)</t>
  </si>
  <si>
    <t>27.4 (5.4)</t>
  </si>
  <si>
    <t>5.9 (1.9)</t>
  </si>
  <si>
    <t>11.3 (2.9)</t>
  </si>
  <si>
    <t>86.6 (14.2)</t>
  </si>
  <si>
    <t>84.9 (16.7)</t>
  </si>
  <si>
    <t>1.92 (0.34)</t>
  </si>
  <si>
    <t>10.3 (3.0)</t>
  </si>
  <si>
    <t>71.0 (12.7)</t>
  </si>
  <si>
    <t>92.5 (8.5)</t>
  </si>
  <si>
    <t>6.1 (1.6)</t>
  </si>
  <si>
    <t>9.1 (2.1)</t>
  </si>
  <si>
    <t>10.8 (2.0)</t>
  </si>
  <si>
    <t>11.8 (2.0)</t>
  </si>
  <si>
    <t>12.3 (2.0)</t>
  </si>
  <si>
    <t>25.9 (4.9)</t>
  </si>
  <si>
    <t>5.6 (1.6)</t>
  </si>
  <si>
    <t>10.6 (2.7)</t>
  </si>
  <si>
    <t>84.8 (13.6)</t>
  </si>
  <si>
    <t>82.3 (16.7)</t>
  </si>
  <si>
    <t>1.87 (0.33)</t>
  </si>
  <si>
    <t>9.6 (3.3)</t>
  </si>
  <si>
    <t>67.8 (14.0)</t>
  </si>
  <si>
    <t>92.1 (8.3)</t>
  </si>
  <si>
    <t>5.7 (1.5)</t>
  </si>
  <si>
    <t>8.6 (2.0)</t>
  </si>
  <si>
    <t>10.3 (2.3)</t>
  </si>
  <si>
    <t>11.5 (2.3)</t>
  </si>
  <si>
    <t>12.0 (2.2)</t>
  </si>
  <si>
    <t>24.7 (5.1)</t>
  </si>
  <si>
    <t>5.3 (1.6)</t>
  </si>
  <si>
    <t>9.9 (3.0)</t>
  </si>
  <si>
    <t>81.3 (16.3)</t>
  </si>
  <si>
    <t>78.5 (18.9)</t>
  </si>
  <si>
    <t>1.82 (0.36)</t>
  </si>
  <si>
    <t>8.8 (3.2)</t>
  </si>
  <si>
    <t>63.6 (13.5)</t>
  </si>
  <si>
    <t>90.9 (8.8)</t>
  </si>
  <si>
    <t>5.5 (1.5)</t>
  </si>
  <si>
    <t>8.1 (1.9)</t>
  </si>
  <si>
    <t>9.8 (2.2)</t>
  </si>
  <si>
    <t>10.8 (2.3)</t>
  </si>
  <si>
    <t>23.4 (4.7)</t>
  </si>
  <si>
    <t>5.0 (1.6)</t>
  </si>
  <si>
    <t>9.2 (2.9)</t>
  </si>
  <si>
    <t>78.9 (17.0)</t>
  </si>
  <si>
    <t>75.1 (20.7)</t>
  </si>
  <si>
    <t>1.76 (0.39)</t>
  </si>
  <si>
    <t>7.2 (3.3)</t>
  </si>
  <si>
    <t>54.3 (13.9)</t>
  </si>
  <si>
    <t>88.5 (9.8)</t>
  </si>
  <si>
    <t>4.9 (1.4)</t>
  </si>
  <si>
    <t>7.0 (1.9)</t>
  </si>
  <si>
    <t>8.4 (2.2)</t>
  </si>
  <si>
    <t>9.3 (2.3)</t>
  </si>
  <si>
    <t>9.9 (2.4)</t>
  </si>
  <si>
    <t>20.3 (4.7)</t>
  </si>
  <si>
    <t>4.1 (1.6)</t>
  </si>
  <si>
    <t>7.6 (3.1)</t>
  </si>
  <si>
    <t>74.4 (21.3)</t>
  </si>
  <si>
    <t>69.7 (23.5)</t>
  </si>
  <si>
    <t>1.65 (0.45)</t>
  </si>
  <si>
    <t>6.1 (3.2)</t>
  </si>
  <si>
    <t>48.0 (13.1)</t>
  </si>
  <si>
    <t>86.6 (10.2)</t>
  </si>
  <si>
    <t>4.4 (1.4)</t>
  </si>
  <si>
    <t>6.2 (1.7)</t>
  </si>
  <si>
    <t>7.4 (2.1)</t>
  </si>
  <si>
    <t>8.3 (2.2)</t>
  </si>
  <si>
    <t>8.9 (2.4)</t>
  </si>
  <si>
    <t>18.0 (4.4)</t>
  </si>
  <si>
    <t>3.4 (1.4)</t>
  </si>
  <si>
    <t>6.5 (3.0)</t>
  </si>
  <si>
    <t>70.9 (23.9)</t>
  </si>
  <si>
    <t>65.4 (27.0)</t>
  </si>
  <si>
    <t>1.56 (0.49)</t>
  </si>
  <si>
    <t>8.0 (3.5)</t>
  </si>
  <si>
    <t>58.7 (15.9)</t>
  </si>
  <si>
    <t>89.6 (9.6)</t>
  </si>
  <si>
    <t>5.2 (1.6)</t>
  </si>
  <si>
    <t>7.5 (2.1)</t>
  </si>
  <si>
    <t>9.0 (2.5)</t>
  </si>
  <si>
    <t>10.0 (2.6)</t>
  </si>
  <si>
    <t>10.6 (2.6)</t>
  </si>
  <si>
    <t>21.7 (5.5)</t>
  </si>
  <si>
    <t>4.5 (1.7)</t>
  </si>
  <si>
    <t>8.4 (3.3)</t>
  </si>
  <si>
    <t>76.7 (20.2)</t>
  </si>
  <si>
    <t>72.6 (23.2)</t>
  </si>
  <si>
    <t>1.71 (0.44)</t>
  </si>
  <si>
    <t>30-39</t>
  </si>
  <si>
    <t>40-49</t>
  </si>
  <si>
    <t>50-59</t>
  </si>
  <si>
    <t>60-69</t>
  </si>
  <si>
    <t>70-79</t>
  </si>
  <si>
    <t>80-91</t>
  </si>
  <si>
    <t>Total</t>
  </si>
  <si>
    <t>(N=214)</t>
  </si>
  <si>
    <t>(N=210)</t>
  </si>
  <si>
    <t>(N=610)</t>
  </si>
  <si>
    <t>(N=916)</t>
  </si>
  <si>
    <t>(N=1655)</t>
  </si>
  <si>
    <t>(N=804)</t>
  </si>
  <si>
    <t>(N=4428)</t>
  </si>
  <si>
    <t>Age, years</t>
  </si>
  <si>
    <t>35.4 (2.6)</t>
  </si>
  <si>
    <t>44.9 (2.9)</t>
  </si>
  <si>
    <t>54.9 (2.7)</t>
  </si>
  <si>
    <t>65.0 (2.8)</t>
  </si>
  <si>
    <t>74.5 (2.6)</t>
  </si>
  <si>
    <t>83.8 (2.8)</t>
  </si>
  <si>
    <t>68.3 (13.1)</t>
  </si>
  <si>
    <t>Sex (Male)</t>
  </si>
  <si>
    <t>110 (51.4%)</t>
  </si>
  <si>
    <t>113 (53.8%)</t>
  </si>
  <si>
    <t>311 (51.0%)</t>
  </si>
  <si>
    <t>449 (49.0%)</t>
  </si>
  <si>
    <t>840 (50.8%)</t>
  </si>
  <si>
    <t>388 (47.1%)</t>
  </si>
  <si>
    <t>2211 (49.9%)</t>
  </si>
  <si>
    <t>Education, years</t>
  </si>
  <si>
    <t>15.8 (2.0)</t>
  </si>
  <si>
    <t>15.7 (2.2)</t>
  </si>
  <si>
    <t>15.2 (2.2)</t>
  </si>
  <si>
    <t>15.1 (2.3)</t>
  </si>
  <si>
    <t>14.4 (2.6)</t>
  </si>
  <si>
    <t>13.9 (2.9)</t>
  </si>
  <si>
    <t>14.7 (2.6)</t>
  </si>
  <si>
    <t>White</t>
  </si>
  <si>
    <t>200 (93.5%)</t>
  </si>
  <si>
    <t>194 (92.4%)</t>
  </si>
  <si>
    <t>592 (97.0%)</t>
  </si>
  <si>
    <t>894 (97.6%)</t>
  </si>
  <si>
    <t>1637 (98.9%)</t>
  </si>
  <si>
    <t>816 (99.1%)</t>
  </si>
  <si>
    <t>4333 (97.9%)</t>
  </si>
  <si>
    <t>AVLT</t>
  </si>
  <si>
    <t>Primary</t>
  </si>
  <si>
    <t xml:space="preserve">  1-5 Total</t>
  </si>
  <si>
    <t>52.4 (8.6)</t>
  </si>
  <si>
    <t>50.0 (8.0)</t>
  </si>
  <si>
    <t>48.2 (8.7)</t>
  </si>
  <si>
    <t>45.6 (8.4)</t>
  </si>
  <si>
    <t>39.5 (8.7)</t>
  </si>
  <si>
    <t>35.3 (8.2)</t>
  </si>
  <si>
    <t>42.3 (10.0)</t>
  </si>
  <si>
    <t>age_group</t>
  </si>
  <si>
    <t>age_low</t>
  </si>
  <si>
    <t>age_high</t>
  </si>
  <si>
    <t>n</t>
  </si>
  <si>
    <t>age_m</t>
  </si>
  <si>
    <t>age_sd</t>
  </si>
  <si>
    <t>percent_male</t>
  </si>
  <si>
    <t>education_m</t>
  </si>
  <si>
    <t>education_sd</t>
  </si>
  <si>
    <t>t12345_m</t>
  </si>
  <si>
    <t>t12345_sd</t>
  </si>
  <si>
    <t>t8_m</t>
  </si>
  <si>
    <t>t8_sd</t>
  </si>
  <si>
    <t>t1234578_m</t>
  </si>
  <si>
    <t>t1234578_sd</t>
  </si>
  <si>
    <t>percent_recog_m</t>
  </si>
  <si>
    <t>percent_recog_sd</t>
  </si>
  <si>
    <t>t1_m</t>
  </si>
  <si>
    <t>t1_sd</t>
  </si>
  <si>
    <t>t2_m</t>
  </si>
  <si>
    <t>t2_sd</t>
  </si>
  <si>
    <t>t3_m</t>
  </si>
  <si>
    <t>t3_sd</t>
  </si>
  <si>
    <t>t4_m</t>
  </si>
  <si>
    <t>t4_sd</t>
  </si>
  <si>
    <t>t5_m</t>
  </si>
  <si>
    <t>t5_sd</t>
  </si>
  <si>
    <t>t123_m</t>
  </si>
  <si>
    <t>t123_sd</t>
  </si>
  <si>
    <t>t6_m</t>
  </si>
  <si>
    <t>t6_sd</t>
  </si>
  <si>
    <t>t7_m</t>
  </si>
  <si>
    <t>t7_sd</t>
  </si>
  <si>
    <t>short_term_retention_percentage_m</t>
  </si>
  <si>
    <t>short_term_retention_percentage_sd</t>
  </si>
  <si>
    <t>long_term_retention_percentage_m</t>
  </si>
  <si>
    <t>long_term_retention_percentage_sd</t>
  </si>
  <si>
    <t>memory_efficiency_score_m</t>
  </si>
  <si>
    <t>memory_efficiency_score_sd</t>
  </si>
  <si>
    <t xml:space="preserve"> age </t>
  </si>
  <si>
    <t xml:space="preserve"> education </t>
  </si>
  <si>
    <t xml:space="preserve"> t12345 </t>
  </si>
  <si>
    <t xml:space="preserve"> t8 </t>
  </si>
  <si>
    <t xml:space="preserve"> t1234578 </t>
  </si>
  <si>
    <t xml:space="preserve"> percent_recog </t>
  </si>
  <si>
    <t xml:space="preserve"> t1 </t>
  </si>
  <si>
    <t xml:space="preserve"> t2 </t>
  </si>
  <si>
    <t xml:space="preserve"> t3 </t>
  </si>
  <si>
    <t xml:space="preserve"> t4 </t>
  </si>
  <si>
    <t xml:space="preserve"> t5 </t>
  </si>
  <si>
    <t xml:space="preserve"> t123 </t>
  </si>
  <si>
    <t xml:space="preserve"> t6 </t>
  </si>
  <si>
    <t xml:space="preserve"> t7 </t>
  </si>
  <si>
    <t xml:space="preserve"> short_term_retention_percentage </t>
  </si>
  <si>
    <t xml:space="preserve"> long_term_retention_percentage </t>
  </si>
  <si>
    <t xml:space="preserve"> memory_efficiency_score </t>
  </si>
  <si>
    <t>norm_n</t>
  </si>
  <si>
    <t>norm_m</t>
  </si>
  <si>
    <t>norm_sd</t>
  </si>
  <si>
    <t>data_n</t>
  </si>
  <si>
    <t>data_m</t>
  </si>
  <si>
    <t>data_sd</t>
  </si>
  <si>
    <t>t</t>
  </si>
  <si>
    <t>p</t>
  </si>
  <si>
    <t>type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</si>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</sst>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M6"/>
  <sheetViews>
    <sheetView workbookViewId="0">
      <selection activeCell="E3" sqref="E3:AM5"/>
    </sheetView>
  </sheetViews>
  <sheetFormatPr defaultRowHeight="14.5" x14ac:dyDescent="0.35"/>
  <cols>
    <col min="1" max="1" width="9.54296875" style="4" bestFit="1" customWidth="1"/>
    <col min="2" max="2" width="7.7265625" style="5" bestFit="1" customWidth="1"/>
    <col min="3" max="3" width="8.453125" style="5" bestFit="1" customWidth="1"/>
    <col min="4" max="4" width="5.26953125" style="5" bestFit="1" customWidth="1"/>
    <col min="5" max="5" width="6.453125" style="6" bestFit="1" customWidth="1"/>
    <col min="6" max="6" width="6.81640625" style="6" bestFit="1" customWidth="1"/>
    <col min="7" max="7" width="12.26953125" style="6" bestFit="1" customWidth="1"/>
    <col min="8" max="8" width="11.81640625" style="6" bestFit="1" customWidth="1"/>
    <col min="9" max="9" width="12.26953125" style="6" bestFit="1" customWidth="1"/>
    <col min="10" max="10" width="8.81640625" style="6" bestFit="1" customWidth="1"/>
    <col min="11" max="11" width="9.1796875" style="5" bestFit="1" customWidth="1"/>
    <col min="12" max="12" width="5.36328125" style="5" bestFit="1" customWidth="1"/>
    <col min="13" max="13" width="5.26953125" style="6" bestFit="1" customWidth="1"/>
    <col min="14" max="14" width="10.81640625" style="6" bestFit="1" customWidth="1"/>
    <col min="15" max="15" width="11.1796875" style="6" bestFit="1" customWidth="1"/>
    <col min="16" max="16" width="15.26953125" style="6" bestFit="1" customWidth="1"/>
    <col min="17" max="17" width="15.54296875" style="6" bestFit="1" customWidth="1"/>
    <col min="18" max="18" width="4.81640625" style="6" bestFit="1" customWidth="1"/>
    <col min="19" max="19" width="5.26953125" style="6" bestFit="1" customWidth="1"/>
    <col min="20" max="20" width="4.81640625" style="6" bestFit="1" customWidth="1"/>
    <col min="21" max="21" width="5.26953125" style="6" bestFit="1" customWidth="1"/>
    <col min="22" max="22" width="4.81640625" style="5" bestFit="1" customWidth="1"/>
    <col min="23" max="23" width="5.26953125" style="6" bestFit="1" customWidth="1"/>
    <col min="24" max="24" width="4.81640625" style="5" bestFit="1" customWidth="1"/>
    <col min="25" max="25" width="5.26953125" style="6" bestFit="1" customWidth="1"/>
    <col min="26" max="26" width="4.81640625" style="6" bestFit="1" customWidth="1"/>
    <col min="27" max="27" width="5.26953125" style="6" bestFit="1" customWidth="1"/>
    <col min="28" max="28" width="6.81640625" style="6" bestFit="1" customWidth="1"/>
    <col min="29" max="29" width="7.1796875" style="6" bestFit="1" customWidth="1"/>
    <col min="30" max="30" width="4.81640625" style="6" bestFit="1" customWidth="1"/>
    <col min="31" max="31" width="5.26953125" style="6" bestFit="1" customWidth="1"/>
    <col min="32" max="32" width="4.81640625" style="6" bestFit="1" customWidth="1"/>
    <col min="33" max="33" width="5.26953125" style="6" bestFit="1" customWidth="1"/>
    <col min="34" max="34" width="31.453125" style="6" bestFit="1" customWidth="1"/>
    <col min="35" max="35" width="31.81640625" style="6" bestFit="1" customWidth="1"/>
    <col min="36" max="36" width="30.81640625" style="6" bestFit="1" customWidth="1"/>
    <col min="37" max="37" width="31.1796875" style="6" bestFit="1" customWidth="1"/>
    <col min="38" max="38" width="24.81640625" style="6" bestFit="1" customWidth="1"/>
    <col min="39" max="39" width="25.453125" style="6" bestFit="1" customWidth="1"/>
  </cols>
  <sheetData>
    <row r="1" spans="1:39" ht="19.5" customHeight="1" x14ac:dyDescent="0.35">
      <c r="A1" s="1" t="s">
        <v>168</v>
      </c>
      <c r="B1" s="2" t="s">
        <v>169</v>
      </c>
      <c r="C1" s="2" t="s">
        <v>170</v>
      </c>
      <c r="D1" s="2" t="s">
        <v>171</v>
      </c>
      <c r="E1" s="3" t="s">
        <v>172</v>
      </c>
      <c r="F1" s="3" t="s">
        <v>173</v>
      </c>
      <c r="G1" s="3" t="s">
        <v>174</v>
      </c>
      <c r="H1" s="3" t="s">
        <v>175</v>
      </c>
      <c r="I1" s="3" t="s">
        <v>176</v>
      </c>
      <c r="J1" s="3" t="s">
        <v>177</v>
      </c>
      <c r="K1" s="2" t="s">
        <v>178</v>
      </c>
      <c r="L1" s="2" t="s">
        <v>179</v>
      </c>
      <c r="M1" s="3" t="s">
        <v>180</v>
      </c>
      <c r="N1" s="3" t="s">
        <v>181</v>
      </c>
      <c r="O1" s="3" t="s">
        <v>182</v>
      </c>
      <c r="P1" s="3" t="s">
        <v>183</v>
      </c>
      <c r="Q1" s="3" t="s">
        <v>184</v>
      </c>
      <c r="R1" s="3" t="s">
        <v>185</v>
      </c>
      <c r="S1" s="3" t="s">
        <v>186</v>
      </c>
      <c r="T1" s="3" t="s">
        <v>187</v>
      </c>
      <c r="U1" s="3" t="s">
        <v>188</v>
      </c>
      <c r="V1" s="2" t="s">
        <v>189</v>
      </c>
      <c r="W1" s="3" t="s">
        <v>190</v>
      </c>
      <c r="X1" s="2" t="s">
        <v>191</v>
      </c>
      <c r="Y1" s="3" t="s">
        <v>192</v>
      </c>
      <c r="Z1" s="3" t="s">
        <v>193</v>
      </c>
      <c r="AA1" s="3" t="s">
        <v>194</v>
      </c>
      <c r="AB1" s="3" t="s">
        <v>195</v>
      </c>
      <c r="AC1" s="3" t="s">
        <v>196</v>
      </c>
      <c r="AD1" s="3" t="s">
        <v>197</v>
      </c>
      <c r="AE1" s="3" t="s">
        <v>198</v>
      </c>
      <c r="AF1" s="3" t="s">
        <v>199</v>
      </c>
      <c r="AG1" s="3" t="s">
        <v>200</v>
      </c>
      <c r="AH1" s="3" t="s">
        <v>201</v>
      </c>
      <c r="AI1" s="3" t="s">
        <v>202</v>
      </c>
      <c r="AJ1" s="3" t="s">
        <v>203</v>
      </c>
      <c r="AK1" s="3" t="s">
        <v>204</v>
      </c>
      <c r="AL1" s="3" t="s">
        <v>205</v>
      </c>
      <c r="AM1" s="3" t="s">
        <v>206</v>
      </c>
    </row>
    <row r="2" spans="1:39" ht="19.5" customHeight="1" x14ac:dyDescent="0.35">
      <c r="A2" s="1" t="s">
        <v>112</v>
      </c>
      <c r="B2" s="2">
        <v>30</v>
      </c>
      <c r="C2" s="2">
        <v>39</v>
      </c>
      <c r="D2" s="2">
        <v>214</v>
      </c>
      <c r="E2" s="3">
        <v>35.4</v>
      </c>
      <c r="F2" s="3">
        <v>2.6</v>
      </c>
      <c r="G2" s="3">
        <v>51.4</v>
      </c>
      <c r="H2" s="3">
        <v>15.8</v>
      </c>
      <c r="I2" s="2">
        <v>2</v>
      </c>
      <c r="J2" s="3">
        <v>52.4</v>
      </c>
      <c r="K2" s="3">
        <v>8.6</v>
      </c>
      <c r="L2" s="3">
        <v>11.1</v>
      </c>
      <c r="M2" s="3">
        <v>3.2</v>
      </c>
      <c r="N2" s="3">
        <v>74.900000000000006</v>
      </c>
      <c r="O2" s="2">
        <v>14</v>
      </c>
      <c r="P2" s="3">
        <v>93.600000000000009</v>
      </c>
      <c r="Q2" s="3">
        <v>8.1</v>
      </c>
      <c r="R2" s="3">
        <v>6.5</v>
      </c>
      <c r="S2" s="3">
        <v>1.7</v>
      </c>
      <c r="T2" s="3">
        <v>9.5</v>
      </c>
      <c r="U2" s="3">
        <v>2.2000000000000002</v>
      </c>
      <c r="V2" s="3">
        <v>11.4</v>
      </c>
      <c r="W2" s="3">
        <v>2.2000000000000002</v>
      </c>
      <c r="X2" s="3">
        <v>12.3</v>
      </c>
      <c r="Y2" s="3">
        <v>2.2000000000000002</v>
      </c>
      <c r="Z2" s="3">
        <v>12.8</v>
      </c>
      <c r="AA2" s="3">
        <v>2.1</v>
      </c>
      <c r="AB2" s="3">
        <v>27.4</v>
      </c>
      <c r="AC2" s="3">
        <v>5.4</v>
      </c>
      <c r="AD2" s="3">
        <v>5.9</v>
      </c>
      <c r="AE2" s="3">
        <v>1.9</v>
      </c>
      <c r="AF2" s="3">
        <v>11.3</v>
      </c>
      <c r="AG2" s="3">
        <v>2.9</v>
      </c>
      <c r="AH2" s="3">
        <v>86.6</v>
      </c>
      <c r="AI2" s="3">
        <v>14.2</v>
      </c>
      <c r="AJ2" s="3">
        <v>84.9</v>
      </c>
      <c r="AK2" s="3">
        <v>16.7</v>
      </c>
      <c r="AL2" s="3">
        <v>1.92</v>
      </c>
      <c r="AM2" s="3">
        <v>0.34</v>
      </c>
    </row>
    <row r="3" spans="1:39" ht="19.5" customHeight="1" x14ac:dyDescent="0.35">
      <c r="A3" s="1" t="s">
        <v>113</v>
      </c>
      <c r="B3" s="2">
        <v>40</v>
      </c>
      <c r="C3" s="2">
        <v>49</v>
      </c>
      <c r="D3" s="2">
        <v>210</v>
      </c>
      <c r="E3" s="3">
        <v>44.9</v>
      </c>
      <c r="F3" s="3">
        <v>2.9</v>
      </c>
      <c r="G3" s="3">
        <v>53.800000000000004</v>
      </c>
      <c r="H3" s="3">
        <v>15.7</v>
      </c>
      <c r="I3" s="3">
        <v>2.2000000000000002</v>
      </c>
      <c r="J3" s="2">
        <v>50</v>
      </c>
      <c r="K3" s="2">
        <v>8</v>
      </c>
      <c r="L3" s="3">
        <v>10.3</v>
      </c>
      <c r="M3" s="2">
        <v>3</v>
      </c>
      <c r="N3" s="2">
        <v>71</v>
      </c>
      <c r="O3" s="3">
        <v>12.7</v>
      </c>
      <c r="P3" s="3">
        <v>92.5</v>
      </c>
      <c r="Q3" s="3">
        <v>8.5</v>
      </c>
      <c r="R3" s="3">
        <v>6.1</v>
      </c>
      <c r="S3" s="3">
        <v>1.6</v>
      </c>
      <c r="T3" s="3">
        <v>9.1</v>
      </c>
      <c r="U3" s="3">
        <v>2.1</v>
      </c>
      <c r="V3" s="3">
        <v>10.8</v>
      </c>
      <c r="W3" s="2">
        <v>2</v>
      </c>
      <c r="X3" s="3">
        <v>11.8</v>
      </c>
      <c r="Y3" s="2">
        <v>2</v>
      </c>
      <c r="Z3" s="3">
        <v>12.3</v>
      </c>
      <c r="AA3" s="2">
        <v>2</v>
      </c>
      <c r="AB3" s="3">
        <v>25.9</v>
      </c>
      <c r="AC3" s="3">
        <v>4.9000000000000004</v>
      </c>
      <c r="AD3" s="3">
        <v>5.6</v>
      </c>
      <c r="AE3" s="3">
        <v>1.6</v>
      </c>
      <c r="AF3" s="3">
        <v>10.6</v>
      </c>
      <c r="AG3" s="3">
        <v>2.7</v>
      </c>
      <c r="AH3" s="3">
        <v>84.8</v>
      </c>
      <c r="AI3" s="3">
        <v>13.6</v>
      </c>
      <c r="AJ3" s="3">
        <v>82.3</v>
      </c>
      <c r="AK3" s="3">
        <v>16.7</v>
      </c>
      <c r="AL3" s="3">
        <v>1.87</v>
      </c>
      <c r="AM3" s="3">
        <v>0.33</v>
      </c>
    </row>
    <row r="4" spans="1:39" ht="19.5" customHeight="1" x14ac:dyDescent="0.35">
      <c r="A4" s="1" t="s">
        <v>114</v>
      </c>
      <c r="B4" s="2">
        <v>50</v>
      </c>
      <c r="C4" s="2">
        <v>59</v>
      </c>
      <c r="D4" s="2">
        <v>610</v>
      </c>
      <c r="E4" s="3">
        <v>54.9</v>
      </c>
      <c r="F4" s="3">
        <v>2.7</v>
      </c>
      <c r="G4" s="2">
        <v>51</v>
      </c>
      <c r="H4" s="3">
        <v>15.2</v>
      </c>
      <c r="I4" s="3">
        <v>2.2000000000000002</v>
      </c>
      <c r="J4" s="3">
        <v>48.2</v>
      </c>
      <c r="K4" s="3">
        <v>8.6999999999999993</v>
      </c>
      <c r="L4" s="3">
        <v>9.6</v>
      </c>
      <c r="M4" s="3">
        <v>3.3</v>
      </c>
      <c r="N4" s="3">
        <v>67.8</v>
      </c>
      <c r="O4" s="2">
        <v>14</v>
      </c>
      <c r="P4" s="3">
        <v>92.100000000000009</v>
      </c>
      <c r="Q4" s="3">
        <v>8.3000000000000007</v>
      </c>
      <c r="R4" s="3">
        <v>5.7</v>
      </c>
      <c r="S4" s="3">
        <v>1.5</v>
      </c>
      <c r="T4" s="3">
        <v>8.6</v>
      </c>
      <c r="U4" s="2">
        <v>2</v>
      </c>
      <c r="V4" s="3">
        <v>10.3</v>
      </c>
      <c r="W4" s="3">
        <v>2.2999999999999998</v>
      </c>
      <c r="X4" s="3">
        <v>11.5</v>
      </c>
      <c r="Y4" s="3">
        <v>2.2999999999999998</v>
      </c>
      <c r="Z4" s="2">
        <v>12</v>
      </c>
      <c r="AA4" s="3">
        <v>2.2000000000000002</v>
      </c>
      <c r="AB4" s="3">
        <v>24.7</v>
      </c>
      <c r="AC4" s="3">
        <v>5.0999999999999996</v>
      </c>
      <c r="AD4" s="3">
        <v>5.3</v>
      </c>
      <c r="AE4" s="3">
        <v>1.6</v>
      </c>
      <c r="AF4" s="3">
        <v>9.9</v>
      </c>
      <c r="AG4" s="2">
        <v>3</v>
      </c>
      <c r="AH4" s="3">
        <v>81.3</v>
      </c>
      <c r="AI4" s="3">
        <v>16.3</v>
      </c>
      <c r="AJ4" s="3">
        <v>78.5</v>
      </c>
      <c r="AK4" s="3">
        <v>18.899999999999999</v>
      </c>
      <c r="AL4" s="3">
        <v>1.82</v>
      </c>
      <c r="AM4" s="3">
        <v>0.36</v>
      </c>
    </row>
    <row r="5" spans="1:39" ht="19.5" customHeight="1" x14ac:dyDescent="0.35">
      <c r="A5" s="1" t="s">
        <v>115</v>
      </c>
      <c r="B5" s="2">
        <v>60</v>
      </c>
      <c r="C5" s="2">
        <v>70</v>
      </c>
      <c r="D5" s="2">
        <v>916</v>
      </c>
      <c r="E5" s="2">
        <v>65</v>
      </c>
      <c r="F5" s="3">
        <v>2.8</v>
      </c>
      <c r="G5" s="2">
        <v>49</v>
      </c>
      <c r="H5" s="3">
        <v>15.1</v>
      </c>
      <c r="I5" s="3">
        <v>2.2999999999999998</v>
      </c>
      <c r="J5" s="3">
        <v>45.6</v>
      </c>
      <c r="K5" s="3">
        <v>8.4</v>
      </c>
      <c r="L5" s="3">
        <v>8.8000000000000007</v>
      </c>
      <c r="M5" s="3">
        <v>3.2</v>
      </c>
      <c r="N5" s="3">
        <v>63.6</v>
      </c>
      <c r="O5" s="3">
        <v>13.5</v>
      </c>
      <c r="P5" s="3">
        <v>90.9</v>
      </c>
      <c r="Q5" s="3">
        <v>8.7999999999999989</v>
      </c>
      <c r="R5" s="3">
        <v>5.5</v>
      </c>
      <c r="S5" s="3">
        <v>1.5</v>
      </c>
      <c r="T5" s="3">
        <v>8.1</v>
      </c>
      <c r="U5" s="3">
        <v>1.9</v>
      </c>
      <c r="V5" s="3">
        <v>9.8000000000000007</v>
      </c>
      <c r="W5" s="3">
        <v>2.2000000000000002</v>
      </c>
      <c r="X5" s="3">
        <v>10.8</v>
      </c>
      <c r="Y5" s="3">
        <v>2.2999999999999998</v>
      </c>
      <c r="Z5" s="3">
        <v>11.4</v>
      </c>
      <c r="AA5" s="3">
        <v>2.2000000000000002</v>
      </c>
      <c r="AB5" s="3">
        <v>23.4</v>
      </c>
      <c r="AC5" s="3">
        <v>4.7</v>
      </c>
      <c r="AD5" s="2">
        <v>5</v>
      </c>
      <c r="AE5" s="3">
        <v>1.6</v>
      </c>
      <c r="AF5" s="3">
        <v>9.1999999999999993</v>
      </c>
      <c r="AG5" s="3">
        <v>2.9</v>
      </c>
      <c r="AH5" s="3">
        <v>78.900000000000006</v>
      </c>
      <c r="AI5" s="2">
        <v>17</v>
      </c>
      <c r="AJ5" s="3">
        <v>75.099999999999994</v>
      </c>
      <c r="AK5" s="3">
        <v>20.7</v>
      </c>
      <c r="AL5" s="3">
        <v>1.76</v>
      </c>
      <c r="AM5" s="3">
        <v>0.39</v>
      </c>
    </row>
    <row r="6" spans="1:39" ht="19.5" customHeight="1" x14ac:dyDescent="0.35">
      <c r="A6" s="1" t="s">
        <v>118</v>
      </c>
      <c r="B6" s="2">
        <v>30</v>
      </c>
      <c r="C6" s="2">
        <v>91</v>
      </c>
      <c r="D6" s="2">
        <v>4428</v>
      </c>
      <c r="E6" s="3">
        <v>68.3</v>
      </c>
      <c r="F6" s="3">
        <v>13.1</v>
      </c>
      <c r="G6" s="3">
        <v>49.9</v>
      </c>
      <c r="H6" s="3">
        <v>14.7</v>
      </c>
      <c r="I6" s="3">
        <v>2.6</v>
      </c>
      <c r="J6" s="3">
        <v>42.3</v>
      </c>
      <c r="K6" s="2">
        <v>10</v>
      </c>
      <c r="L6" s="2">
        <v>8</v>
      </c>
      <c r="M6" s="3">
        <v>3.5</v>
      </c>
      <c r="N6" s="3">
        <v>58.7</v>
      </c>
      <c r="O6" s="3">
        <v>15.9</v>
      </c>
      <c r="P6" s="3">
        <v>89.600000000000009</v>
      </c>
      <c r="Q6" s="3">
        <v>9.6</v>
      </c>
      <c r="R6" s="3">
        <v>5.2</v>
      </c>
      <c r="S6" s="3">
        <v>1.6</v>
      </c>
      <c r="T6" s="3">
        <v>7.5</v>
      </c>
      <c r="U6" s="3">
        <v>2.1</v>
      </c>
      <c r="V6" s="2">
        <v>9</v>
      </c>
      <c r="W6" s="3">
        <v>2.5</v>
      </c>
      <c r="X6" s="2">
        <v>10</v>
      </c>
      <c r="Y6" s="3">
        <v>2.6</v>
      </c>
      <c r="Z6" s="3">
        <v>10.6</v>
      </c>
      <c r="AA6" s="3">
        <v>2.6</v>
      </c>
      <c r="AB6" s="3">
        <v>21.7</v>
      </c>
      <c r="AC6" s="3">
        <v>5.5</v>
      </c>
      <c r="AD6" s="3">
        <v>4.5</v>
      </c>
      <c r="AE6" s="3">
        <v>1.7</v>
      </c>
      <c r="AF6" s="3">
        <v>8.4</v>
      </c>
      <c r="AG6" s="3">
        <v>3.3</v>
      </c>
      <c r="AH6" s="3">
        <v>76.7</v>
      </c>
      <c r="AI6" s="3">
        <v>20.2</v>
      </c>
      <c r="AJ6" s="3">
        <v>72.599999999999994</v>
      </c>
      <c r="AK6" s="3">
        <v>23.2</v>
      </c>
      <c r="AL6" s="3">
        <v>1.71</v>
      </c>
      <c r="AM6" s="3">
        <v>0.44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N7"/>
  <sheetViews>
    <sheetView workbookViewId="0">
      <selection activeCell="J15" sqref="J15"/>
    </sheetView>
  </sheetViews>
  <sheetFormatPr defaultRowHeight="14.5" x14ac:dyDescent="0.35"/>
  <cols>
    <col min="1" max="1" width="9.54296875" style="4" bestFit="1" customWidth="1"/>
    <col min="2" max="2" width="7.7265625" style="5" bestFit="1" customWidth="1"/>
    <col min="3" max="3" width="8.453125" style="5" bestFit="1" customWidth="1"/>
    <col min="4" max="4" width="5.26953125" style="5" bestFit="1" customWidth="1"/>
    <col min="5" max="5" width="6.453125" style="6" bestFit="1" customWidth="1"/>
    <col min="6" max="6" width="6.81640625" style="6" bestFit="1" customWidth="1"/>
    <col min="7" max="7" width="12.26953125" style="6" bestFit="1" customWidth="1"/>
    <col min="8" max="8" width="11.81640625" style="6" bestFit="1" customWidth="1"/>
    <col min="9" max="9" width="12.26953125" style="6" bestFit="1" customWidth="1"/>
    <col min="10" max="10" width="12.54296875" style="6" bestFit="1" customWidth="1"/>
    <col min="11" max="11" width="8.81640625" style="6" bestFit="1" customWidth="1"/>
    <col min="12" max="12" width="9.1796875" style="5" bestFit="1" customWidth="1"/>
    <col min="13" max="13" width="4.81640625" style="5" bestFit="1" customWidth="1"/>
    <col min="14" max="14" width="5.26953125" style="6" bestFit="1" customWidth="1"/>
    <col min="15" max="15" width="10.81640625" style="6" bestFit="1" customWidth="1"/>
    <col min="16" max="16" width="11.1796875" style="6" bestFit="1" customWidth="1"/>
    <col min="17" max="17" width="15.26953125" style="6" bestFit="1" customWidth="1"/>
    <col min="18" max="18" width="15.54296875" style="6" bestFit="1" customWidth="1"/>
    <col min="19" max="19" width="4.81640625" style="6" bestFit="1" customWidth="1"/>
    <col min="20" max="20" width="5.26953125" style="6" bestFit="1" customWidth="1"/>
    <col min="21" max="21" width="4.81640625" style="6" bestFit="1" customWidth="1"/>
    <col min="22" max="22" width="5.26953125" style="6" bestFit="1" customWidth="1"/>
    <col min="23" max="23" width="4.81640625" style="5" bestFit="1" customWidth="1"/>
    <col min="24" max="24" width="5.26953125" style="6" bestFit="1" customWidth="1"/>
    <col min="25" max="25" width="4.81640625" style="5" bestFit="1" customWidth="1"/>
    <col min="26" max="26" width="5.26953125" style="6" bestFit="1" customWidth="1"/>
    <col min="27" max="27" width="4.81640625" style="6" bestFit="1" customWidth="1"/>
    <col min="28" max="28" width="5.26953125" style="6" bestFit="1" customWidth="1"/>
    <col min="29" max="29" width="6.81640625" style="6" bestFit="1" customWidth="1"/>
    <col min="30" max="30" width="7.1796875" style="6" bestFit="1" customWidth="1"/>
    <col min="31" max="31" width="4.81640625" style="6" bestFit="1" customWidth="1"/>
    <col min="32" max="32" width="5.26953125" style="6" bestFit="1" customWidth="1"/>
    <col min="33" max="33" width="4.81640625" style="6" bestFit="1" customWidth="1"/>
    <col min="34" max="34" width="5.26953125" style="6" bestFit="1" customWidth="1"/>
    <col min="35" max="35" width="31.453125" style="6" bestFit="1" customWidth="1"/>
    <col min="36" max="36" width="31.81640625" style="6" bestFit="1" customWidth="1"/>
    <col min="37" max="37" width="30.81640625" style="6" bestFit="1" customWidth="1"/>
    <col min="38" max="38" width="31.1796875" style="6" bestFit="1" customWidth="1"/>
    <col min="39" max="39" width="24.81640625" style="6" bestFit="1" customWidth="1"/>
    <col min="40" max="40" width="25.453125" style="6" bestFit="1" customWidth="1"/>
  </cols>
  <sheetData>
    <row r="1" spans="1:40" ht="19.5" customHeight="1" x14ac:dyDescent="0.35">
      <c r="A1" s="7" t="s">
        <v>168</v>
      </c>
      <c r="B1" s="8" t="s">
        <v>169</v>
      </c>
      <c r="C1" s="8" t="s">
        <v>170</v>
      </c>
      <c r="D1" s="8" t="s">
        <v>171</v>
      </c>
      <c r="E1" s="9" t="s">
        <v>172</v>
      </c>
      <c r="F1" s="9" t="s">
        <v>173</v>
      </c>
      <c r="G1" s="9" t="s">
        <v>174</v>
      </c>
      <c r="H1" s="9" t="s">
        <v>175</v>
      </c>
      <c r="I1" s="9" t="s">
        <v>176</v>
      </c>
      <c r="J1" s="9" t="s">
        <v>177</v>
      </c>
      <c r="K1" s="8" t="s">
        <v>178</v>
      </c>
      <c r="L1" s="8" t="s">
        <v>179</v>
      </c>
      <c r="M1" s="9" t="s">
        <v>180</v>
      </c>
      <c r="N1" s="9" t="s">
        <v>181</v>
      </c>
      <c r="O1" s="9" t="s">
        <v>182</v>
      </c>
      <c r="P1" s="9" t="s">
        <v>183</v>
      </c>
      <c r="Q1" s="9" t="s">
        <v>184</v>
      </c>
      <c r="R1" s="9" t="s">
        <v>185</v>
      </c>
      <c r="S1" s="9" t="s">
        <v>186</v>
      </c>
      <c r="T1" s="9" t="s">
        <v>187</v>
      </c>
      <c r="U1" s="9" t="s">
        <v>188</v>
      </c>
      <c r="V1" s="8" t="s">
        <v>189</v>
      </c>
      <c r="W1" s="9" t="s">
        <v>190</v>
      </c>
      <c r="X1" s="8" t="s">
        <v>191</v>
      </c>
      <c r="Y1" s="9" t="s">
        <v>192</v>
      </c>
      <c r="Z1" s="9" t="s">
        <v>193</v>
      </c>
      <c r="AA1" s="9" t="s">
        <v>194</v>
      </c>
      <c r="AB1" s="9" t="s">
        <v>195</v>
      </c>
      <c r="AC1" s="9" t="s">
        <v>196</v>
      </c>
      <c r="AD1" s="9" t="s">
        <v>197</v>
      </c>
      <c r="AE1" s="9" t="s">
        <v>198</v>
      </c>
      <c r="AF1" s="9" t="s">
        <v>199</v>
      </c>
      <c r="AG1" s="9" t="s">
        <v>200</v>
      </c>
      <c r="AH1" s="9" t="s">
        <v>201</v>
      </c>
      <c r="AI1" s="9" t="s">
        <v>202</v>
      </c>
      <c r="AJ1" s="9" t="s">
        <v>203</v>
      </c>
      <c r="AK1" s="9" t="s">
        <v>204</v>
      </c>
      <c r="AL1" s="9" t="s">
        <v>205</v>
      </c>
      <c r="AM1" s="9" t="s">
        <v>206</v>
      </c>
      <c r="AN1" s="3"/>
    </row>
    <row r="2" spans="1:40" ht="19.5" customHeight="1" x14ac:dyDescent="0.35">
      <c r="A2" t="s">
        <v>112</v>
      </c>
      <c r="B2" s="2">
        <v>30</v>
      </c>
      <c r="C2" s="2">
        <v>39</v>
      </c>
      <c r="D2">
        <v>20</v>
      </c>
      <c r="E2">
        <v>34.5</v>
      </c>
      <c r="F2">
        <v>2.85</v>
      </c>
      <c r="G2">
        <v>50</v>
      </c>
      <c r="H2">
        <v>6.45</v>
      </c>
      <c r="I2">
        <v>1.07</v>
      </c>
      <c r="J2">
        <v>50.1</v>
      </c>
      <c r="K2">
        <v>8.9</v>
      </c>
      <c r="L2">
        <v>10.7</v>
      </c>
      <c r="M2">
        <v>2.4700000000000002</v>
      </c>
      <c r="N2">
        <v>71.8</v>
      </c>
      <c r="O2">
        <v>12.7</v>
      </c>
      <c r="P2">
        <v>92.5</v>
      </c>
      <c r="Q2">
        <v>7.52</v>
      </c>
      <c r="R2">
        <v>6.75</v>
      </c>
      <c r="S2">
        <v>1.89</v>
      </c>
      <c r="T2">
        <v>9.3000000000000007</v>
      </c>
      <c r="U2">
        <v>2.1</v>
      </c>
      <c r="V2">
        <v>10.8</v>
      </c>
      <c r="W2">
        <v>2.29</v>
      </c>
      <c r="X2">
        <v>11.1</v>
      </c>
      <c r="Y2">
        <v>2.41</v>
      </c>
      <c r="Z2">
        <v>12.1</v>
      </c>
      <c r="AA2">
        <v>2.0099999999999998</v>
      </c>
      <c r="AB2">
        <v>26.8</v>
      </c>
      <c r="AC2">
        <v>5.74</v>
      </c>
      <c r="AD2">
        <v>5.5</v>
      </c>
      <c r="AE2">
        <v>1.75</v>
      </c>
      <c r="AF2">
        <v>10.9</v>
      </c>
      <c r="AG2">
        <v>2.36</v>
      </c>
      <c r="AH2">
        <v>90.1</v>
      </c>
      <c r="AI2">
        <v>12.8</v>
      </c>
      <c r="AJ2">
        <v>87.9</v>
      </c>
      <c r="AK2">
        <v>14.7</v>
      </c>
      <c r="AL2">
        <v>1.92</v>
      </c>
      <c r="AM2">
        <v>0.28000000000000003</v>
      </c>
      <c r="AN2" s="3"/>
    </row>
    <row r="3" spans="1:40" ht="19.5" customHeight="1" x14ac:dyDescent="0.35">
      <c r="A3" t="s">
        <v>113</v>
      </c>
      <c r="B3" s="2">
        <v>40</v>
      </c>
      <c r="C3" s="2">
        <v>49</v>
      </c>
      <c r="D3">
        <v>20</v>
      </c>
      <c r="E3">
        <v>44.7</v>
      </c>
      <c r="F3">
        <v>2.72</v>
      </c>
      <c r="G3">
        <v>30</v>
      </c>
      <c r="H3">
        <v>6.3</v>
      </c>
      <c r="I3">
        <v>1.79</v>
      </c>
      <c r="J3">
        <v>53.6</v>
      </c>
      <c r="K3">
        <v>6.55</v>
      </c>
      <c r="L3">
        <v>12.1</v>
      </c>
      <c r="M3">
        <v>2.0299999999999998</v>
      </c>
      <c r="N3">
        <v>78.2</v>
      </c>
      <c r="O3">
        <v>8.98</v>
      </c>
      <c r="P3">
        <v>96</v>
      </c>
      <c r="Q3">
        <v>4.03</v>
      </c>
      <c r="R3">
        <v>6.35</v>
      </c>
      <c r="S3">
        <v>1.8</v>
      </c>
      <c r="T3">
        <v>9.5500000000000007</v>
      </c>
      <c r="U3">
        <v>1.96</v>
      </c>
      <c r="V3">
        <v>11.8</v>
      </c>
      <c r="W3">
        <v>1.5</v>
      </c>
      <c r="X3">
        <v>12.7</v>
      </c>
      <c r="Y3">
        <v>1.55</v>
      </c>
      <c r="Z3">
        <v>13.2</v>
      </c>
      <c r="AA3">
        <v>1.5</v>
      </c>
      <c r="AB3">
        <v>27.7</v>
      </c>
      <c r="AC3">
        <v>4.46</v>
      </c>
      <c r="AD3">
        <v>5.85</v>
      </c>
      <c r="AE3">
        <v>1.82</v>
      </c>
      <c r="AF3">
        <v>12.5</v>
      </c>
      <c r="AG3">
        <v>1.75</v>
      </c>
      <c r="AH3">
        <v>95</v>
      </c>
      <c r="AI3">
        <v>10.6</v>
      </c>
      <c r="AJ3">
        <v>92.4</v>
      </c>
      <c r="AK3">
        <v>14</v>
      </c>
      <c r="AL3">
        <v>2.06</v>
      </c>
      <c r="AM3">
        <v>0.21</v>
      </c>
      <c r="AN3" s="3"/>
    </row>
    <row r="4" spans="1:40" ht="19.5" customHeight="1" x14ac:dyDescent="0.35">
      <c r="A4" t="s">
        <v>114</v>
      </c>
      <c r="B4" s="2">
        <v>50</v>
      </c>
      <c r="C4" s="2">
        <v>59</v>
      </c>
      <c r="D4">
        <v>20</v>
      </c>
      <c r="E4">
        <v>54.4</v>
      </c>
      <c r="F4">
        <v>3.22</v>
      </c>
      <c r="G4">
        <v>15</v>
      </c>
      <c r="H4">
        <v>5.6</v>
      </c>
      <c r="I4">
        <v>2.0099999999999998</v>
      </c>
      <c r="J4">
        <v>53.3</v>
      </c>
      <c r="K4">
        <v>8.1300000000000008</v>
      </c>
      <c r="L4">
        <v>10.7</v>
      </c>
      <c r="M4">
        <v>2.4500000000000002</v>
      </c>
      <c r="N4">
        <v>74.400000000000006</v>
      </c>
      <c r="O4">
        <v>11.6</v>
      </c>
      <c r="P4">
        <v>91.1</v>
      </c>
      <c r="Q4">
        <v>9.2100000000000009</v>
      </c>
      <c r="R4">
        <v>7.1</v>
      </c>
      <c r="S4">
        <v>1.87</v>
      </c>
      <c r="T4">
        <v>10</v>
      </c>
      <c r="U4">
        <v>2.0699999999999998</v>
      </c>
      <c r="V4">
        <v>11.3</v>
      </c>
      <c r="W4">
        <v>2.37</v>
      </c>
      <c r="X4">
        <v>12</v>
      </c>
      <c r="Y4">
        <v>1.77</v>
      </c>
      <c r="Z4">
        <v>12.8</v>
      </c>
      <c r="AA4">
        <v>1.62</v>
      </c>
      <c r="AB4">
        <v>28.4</v>
      </c>
      <c r="AC4">
        <v>5.48</v>
      </c>
      <c r="AD4">
        <v>4.9000000000000004</v>
      </c>
      <c r="AE4">
        <v>1.81</v>
      </c>
      <c r="AF4">
        <v>10.4</v>
      </c>
      <c r="AG4">
        <v>1.91</v>
      </c>
      <c r="AH4">
        <v>80.8</v>
      </c>
      <c r="AI4">
        <v>10.3</v>
      </c>
      <c r="AJ4">
        <v>83</v>
      </c>
      <c r="AK4">
        <v>14.8</v>
      </c>
      <c r="AL4">
        <v>1.83</v>
      </c>
      <c r="AM4">
        <v>0.3</v>
      </c>
      <c r="AN4" s="3"/>
    </row>
    <row r="5" spans="1:40" ht="19.5" customHeight="1" x14ac:dyDescent="0.35">
      <c r="A5" t="s">
        <v>115</v>
      </c>
      <c r="B5" s="2">
        <v>60</v>
      </c>
      <c r="C5" s="2">
        <v>70</v>
      </c>
      <c r="D5">
        <v>20</v>
      </c>
      <c r="E5">
        <v>64.7</v>
      </c>
      <c r="F5">
        <v>3.44</v>
      </c>
      <c r="G5">
        <v>30</v>
      </c>
      <c r="H5">
        <v>6.05</v>
      </c>
      <c r="I5">
        <v>1.63</v>
      </c>
      <c r="J5">
        <v>47.1</v>
      </c>
      <c r="K5">
        <v>9.1</v>
      </c>
      <c r="L5">
        <v>9.4</v>
      </c>
      <c r="M5">
        <v>5.5</v>
      </c>
      <c r="N5">
        <v>65.8</v>
      </c>
      <c r="O5">
        <v>13</v>
      </c>
      <c r="P5">
        <v>85.5</v>
      </c>
      <c r="Q5">
        <v>14.15</v>
      </c>
      <c r="R5">
        <v>5.9</v>
      </c>
      <c r="S5">
        <v>1.55</v>
      </c>
      <c r="T5">
        <v>9</v>
      </c>
      <c r="U5">
        <v>2.17</v>
      </c>
      <c r="V5">
        <v>9.75</v>
      </c>
      <c r="W5">
        <v>2.09</v>
      </c>
      <c r="X5">
        <v>10.65</v>
      </c>
      <c r="Y5">
        <v>2.99</v>
      </c>
      <c r="Z5">
        <v>11.8</v>
      </c>
      <c r="AA5">
        <v>2.23</v>
      </c>
      <c r="AB5">
        <v>24.65</v>
      </c>
      <c r="AC5">
        <v>5.1100000000000003</v>
      </c>
      <c r="AD5">
        <v>5.15</v>
      </c>
      <c r="AE5">
        <v>1.65</v>
      </c>
      <c r="AF5">
        <v>9.3000000000000007</v>
      </c>
      <c r="AG5">
        <v>2.85</v>
      </c>
      <c r="AH5">
        <v>80.040000000000006</v>
      </c>
      <c r="AI5">
        <v>23.72</v>
      </c>
      <c r="AJ5">
        <v>80.27</v>
      </c>
      <c r="AK5">
        <v>16.559999999999999</v>
      </c>
      <c r="AL5">
        <v>1.72</v>
      </c>
      <c r="AM5">
        <v>0.41</v>
      </c>
      <c r="AN5" s="3"/>
    </row>
    <row r="6" spans="1:40" ht="19.5" customHeight="1" x14ac:dyDescent="0.35">
      <c r="A6" t="s">
        <v>118</v>
      </c>
      <c r="B6" s="2">
        <v>30</v>
      </c>
      <c r="C6" s="2">
        <v>91</v>
      </c>
      <c r="D6">
        <v>80</v>
      </c>
      <c r="E6">
        <v>49.5</v>
      </c>
      <c r="F6">
        <v>11.6</v>
      </c>
      <c r="G6">
        <v>31</v>
      </c>
      <c r="H6">
        <v>6.1</v>
      </c>
      <c r="I6">
        <v>1.69</v>
      </c>
      <c r="J6">
        <v>51</v>
      </c>
      <c r="K6">
        <v>8.65</v>
      </c>
      <c r="L6">
        <v>10.7</v>
      </c>
      <c r="M6">
        <v>2.56</v>
      </c>
      <c r="N6">
        <v>72.5</v>
      </c>
      <c r="O6">
        <v>12.5</v>
      </c>
      <c r="P6">
        <v>91.2</v>
      </c>
      <c r="Q6">
        <v>10.1</v>
      </c>
      <c r="R6">
        <v>6.52</v>
      </c>
      <c r="S6">
        <v>1.84</v>
      </c>
      <c r="T6">
        <v>9.4600000000000009</v>
      </c>
      <c r="U6">
        <v>2.11</v>
      </c>
      <c r="V6">
        <v>10.9</v>
      </c>
      <c r="W6">
        <v>2.23</v>
      </c>
      <c r="X6">
        <v>11.6</v>
      </c>
      <c r="Y6">
        <v>2.39</v>
      </c>
      <c r="Z6">
        <v>12.5</v>
      </c>
      <c r="AA6">
        <v>1.94</v>
      </c>
      <c r="AB6">
        <v>26.9</v>
      </c>
      <c r="AC6">
        <v>5.41</v>
      </c>
      <c r="AD6">
        <v>5.35</v>
      </c>
      <c r="AE6">
        <v>1.8</v>
      </c>
      <c r="AF6">
        <v>10.7</v>
      </c>
      <c r="AG6">
        <v>2.5299999999999998</v>
      </c>
      <c r="AH6">
        <v>86.5</v>
      </c>
      <c r="AI6">
        <v>16.600000000000001</v>
      </c>
      <c r="AJ6">
        <v>85.9</v>
      </c>
      <c r="AK6">
        <v>15.7</v>
      </c>
      <c r="AL6">
        <v>1.88</v>
      </c>
      <c r="AM6">
        <v>0.33</v>
      </c>
      <c r="AN6" s="3"/>
    </row>
    <row r="7" spans="1:40" x14ac:dyDescent="0.35">
      <c r="B7" s="2"/>
      <c r="C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52190-5437-49ED-B17A-8D851A412C01}">
  <dimension ref="A1:S33"/>
  <sheetViews>
    <sheetView tabSelected="1" workbookViewId="0">
      <selection activeCell="L38" sqref="L38"/>
    </sheetView>
  </sheetViews>
  <sheetFormatPr defaultRowHeight="14.5" x14ac:dyDescent="0.35"/>
  <cols>
    <col min="1" max="1" width="5.81640625" style="4" bestFit="1" customWidth="1"/>
    <col min="2" max="2" width="8.26953125" style="4" bestFit="1" customWidth="1"/>
    <col min="3" max="3" width="6.81640625" style="4" bestFit="1" customWidth="1"/>
    <col min="4" max="4" width="10.1796875" style="4" bestFit="1" customWidth="1"/>
    <col min="5" max="5" width="7.36328125" style="4" bestFit="1" customWidth="1"/>
    <col min="6" max="6" width="6.81640625" style="4" bestFit="1" customWidth="1"/>
    <col min="7" max="7" width="9.36328125" style="4" bestFit="1" customWidth="1"/>
    <col min="8" max="8" width="14" style="4" bestFit="1" customWidth="1"/>
    <col min="9" max="16" width="6.81640625" style="4" bestFit="1" customWidth="1"/>
    <col min="17" max="17" width="31.36328125" style="4" bestFit="1" customWidth="1"/>
    <col min="18" max="18" width="30.6328125" style="4" bestFit="1" customWidth="1"/>
    <col min="19" max="19" width="24" style="4" bestFit="1" customWidth="1"/>
    <col min="20" max="16384" width="8.7265625" style="4"/>
  </cols>
  <sheetData>
    <row r="1" spans="1:19" x14ac:dyDescent="0.35">
      <c r="A1" s="4" t="s">
        <v>233</v>
      </c>
      <c r="B1" s="4" t="s">
        <v>232</v>
      </c>
      <c r="C1" s="4" t="s">
        <v>207</v>
      </c>
      <c r="D1" s="4" t="s">
        <v>208</v>
      </c>
      <c r="E1" s="4" t="s">
        <v>209</v>
      </c>
      <c r="F1" s="4" t="s">
        <v>210</v>
      </c>
      <c r="G1" s="4" t="s">
        <v>211</v>
      </c>
      <c r="H1" s="4" t="s">
        <v>212</v>
      </c>
      <c r="I1" s="4" t="s">
        <v>213</v>
      </c>
      <c r="J1" s="4" t="s">
        <v>214</v>
      </c>
      <c r="K1" s="4" t="s">
        <v>215</v>
      </c>
      <c r="L1" s="4" t="s">
        <v>216</v>
      </c>
      <c r="M1" s="4" t="s">
        <v>217</v>
      </c>
      <c r="N1" s="4" t="s">
        <v>218</v>
      </c>
      <c r="O1" s="4" t="s">
        <v>219</v>
      </c>
      <c r="P1" s="4" t="s">
        <v>220</v>
      </c>
      <c r="Q1" s="4" t="s">
        <v>221</v>
      </c>
      <c r="R1" s="4" t="s">
        <v>222</v>
      </c>
      <c r="S1" s="4" t="s">
        <v>223</v>
      </c>
    </row>
    <row r="2" spans="1:19" x14ac:dyDescent="0.35">
      <c r="A2" s="4" t="s">
        <v>112</v>
      </c>
      <c r="B2" s="4" t="s">
        <v>224</v>
      </c>
      <c r="C2" s="4">
        <v>214</v>
      </c>
      <c r="D2" s="4">
        <v>214</v>
      </c>
      <c r="E2" s="4">
        <v>214</v>
      </c>
      <c r="F2" s="4">
        <v>214</v>
      </c>
      <c r="G2" s="4">
        <v>214</v>
      </c>
      <c r="H2" s="4">
        <v>214</v>
      </c>
      <c r="I2" s="4">
        <v>214</v>
      </c>
      <c r="J2" s="4">
        <v>214</v>
      </c>
      <c r="K2" s="4">
        <v>214</v>
      </c>
      <c r="L2" s="4">
        <v>214</v>
      </c>
      <c r="M2" s="4">
        <v>214</v>
      </c>
      <c r="N2" s="4">
        <v>214</v>
      </c>
      <c r="O2" s="4">
        <v>214</v>
      </c>
      <c r="P2" s="4">
        <v>214</v>
      </c>
      <c r="Q2" s="4">
        <v>214</v>
      </c>
      <c r="R2" s="4">
        <v>214</v>
      </c>
      <c r="S2" s="4">
        <v>214</v>
      </c>
    </row>
    <row r="3" spans="1:19" x14ac:dyDescent="0.35">
      <c r="A3" s="4" t="s">
        <v>112</v>
      </c>
      <c r="B3" s="4" t="s">
        <v>225</v>
      </c>
      <c r="C3" s="3">
        <v>35.4</v>
      </c>
      <c r="D3" s="3">
        <v>15.8</v>
      </c>
      <c r="E3" s="3">
        <v>52.4</v>
      </c>
      <c r="F3" s="3">
        <v>11.1</v>
      </c>
      <c r="G3" s="3">
        <v>74.900000000000006</v>
      </c>
      <c r="H3" s="3">
        <v>93.600000000000009</v>
      </c>
      <c r="I3" s="3">
        <v>6.5</v>
      </c>
      <c r="J3" s="3">
        <v>9.5</v>
      </c>
      <c r="K3" s="3">
        <v>11.4</v>
      </c>
      <c r="L3" s="3">
        <v>12.3</v>
      </c>
      <c r="M3" s="3">
        <v>12.8</v>
      </c>
      <c r="N3" s="3">
        <v>27.4</v>
      </c>
      <c r="O3" s="3">
        <v>5.9</v>
      </c>
      <c r="P3" s="3">
        <v>11.3</v>
      </c>
      <c r="Q3" s="3">
        <v>86.6</v>
      </c>
      <c r="R3" s="3">
        <v>84.9</v>
      </c>
      <c r="S3" s="3">
        <v>1.92</v>
      </c>
    </row>
    <row r="4" spans="1:19" x14ac:dyDescent="0.35">
      <c r="A4" s="4" t="s">
        <v>112</v>
      </c>
      <c r="B4" s="4" t="s">
        <v>226</v>
      </c>
      <c r="C4" s="3">
        <v>2.6</v>
      </c>
      <c r="D4" s="2">
        <v>2</v>
      </c>
      <c r="E4" s="3">
        <v>8.6</v>
      </c>
      <c r="F4" s="3">
        <v>3.2</v>
      </c>
      <c r="G4" s="2">
        <v>14</v>
      </c>
      <c r="H4" s="3">
        <v>8.1</v>
      </c>
      <c r="I4" s="3">
        <v>1.7</v>
      </c>
      <c r="J4" s="3">
        <v>2.2000000000000002</v>
      </c>
      <c r="K4" s="3">
        <v>2.2000000000000002</v>
      </c>
      <c r="L4" s="3">
        <v>2.2000000000000002</v>
      </c>
      <c r="M4" s="3">
        <v>2.1</v>
      </c>
      <c r="N4" s="3">
        <v>5.4</v>
      </c>
      <c r="O4" s="3">
        <v>1.9</v>
      </c>
      <c r="P4" s="3">
        <v>2.9</v>
      </c>
      <c r="Q4" s="3">
        <v>14.2</v>
      </c>
      <c r="R4" s="3">
        <v>16.7</v>
      </c>
      <c r="S4" s="3">
        <v>0.34</v>
      </c>
    </row>
    <row r="5" spans="1:19" x14ac:dyDescent="0.35">
      <c r="A5" s="4" t="s">
        <v>112</v>
      </c>
      <c r="B5" s="4" t="s">
        <v>227</v>
      </c>
    </row>
    <row r="6" spans="1:19" x14ac:dyDescent="0.35">
      <c r="A6" s="4" t="s">
        <v>112</v>
      </c>
      <c r="B6" s="4" t="s">
        <v>228</v>
      </c>
    </row>
    <row r="7" spans="1:19" x14ac:dyDescent="0.35">
      <c r="A7" s="4" t="s">
        <v>112</v>
      </c>
      <c r="B7" s="4" t="s">
        <v>229</v>
      </c>
    </row>
    <row r="8" spans="1:19" x14ac:dyDescent="0.35">
      <c r="A8" s="4" t="s">
        <v>112</v>
      </c>
      <c r="B8" s="4" t="s">
        <v>230</v>
      </c>
    </row>
    <row r="9" spans="1:19" x14ac:dyDescent="0.35">
      <c r="A9" s="4" t="s">
        <v>112</v>
      </c>
      <c r="B9" s="4" t="s">
        <v>231</v>
      </c>
    </row>
    <row r="10" spans="1:19" x14ac:dyDescent="0.35">
      <c r="A10" s="4" t="s">
        <v>113</v>
      </c>
      <c r="B10" s="4" t="s">
        <v>224</v>
      </c>
      <c r="C10" s="4">
        <v>210</v>
      </c>
      <c r="D10" s="4">
        <v>210</v>
      </c>
      <c r="E10" s="4">
        <v>210</v>
      </c>
      <c r="F10" s="4">
        <v>210</v>
      </c>
      <c r="G10" s="4">
        <v>210</v>
      </c>
      <c r="H10" s="4">
        <v>210</v>
      </c>
      <c r="I10" s="4">
        <v>210</v>
      </c>
      <c r="J10" s="4">
        <v>210</v>
      </c>
      <c r="K10" s="4">
        <v>210</v>
      </c>
      <c r="L10" s="4">
        <v>210</v>
      </c>
      <c r="M10" s="4">
        <v>210</v>
      </c>
      <c r="N10" s="4">
        <v>210</v>
      </c>
      <c r="O10" s="4">
        <v>210</v>
      </c>
      <c r="P10" s="4">
        <v>210</v>
      </c>
      <c r="Q10" s="4">
        <v>210</v>
      </c>
      <c r="R10" s="4">
        <v>210</v>
      </c>
      <c r="S10" s="4">
        <v>210</v>
      </c>
    </row>
    <row r="11" spans="1:19" x14ac:dyDescent="0.35">
      <c r="A11" s="4" t="s">
        <v>113</v>
      </c>
      <c r="B11" s="4" t="s">
        <v>225</v>
      </c>
      <c r="C11" s="3">
        <v>44.9</v>
      </c>
      <c r="D11" s="3">
        <v>15.7</v>
      </c>
      <c r="E11" s="2">
        <v>50</v>
      </c>
      <c r="F11" s="3">
        <v>10.3</v>
      </c>
      <c r="G11" s="2">
        <v>71</v>
      </c>
      <c r="H11" s="3">
        <v>92.5</v>
      </c>
      <c r="I11" s="3">
        <v>6.1</v>
      </c>
      <c r="J11" s="3">
        <v>9.1</v>
      </c>
      <c r="K11" s="3">
        <v>10.8</v>
      </c>
      <c r="L11" s="3">
        <v>11.8</v>
      </c>
      <c r="M11" s="3">
        <v>12.3</v>
      </c>
      <c r="N11" s="3">
        <v>25.9</v>
      </c>
      <c r="O11" s="3">
        <v>5.6</v>
      </c>
      <c r="P11" s="3">
        <v>10.6</v>
      </c>
      <c r="Q11" s="3">
        <v>84.8</v>
      </c>
      <c r="R11" s="3">
        <v>81.3</v>
      </c>
      <c r="S11" s="3">
        <v>78.900000000000006</v>
      </c>
    </row>
    <row r="12" spans="1:19" x14ac:dyDescent="0.35">
      <c r="A12" s="4" t="s">
        <v>113</v>
      </c>
      <c r="B12" s="4" t="s">
        <v>226</v>
      </c>
      <c r="C12" s="3">
        <v>2.9</v>
      </c>
      <c r="D12" s="3">
        <v>2.2000000000000002</v>
      </c>
      <c r="E12" s="2">
        <v>8</v>
      </c>
      <c r="F12" s="2">
        <v>3</v>
      </c>
      <c r="G12" s="3">
        <v>12.7</v>
      </c>
      <c r="H12" s="3">
        <v>8.5</v>
      </c>
      <c r="I12" s="3">
        <v>1.6</v>
      </c>
      <c r="J12" s="3">
        <v>2.1</v>
      </c>
      <c r="K12" s="2">
        <v>2</v>
      </c>
      <c r="L12" s="2">
        <v>2</v>
      </c>
      <c r="M12" s="2">
        <v>2</v>
      </c>
      <c r="N12" s="3">
        <v>4.9000000000000004</v>
      </c>
      <c r="O12" s="3">
        <v>1.6</v>
      </c>
      <c r="P12" s="3">
        <v>2.7</v>
      </c>
      <c r="Q12" s="3">
        <v>13.6</v>
      </c>
      <c r="R12" s="3">
        <v>16.3</v>
      </c>
      <c r="S12" s="2">
        <v>17</v>
      </c>
    </row>
    <row r="13" spans="1:19" x14ac:dyDescent="0.35">
      <c r="A13" s="4" t="s">
        <v>113</v>
      </c>
      <c r="B13" s="4" t="s">
        <v>227</v>
      </c>
    </row>
    <row r="14" spans="1:19" x14ac:dyDescent="0.35">
      <c r="A14" s="4" t="s">
        <v>113</v>
      </c>
      <c r="B14" s="4" t="s">
        <v>228</v>
      </c>
    </row>
    <row r="15" spans="1:19" x14ac:dyDescent="0.35">
      <c r="A15" s="4" t="s">
        <v>113</v>
      </c>
      <c r="B15" s="4" t="s">
        <v>229</v>
      </c>
    </row>
    <row r="16" spans="1:19" x14ac:dyDescent="0.35">
      <c r="A16" s="4" t="s">
        <v>113</v>
      </c>
      <c r="B16" s="4" t="s">
        <v>230</v>
      </c>
    </row>
    <row r="17" spans="1:19" x14ac:dyDescent="0.35">
      <c r="A17" s="4" t="s">
        <v>113</v>
      </c>
      <c r="B17" s="4" t="s">
        <v>231</v>
      </c>
    </row>
    <row r="18" spans="1:19" x14ac:dyDescent="0.35">
      <c r="A18" s="4" t="s">
        <v>114</v>
      </c>
      <c r="B18" s="4" t="s">
        <v>224</v>
      </c>
      <c r="C18" s="4">
        <v>610</v>
      </c>
      <c r="D18" s="4">
        <v>610</v>
      </c>
      <c r="E18" s="4">
        <v>610</v>
      </c>
      <c r="F18" s="4">
        <v>610</v>
      </c>
      <c r="G18" s="4">
        <v>610</v>
      </c>
      <c r="H18" s="4">
        <v>610</v>
      </c>
      <c r="I18" s="4">
        <v>610</v>
      </c>
      <c r="J18" s="4">
        <v>610</v>
      </c>
      <c r="K18" s="4">
        <v>610</v>
      </c>
      <c r="L18" s="4">
        <v>610</v>
      </c>
      <c r="M18" s="4">
        <v>610</v>
      </c>
      <c r="N18" s="4">
        <v>610</v>
      </c>
      <c r="O18" s="4">
        <v>610</v>
      </c>
      <c r="P18" s="4">
        <v>610</v>
      </c>
      <c r="Q18" s="4">
        <v>610</v>
      </c>
      <c r="R18" s="4">
        <v>610</v>
      </c>
      <c r="S18" s="4">
        <v>610</v>
      </c>
    </row>
    <row r="19" spans="1:19" x14ac:dyDescent="0.35">
      <c r="A19" s="4" t="s">
        <v>114</v>
      </c>
      <c r="B19" s="4" t="s">
        <v>225</v>
      </c>
      <c r="C19" s="3">
        <v>54.9</v>
      </c>
      <c r="D19" s="3">
        <v>15.2</v>
      </c>
      <c r="E19" s="3">
        <v>48.2</v>
      </c>
      <c r="F19" s="3">
        <v>9.6</v>
      </c>
      <c r="G19" s="3">
        <v>67.8</v>
      </c>
      <c r="H19" s="3">
        <v>92.100000000000009</v>
      </c>
      <c r="I19" s="3">
        <v>5.7</v>
      </c>
      <c r="J19" s="3">
        <v>8.6</v>
      </c>
      <c r="K19" s="3">
        <v>10.3</v>
      </c>
      <c r="L19" s="3">
        <v>11.5</v>
      </c>
      <c r="M19" s="2">
        <v>12</v>
      </c>
      <c r="N19" s="3">
        <v>24.7</v>
      </c>
      <c r="O19" s="3">
        <v>5.3</v>
      </c>
      <c r="P19" s="3">
        <v>9.9</v>
      </c>
      <c r="Q19" s="3">
        <v>82.3</v>
      </c>
      <c r="R19" s="3">
        <v>78.5</v>
      </c>
      <c r="S19" s="3">
        <v>75.099999999999994</v>
      </c>
    </row>
    <row r="20" spans="1:19" x14ac:dyDescent="0.35">
      <c r="A20" s="4" t="s">
        <v>114</v>
      </c>
      <c r="B20" s="4" t="s">
        <v>226</v>
      </c>
      <c r="C20" s="3">
        <v>2.7</v>
      </c>
      <c r="D20" s="3">
        <v>2.2000000000000002</v>
      </c>
      <c r="E20" s="3">
        <v>8.6999999999999993</v>
      </c>
      <c r="F20" s="3">
        <v>3.3</v>
      </c>
      <c r="G20" s="2">
        <v>14</v>
      </c>
      <c r="H20" s="3">
        <v>8.3000000000000007</v>
      </c>
      <c r="I20" s="3">
        <v>1.5</v>
      </c>
      <c r="J20" s="2">
        <v>2</v>
      </c>
      <c r="K20" s="3">
        <v>2.2999999999999998</v>
      </c>
      <c r="L20" s="3">
        <v>2.2999999999999998</v>
      </c>
      <c r="M20" s="3">
        <v>2.2000000000000002</v>
      </c>
      <c r="N20" s="3">
        <v>5.0999999999999996</v>
      </c>
      <c r="O20" s="3">
        <v>1.6</v>
      </c>
      <c r="P20" s="2">
        <v>3</v>
      </c>
      <c r="Q20" s="3">
        <v>16.7</v>
      </c>
      <c r="R20" s="3">
        <v>18.899999999999999</v>
      </c>
      <c r="S20" s="3">
        <v>20.7</v>
      </c>
    </row>
    <row r="21" spans="1:19" x14ac:dyDescent="0.35">
      <c r="A21" s="4" t="s">
        <v>114</v>
      </c>
      <c r="B21" s="4" t="s">
        <v>227</v>
      </c>
    </row>
    <row r="22" spans="1:19" x14ac:dyDescent="0.35">
      <c r="A22" s="4" t="s">
        <v>114</v>
      </c>
      <c r="B22" s="4" t="s">
        <v>228</v>
      </c>
    </row>
    <row r="23" spans="1:19" x14ac:dyDescent="0.35">
      <c r="A23" s="4" t="s">
        <v>114</v>
      </c>
      <c r="B23" s="4" t="s">
        <v>229</v>
      </c>
    </row>
    <row r="24" spans="1:19" x14ac:dyDescent="0.35">
      <c r="A24" s="4" t="s">
        <v>114</v>
      </c>
      <c r="B24" s="4" t="s">
        <v>230</v>
      </c>
    </row>
    <row r="25" spans="1:19" x14ac:dyDescent="0.35">
      <c r="A25" s="4" t="s">
        <v>114</v>
      </c>
      <c r="B25" s="4" t="s">
        <v>231</v>
      </c>
    </row>
    <row r="26" spans="1:19" x14ac:dyDescent="0.35">
      <c r="A26" s="4" t="s">
        <v>115</v>
      </c>
      <c r="B26" s="4" t="s">
        <v>224</v>
      </c>
      <c r="C26" s="4">
        <v>916</v>
      </c>
      <c r="D26" s="4">
        <v>916</v>
      </c>
      <c r="E26" s="4">
        <v>916</v>
      </c>
      <c r="F26" s="4">
        <v>916</v>
      </c>
      <c r="G26" s="4">
        <v>916</v>
      </c>
      <c r="H26" s="4">
        <v>916</v>
      </c>
      <c r="I26" s="4">
        <v>916</v>
      </c>
      <c r="J26" s="4">
        <v>916</v>
      </c>
      <c r="K26" s="4">
        <v>916</v>
      </c>
      <c r="L26" s="4">
        <v>916</v>
      </c>
      <c r="M26" s="4">
        <v>916</v>
      </c>
      <c r="N26" s="4">
        <v>916</v>
      </c>
      <c r="O26" s="4">
        <v>916</v>
      </c>
      <c r="P26" s="4">
        <v>916</v>
      </c>
      <c r="Q26" s="4">
        <v>916</v>
      </c>
      <c r="R26" s="4">
        <v>916</v>
      </c>
      <c r="S26" s="4">
        <v>916</v>
      </c>
    </row>
    <row r="27" spans="1:19" x14ac:dyDescent="0.35">
      <c r="A27" s="4" t="s">
        <v>115</v>
      </c>
      <c r="B27" s="4" t="s">
        <v>225</v>
      </c>
      <c r="C27" s="2">
        <v>65</v>
      </c>
      <c r="D27" s="3">
        <v>15.1</v>
      </c>
      <c r="E27" s="3">
        <v>45.6</v>
      </c>
      <c r="F27" s="3">
        <v>8.8000000000000007</v>
      </c>
      <c r="G27" s="3">
        <v>63.6</v>
      </c>
      <c r="H27" s="3">
        <v>90.9</v>
      </c>
      <c r="I27" s="3">
        <v>5.5</v>
      </c>
      <c r="J27" s="3">
        <v>8.1</v>
      </c>
      <c r="K27" s="3">
        <v>9.8000000000000007</v>
      </c>
      <c r="L27" s="3">
        <v>10.8</v>
      </c>
      <c r="M27" s="3">
        <v>11.4</v>
      </c>
      <c r="N27" s="3">
        <v>23.4</v>
      </c>
      <c r="O27" s="2">
        <v>5</v>
      </c>
      <c r="P27" s="3">
        <v>9.1999999999999993</v>
      </c>
      <c r="Q27" s="3">
        <v>1.87</v>
      </c>
      <c r="R27" s="3">
        <v>1.82</v>
      </c>
      <c r="S27" s="3">
        <v>1.76</v>
      </c>
    </row>
    <row r="28" spans="1:19" x14ac:dyDescent="0.35">
      <c r="A28" s="4" t="s">
        <v>115</v>
      </c>
      <c r="B28" s="4" t="s">
        <v>226</v>
      </c>
      <c r="C28" s="3">
        <v>2.8</v>
      </c>
      <c r="D28" s="3">
        <v>2.2999999999999998</v>
      </c>
      <c r="E28" s="3">
        <v>8.4</v>
      </c>
      <c r="F28" s="3">
        <v>3.2</v>
      </c>
      <c r="G28" s="3">
        <v>13.5</v>
      </c>
      <c r="H28" s="3">
        <v>8.7999999999999989</v>
      </c>
      <c r="I28" s="3">
        <v>1.5</v>
      </c>
      <c r="J28" s="3">
        <v>1.9</v>
      </c>
      <c r="K28" s="3">
        <v>2.2000000000000002</v>
      </c>
      <c r="L28" s="3">
        <v>2.2999999999999998</v>
      </c>
      <c r="M28" s="3">
        <v>2.2000000000000002</v>
      </c>
      <c r="N28" s="3">
        <v>4.7</v>
      </c>
      <c r="O28" s="3">
        <v>1.6</v>
      </c>
      <c r="P28" s="3">
        <v>2.9</v>
      </c>
      <c r="Q28" s="3">
        <v>0.33</v>
      </c>
      <c r="R28" s="3">
        <v>0.36</v>
      </c>
      <c r="S28" s="3">
        <v>0.39</v>
      </c>
    </row>
    <row r="29" spans="1:19" x14ac:dyDescent="0.35">
      <c r="A29" s="4" t="s">
        <v>115</v>
      </c>
      <c r="B29" s="4" t="s">
        <v>227</v>
      </c>
    </row>
    <row r="30" spans="1:19" x14ac:dyDescent="0.35">
      <c r="A30" s="4" t="s">
        <v>115</v>
      </c>
      <c r="B30" s="4" t="s">
        <v>228</v>
      </c>
    </row>
    <row r="31" spans="1:19" x14ac:dyDescent="0.35">
      <c r="A31" s="4" t="s">
        <v>115</v>
      </c>
      <c r="B31" s="4" t="s">
        <v>229</v>
      </c>
    </row>
    <row r="32" spans="1:19" x14ac:dyDescent="0.35">
      <c r="A32" s="4" t="s">
        <v>115</v>
      </c>
      <c r="B32" s="4" t="s">
        <v>230</v>
      </c>
    </row>
    <row r="33" spans="1:2" x14ac:dyDescent="0.35">
      <c r="A33" s="4" t="s">
        <v>115</v>
      </c>
      <c r="B33" s="4" t="s">
        <v>231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1EE1D-EBBF-4108-B2D1-0A715AEA307A}">
  <dimension ref="A1:AM8"/>
  <sheetViews>
    <sheetView workbookViewId="0">
      <selection sqref="A1:XFD1048576"/>
    </sheetView>
  </sheetViews>
  <sheetFormatPr defaultRowHeight="14.5" x14ac:dyDescent="0.35"/>
  <cols>
    <col min="1" max="1" width="9.54296875" style="4" bestFit="1" customWidth="1"/>
    <col min="2" max="2" width="7.7265625" style="5" bestFit="1" customWidth="1"/>
    <col min="3" max="3" width="8.453125" style="5" bestFit="1" customWidth="1"/>
    <col min="4" max="4" width="5.26953125" style="5" bestFit="1" customWidth="1"/>
    <col min="5" max="5" width="6.453125" style="6" bestFit="1" customWidth="1"/>
    <col min="6" max="6" width="6.81640625" style="6" bestFit="1" customWidth="1"/>
    <col min="7" max="7" width="12.26953125" style="6" bestFit="1" customWidth="1"/>
    <col min="8" max="8" width="11.81640625" style="6" bestFit="1" customWidth="1"/>
    <col min="9" max="9" width="12.26953125" style="6" bestFit="1" customWidth="1"/>
    <col min="10" max="10" width="8.81640625" style="6" bestFit="1" customWidth="1"/>
    <col min="11" max="11" width="9.1796875" style="5" bestFit="1" customWidth="1"/>
    <col min="12" max="12" width="5.36328125" style="5" bestFit="1" customWidth="1"/>
    <col min="13" max="13" width="5.26953125" style="6" bestFit="1" customWidth="1"/>
    <col min="14" max="14" width="10.81640625" style="6" bestFit="1" customWidth="1"/>
    <col min="15" max="15" width="11.1796875" style="6" bestFit="1" customWidth="1"/>
    <col min="16" max="16" width="15.26953125" style="6" bestFit="1" customWidth="1"/>
    <col min="17" max="17" width="15.54296875" style="6" bestFit="1" customWidth="1"/>
    <col min="18" max="18" width="4.81640625" style="6" bestFit="1" customWidth="1"/>
    <col min="19" max="19" width="5.26953125" style="6" bestFit="1" customWidth="1"/>
    <col min="20" max="20" width="4.81640625" style="6" bestFit="1" customWidth="1"/>
    <col min="21" max="21" width="5.26953125" style="6" bestFit="1" customWidth="1"/>
    <col min="22" max="22" width="4.81640625" style="5" bestFit="1" customWidth="1"/>
    <col min="23" max="23" width="5.26953125" style="6" bestFit="1" customWidth="1"/>
    <col min="24" max="24" width="4.81640625" style="5" bestFit="1" customWidth="1"/>
    <col min="25" max="25" width="5.26953125" style="6" bestFit="1" customWidth="1"/>
    <col min="26" max="26" width="4.81640625" style="6" bestFit="1" customWidth="1"/>
    <col min="27" max="27" width="5.26953125" style="6" bestFit="1" customWidth="1"/>
    <col min="28" max="28" width="6.81640625" style="6" bestFit="1" customWidth="1"/>
    <col min="29" max="29" width="7.1796875" style="6" bestFit="1" customWidth="1"/>
    <col min="30" max="30" width="4.81640625" style="6" bestFit="1" customWidth="1"/>
    <col min="31" max="31" width="5.26953125" style="6" bestFit="1" customWidth="1"/>
    <col min="32" max="32" width="4.81640625" style="6" bestFit="1" customWidth="1"/>
    <col min="33" max="33" width="5.26953125" style="6" bestFit="1" customWidth="1"/>
    <col min="34" max="34" width="31.453125" style="6" bestFit="1" customWidth="1"/>
    <col min="35" max="35" width="31.81640625" style="6" bestFit="1" customWidth="1"/>
    <col min="36" max="36" width="30.81640625" style="6" bestFit="1" customWidth="1"/>
    <col min="37" max="37" width="31.1796875" style="6" bestFit="1" customWidth="1"/>
    <col min="38" max="38" width="24.81640625" style="6" bestFit="1" customWidth="1"/>
    <col min="39" max="39" width="25.453125" style="6" bestFit="1" customWidth="1"/>
  </cols>
  <sheetData>
    <row r="1" spans="1:39" ht="19.5" customHeight="1" x14ac:dyDescent="0.35">
      <c r="A1" s="1" t="s">
        <v>168</v>
      </c>
      <c r="B1" s="2" t="s">
        <v>169</v>
      </c>
      <c r="C1" s="2" t="s">
        <v>170</v>
      </c>
      <c r="D1" s="2" t="s">
        <v>171</v>
      </c>
      <c r="E1" s="3" t="s">
        <v>172</v>
      </c>
      <c r="F1" s="3" t="s">
        <v>173</v>
      </c>
      <c r="G1" s="3" t="s">
        <v>174</v>
      </c>
      <c r="H1" s="3" t="s">
        <v>175</v>
      </c>
      <c r="I1" s="3" t="s">
        <v>176</v>
      </c>
      <c r="J1" s="3" t="s">
        <v>177</v>
      </c>
      <c r="K1" s="2" t="s">
        <v>178</v>
      </c>
      <c r="L1" s="2" t="s">
        <v>179</v>
      </c>
      <c r="M1" s="3" t="s">
        <v>180</v>
      </c>
      <c r="N1" s="3" t="s">
        <v>181</v>
      </c>
      <c r="O1" s="3" t="s">
        <v>182</v>
      </c>
      <c r="P1" s="3" t="s">
        <v>183</v>
      </c>
      <c r="Q1" s="3" t="s">
        <v>184</v>
      </c>
      <c r="R1" s="3" t="s">
        <v>185</v>
      </c>
      <c r="S1" s="3" t="s">
        <v>186</v>
      </c>
      <c r="T1" s="3" t="s">
        <v>187</v>
      </c>
      <c r="U1" s="3" t="s">
        <v>188</v>
      </c>
      <c r="V1" s="2" t="s">
        <v>189</v>
      </c>
      <c r="W1" s="3" t="s">
        <v>190</v>
      </c>
      <c r="X1" s="2" t="s">
        <v>191</v>
      </c>
      <c r="Y1" s="3" t="s">
        <v>192</v>
      </c>
      <c r="Z1" s="3" t="s">
        <v>193</v>
      </c>
      <c r="AA1" s="3" t="s">
        <v>194</v>
      </c>
      <c r="AB1" s="3" t="s">
        <v>195</v>
      </c>
      <c r="AC1" s="3" t="s">
        <v>196</v>
      </c>
      <c r="AD1" s="3" t="s">
        <v>197</v>
      </c>
      <c r="AE1" s="3" t="s">
        <v>198</v>
      </c>
      <c r="AF1" s="3" t="s">
        <v>199</v>
      </c>
      <c r="AG1" s="3" t="s">
        <v>200</v>
      </c>
      <c r="AH1" s="3" t="s">
        <v>201</v>
      </c>
      <c r="AI1" s="3" t="s">
        <v>202</v>
      </c>
      <c r="AJ1" s="3" t="s">
        <v>203</v>
      </c>
      <c r="AK1" s="3" t="s">
        <v>204</v>
      </c>
      <c r="AL1" s="3" t="s">
        <v>205</v>
      </c>
      <c r="AM1" s="3" t="s">
        <v>206</v>
      </c>
    </row>
    <row r="2" spans="1:39" ht="19.5" customHeight="1" x14ac:dyDescent="0.35">
      <c r="A2" s="1" t="s">
        <v>112</v>
      </c>
      <c r="B2" s="2">
        <v>30</v>
      </c>
      <c r="C2" s="2">
        <v>39</v>
      </c>
      <c r="D2" s="2">
        <v>214</v>
      </c>
      <c r="E2" s="3">
        <v>35.4</v>
      </c>
      <c r="F2" s="3">
        <v>2.6</v>
      </c>
      <c r="G2" s="3">
        <v>51.4</v>
      </c>
      <c r="H2" s="3">
        <v>15.8</v>
      </c>
      <c r="I2" s="2">
        <v>2</v>
      </c>
      <c r="J2" s="3">
        <v>52.4</v>
      </c>
      <c r="K2" s="3">
        <v>8.6</v>
      </c>
      <c r="L2" s="3">
        <v>11.1</v>
      </c>
      <c r="M2" s="3">
        <v>3.2</v>
      </c>
      <c r="N2" s="3">
        <v>74.900000000000006</v>
      </c>
      <c r="O2" s="2">
        <v>14</v>
      </c>
      <c r="P2" s="3">
        <v>93.600000000000009</v>
      </c>
      <c r="Q2" s="3">
        <v>8.1</v>
      </c>
      <c r="R2" s="3">
        <v>6.5</v>
      </c>
      <c r="S2" s="3">
        <v>1.7</v>
      </c>
      <c r="T2" s="3">
        <v>9.5</v>
      </c>
      <c r="U2" s="3">
        <v>2.2000000000000002</v>
      </c>
      <c r="V2" s="3">
        <v>11.4</v>
      </c>
      <c r="W2" s="3">
        <v>2.2000000000000002</v>
      </c>
      <c r="X2" s="3">
        <v>12.3</v>
      </c>
      <c r="Y2" s="3">
        <v>2.2000000000000002</v>
      </c>
      <c r="Z2" s="3">
        <v>12.8</v>
      </c>
      <c r="AA2" s="3">
        <v>2.1</v>
      </c>
      <c r="AB2" s="3">
        <v>27.4</v>
      </c>
      <c r="AC2" s="3">
        <v>5.4</v>
      </c>
      <c r="AD2" s="3">
        <v>5.9</v>
      </c>
      <c r="AE2" s="3">
        <v>1.9</v>
      </c>
      <c r="AF2" s="3">
        <v>11.3</v>
      </c>
      <c r="AG2" s="3">
        <v>2.9</v>
      </c>
      <c r="AH2" s="3">
        <v>86.6</v>
      </c>
      <c r="AI2" s="3">
        <v>14.2</v>
      </c>
      <c r="AJ2" s="3">
        <v>84.9</v>
      </c>
      <c r="AK2" s="3">
        <v>16.7</v>
      </c>
      <c r="AL2" s="3">
        <v>1.92</v>
      </c>
      <c r="AM2" s="3">
        <v>0.34</v>
      </c>
    </row>
    <row r="3" spans="1:39" ht="19.5" customHeight="1" x14ac:dyDescent="0.35">
      <c r="A3" s="1" t="s">
        <v>113</v>
      </c>
      <c r="B3" s="2">
        <v>40</v>
      </c>
      <c r="C3" s="2">
        <v>49</v>
      </c>
      <c r="D3" s="2">
        <v>210</v>
      </c>
      <c r="E3" s="3">
        <v>44.9</v>
      </c>
      <c r="F3" s="3">
        <v>2.9</v>
      </c>
      <c r="G3" s="3">
        <v>53.800000000000004</v>
      </c>
      <c r="H3" s="3">
        <v>15.7</v>
      </c>
      <c r="I3" s="3">
        <v>2.2000000000000002</v>
      </c>
      <c r="J3" s="2">
        <v>50</v>
      </c>
      <c r="K3" s="2">
        <v>8</v>
      </c>
      <c r="L3" s="3">
        <v>10.3</v>
      </c>
      <c r="M3" s="2">
        <v>3</v>
      </c>
      <c r="N3" s="2">
        <v>71</v>
      </c>
      <c r="O3" s="3">
        <v>12.7</v>
      </c>
      <c r="P3" s="3">
        <v>92.5</v>
      </c>
      <c r="Q3" s="3">
        <v>8.5</v>
      </c>
      <c r="R3" s="3">
        <v>6.1</v>
      </c>
      <c r="S3" s="3">
        <v>1.6</v>
      </c>
      <c r="T3" s="3">
        <v>9.1</v>
      </c>
      <c r="U3" s="3">
        <v>2.1</v>
      </c>
      <c r="V3" s="3">
        <v>10.8</v>
      </c>
      <c r="W3" s="2">
        <v>2</v>
      </c>
      <c r="X3" s="3">
        <v>11.8</v>
      </c>
      <c r="Y3" s="2">
        <v>2</v>
      </c>
      <c r="Z3" s="3">
        <v>12.3</v>
      </c>
      <c r="AA3" s="2">
        <v>2</v>
      </c>
      <c r="AB3" s="3">
        <v>25.9</v>
      </c>
      <c r="AC3" s="3">
        <v>4.9000000000000004</v>
      </c>
      <c r="AD3" s="3">
        <v>5.6</v>
      </c>
      <c r="AE3" s="3">
        <v>1.6</v>
      </c>
      <c r="AF3" s="3">
        <v>10.6</v>
      </c>
      <c r="AG3" s="3">
        <v>2.7</v>
      </c>
      <c r="AH3" s="3">
        <v>84.8</v>
      </c>
      <c r="AI3" s="3">
        <v>13.6</v>
      </c>
      <c r="AJ3" s="3">
        <v>82.3</v>
      </c>
      <c r="AK3" s="3">
        <v>16.7</v>
      </c>
      <c r="AL3" s="3">
        <v>1.87</v>
      </c>
      <c r="AM3" s="3">
        <v>0.33</v>
      </c>
    </row>
    <row r="4" spans="1:39" ht="19.5" customHeight="1" x14ac:dyDescent="0.35">
      <c r="A4" s="1" t="s">
        <v>114</v>
      </c>
      <c r="B4" s="2">
        <v>50</v>
      </c>
      <c r="C4" s="2">
        <v>59</v>
      </c>
      <c r="D4" s="2">
        <v>610</v>
      </c>
      <c r="E4" s="3">
        <v>54.9</v>
      </c>
      <c r="F4" s="3">
        <v>2.7</v>
      </c>
      <c r="G4" s="2">
        <v>51</v>
      </c>
      <c r="H4" s="3">
        <v>15.2</v>
      </c>
      <c r="I4" s="3">
        <v>2.2000000000000002</v>
      </c>
      <c r="J4" s="3">
        <v>48.2</v>
      </c>
      <c r="K4" s="3">
        <v>8.6999999999999993</v>
      </c>
      <c r="L4" s="3">
        <v>9.6</v>
      </c>
      <c r="M4" s="3">
        <v>3.3</v>
      </c>
      <c r="N4" s="3">
        <v>67.8</v>
      </c>
      <c r="O4" s="2">
        <v>14</v>
      </c>
      <c r="P4" s="3">
        <v>92.100000000000009</v>
      </c>
      <c r="Q4" s="3">
        <v>8.3000000000000007</v>
      </c>
      <c r="R4" s="3">
        <v>5.7</v>
      </c>
      <c r="S4" s="3">
        <v>1.5</v>
      </c>
      <c r="T4" s="3">
        <v>8.6</v>
      </c>
      <c r="U4" s="2">
        <v>2</v>
      </c>
      <c r="V4" s="3">
        <v>10.3</v>
      </c>
      <c r="W4" s="3">
        <v>2.2999999999999998</v>
      </c>
      <c r="X4" s="3">
        <v>11.5</v>
      </c>
      <c r="Y4" s="3">
        <v>2.2999999999999998</v>
      </c>
      <c r="Z4" s="2">
        <v>12</v>
      </c>
      <c r="AA4" s="3">
        <v>2.2000000000000002</v>
      </c>
      <c r="AB4" s="3">
        <v>24.7</v>
      </c>
      <c r="AC4" s="3">
        <v>5.0999999999999996</v>
      </c>
      <c r="AD4" s="3">
        <v>5.3</v>
      </c>
      <c r="AE4" s="3">
        <v>1.6</v>
      </c>
      <c r="AF4" s="3">
        <v>9.9</v>
      </c>
      <c r="AG4" s="2">
        <v>3</v>
      </c>
      <c r="AH4" s="3">
        <v>81.3</v>
      </c>
      <c r="AI4" s="3">
        <v>16.3</v>
      </c>
      <c r="AJ4" s="3">
        <v>78.5</v>
      </c>
      <c r="AK4" s="3">
        <v>18.899999999999999</v>
      </c>
      <c r="AL4" s="3">
        <v>1.82</v>
      </c>
      <c r="AM4" s="3">
        <v>0.36</v>
      </c>
    </row>
    <row r="5" spans="1:39" ht="19.5" customHeight="1" x14ac:dyDescent="0.35">
      <c r="A5" s="1" t="s">
        <v>115</v>
      </c>
      <c r="B5" s="2">
        <v>60</v>
      </c>
      <c r="C5" s="2">
        <v>70</v>
      </c>
      <c r="D5" s="2">
        <v>916</v>
      </c>
      <c r="E5" s="2">
        <v>65</v>
      </c>
      <c r="F5" s="3">
        <v>2.8</v>
      </c>
      <c r="G5" s="2">
        <v>49</v>
      </c>
      <c r="H5" s="3">
        <v>15.1</v>
      </c>
      <c r="I5" s="3">
        <v>2.2999999999999998</v>
      </c>
      <c r="J5" s="3">
        <v>45.6</v>
      </c>
      <c r="K5" s="3">
        <v>8.4</v>
      </c>
      <c r="L5" s="3">
        <v>8.8000000000000007</v>
      </c>
      <c r="M5" s="3">
        <v>3.2</v>
      </c>
      <c r="N5" s="3">
        <v>63.6</v>
      </c>
      <c r="O5" s="3">
        <v>13.5</v>
      </c>
      <c r="P5" s="3">
        <v>90.9</v>
      </c>
      <c r="Q5" s="3">
        <v>8.7999999999999989</v>
      </c>
      <c r="R5" s="3">
        <v>5.5</v>
      </c>
      <c r="S5" s="3">
        <v>1.5</v>
      </c>
      <c r="T5" s="3">
        <v>8.1</v>
      </c>
      <c r="U5" s="3">
        <v>1.9</v>
      </c>
      <c r="V5" s="3">
        <v>9.8000000000000007</v>
      </c>
      <c r="W5" s="3">
        <v>2.2000000000000002</v>
      </c>
      <c r="X5" s="3">
        <v>10.8</v>
      </c>
      <c r="Y5" s="3">
        <v>2.2999999999999998</v>
      </c>
      <c r="Z5" s="3">
        <v>11.4</v>
      </c>
      <c r="AA5" s="3">
        <v>2.2000000000000002</v>
      </c>
      <c r="AB5" s="3">
        <v>23.4</v>
      </c>
      <c r="AC5" s="3">
        <v>4.7</v>
      </c>
      <c r="AD5" s="2">
        <v>5</v>
      </c>
      <c r="AE5" s="3">
        <v>1.6</v>
      </c>
      <c r="AF5" s="3">
        <v>9.1999999999999993</v>
      </c>
      <c r="AG5" s="3">
        <v>2.9</v>
      </c>
      <c r="AH5" s="3">
        <v>78.900000000000006</v>
      </c>
      <c r="AI5" s="2">
        <v>17</v>
      </c>
      <c r="AJ5" s="3">
        <v>75.099999999999994</v>
      </c>
      <c r="AK5" s="3">
        <v>20.7</v>
      </c>
      <c r="AL5" s="3">
        <v>1.76</v>
      </c>
      <c r="AM5" s="3">
        <v>0.39</v>
      </c>
    </row>
    <row r="6" spans="1:39" ht="19.5" customHeight="1" x14ac:dyDescent="0.35">
      <c r="A6" s="1" t="s">
        <v>116</v>
      </c>
      <c r="B6" s="2">
        <v>71</v>
      </c>
      <c r="C6" s="2">
        <v>79</v>
      </c>
      <c r="D6" s="2">
        <v>1655</v>
      </c>
      <c r="E6" s="3">
        <v>74.5</v>
      </c>
      <c r="F6" s="3">
        <v>2.6</v>
      </c>
      <c r="G6" s="3">
        <v>50.8</v>
      </c>
      <c r="H6" s="3">
        <v>14.4</v>
      </c>
      <c r="I6" s="3">
        <v>2.6</v>
      </c>
      <c r="J6" s="3">
        <v>39.5</v>
      </c>
      <c r="K6" s="3">
        <v>8.6999999999999993</v>
      </c>
      <c r="L6" s="3">
        <v>7.2</v>
      </c>
      <c r="M6" s="3">
        <v>3.3</v>
      </c>
      <c r="N6" s="3">
        <v>54.3</v>
      </c>
      <c r="O6" s="3">
        <v>13.9</v>
      </c>
      <c r="P6" s="3">
        <v>88.5</v>
      </c>
      <c r="Q6" s="3">
        <v>9.8000000000000007</v>
      </c>
      <c r="R6" s="3">
        <v>4.9000000000000004</v>
      </c>
      <c r="S6" s="3">
        <v>1.4</v>
      </c>
      <c r="T6" s="2">
        <v>7</v>
      </c>
      <c r="U6" s="3">
        <v>1.9</v>
      </c>
      <c r="V6" s="3">
        <v>8.4</v>
      </c>
      <c r="W6" s="3">
        <v>2.2000000000000002</v>
      </c>
      <c r="X6" s="3">
        <v>9.3000000000000007</v>
      </c>
      <c r="Y6" s="3">
        <v>2.2999999999999998</v>
      </c>
      <c r="Z6" s="3">
        <v>9.9</v>
      </c>
      <c r="AA6" s="3">
        <v>2.4</v>
      </c>
      <c r="AB6" s="3">
        <v>20.3</v>
      </c>
      <c r="AC6" s="3">
        <v>4.7</v>
      </c>
      <c r="AD6" s="3">
        <v>4.0999999999999996</v>
      </c>
      <c r="AE6" s="3">
        <v>1.6</v>
      </c>
      <c r="AF6" s="3">
        <v>7.6</v>
      </c>
      <c r="AG6" s="3">
        <v>3.1</v>
      </c>
      <c r="AH6" s="3">
        <v>74.400000000000006</v>
      </c>
      <c r="AI6" s="3">
        <v>21.3</v>
      </c>
      <c r="AJ6" s="3">
        <v>69.7</v>
      </c>
      <c r="AK6" s="3">
        <v>23.5</v>
      </c>
      <c r="AL6" s="3">
        <v>1.65</v>
      </c>
      <c r="AM6" s="3">
        <v>0.45</v>
      </c>
    </row>
    <row r="7" spans="1:39" ht="19.5" customHeight="1" x14ac:dyDescent="0.35">
      <c r="A7" s="1" t="s">
        <v>117</v>
      </c>
      <c r="B7" s="2">
        <v>80</v>
      </c>
      <c r="C7" s="2">
        <v>91</v>
      </c>
      <c r="D7" s="2">
        <v>805</v>
      </c>
      <c r="E7" s="3">
        <v>83.8</v>
      </c>
      <c r="F7" s="3">
        <v>2.8</v>
      </c>
      <c r="G7" s="3">
        <v>47.099999999999994</v>
      </c>
      <c r="H7" s="3">
        <v>13.9</v>
      </c>
      <c r="I7" s="3">
        <v>2.9</v>
      </c>
      <c r="J7" s="3">
        <v>35.299999999999997</v>
      </c>
      <c r="K7" s="3">
        <v>8.1999999999999993</v>
      </c>
      <c r="L7" s="3">
        <v>6.1</v>
      </c>
      <c r="M7" s="3">
        <v>3.2</v>
      </c>
      <c r="N7" s="2">
        <v>48</v>
      </c>
      <c r="O7" s="3">
        <v>13.1</v>
      </c>
      <c r="P7" s="3">
        <v>86.6</v>
      </c>
      <c r="Q7" s="3">
        <v>10.199999999999999</v>
      </c>
      <c r="R7" s="3">
        <v>4.4000000000000004</v>
      </c>
      <c r="S7" s="3">
        <v>1.4</v>
      </c>
      <c r="T7" s="3">
        <v>6.2</v>
      </c>
      <c r="U7" s="3">
        <v>1.7</v>
      </c>
      <c r="V7" s="3">
        <v>7.4</v>
      </c>
      <c r="W7" s="3">
        <v>2.1</v>
      </c>
      <c r="X7" s="3">
        <v>8.3000000000000007</v>
      </c>
      <c r="Y7" s="3">
        <v>2.2000000000000002</v>
      </c>
      <c r="Z7" s="3">
        <v>8.9</v>
      </c>
      <c r="AA7" s="3">
        <v>2.4</v>
      </c>
      <c r="AB7" s="2">
        <v>18</v>
      </c>
      <c r="AC7" s="3">
        <v>4.4000000000000004</v>
      </c>
      <c r="AD7" s="3">
        <v>3.4</v>
      </c>
      <c r="AE7" s="3">
        <v>1.4</v>
      </c>
      <c r="AF7" s="3">
        <v>6.5</v>
      </c>
      <c r="AG7" s="2">
        <v>3</v>
      </c>
      <c r="AH7" s="3">
        <v>70.900000000000006</v>
      </c>
      <c r="AI7" s="3">
        <v>23.9</v>
      </c>
      <c r="AJ7" s="3">
        <v>65.400000000000006</v>
      </c>
      <c r="AK7" s="2">
        <v>27</v>
      </c>
      <c r="AL7" s="3">
        <v>1.56</v>
      </c>
      <c r="AM7" s="3">
        <v>0.49</v>
      </c>
    </row>
    <row r="8" spans="1:39" ht="19.5" customHeight="1" x14ac:dyDescent="0.35">
      <c r="A8" s="1" t="s">
        <v>118</v>
      </c>
      <c r="B8" s="2">
        <v>30</v>
      </c>
      <c r="C8" s="2">
        <v>91</v>
      </c>
      <c r="D8" s="2">
        <v>4428</v>
      </c>
      <c r="E8" s="3">
        <v>68.3</v>
      </c>
      <c r="F8" s="3">
        <v>13.1</v>
      </c>
      <c r="G8" s="3">
        <v>49.9</v>
      </c>
      <c r="H8" s="3">
        <v>14.7</v>
      </c>
      <c r="I8" s="3">
        <v>2.6</v>
      </c>
      <c r="J8" s="3">
        <v>42.3</v>
      </c>
      <c r="K8" s="2">
        <v>10</v>
      </c>
      <c r="L8" s="2">
        <v>8</v>
      </c>
      <c r="M8" s="3">
        <v>3.5</v>
      </c>
      <c r="N8" s="3">
        <v>58.7</v>
      </c>
      <c r="O8" s="3">
        <v>15.9</v>
      </c>
      <c r="P8" s="3">
        <v>89.600000000000009</v>
      </c>
      <c r="Q8" s="3">
        <v>9.6</v>
      </c>
      <c r="R8" s="3">
        <v>5.2</v>
      </c>
      <c r="S8" s="3">
        <v>1.6</v>
      </c>
      <c r="T8" s="3">
        <v>7.5</v>
      </c>
      <c r="U8" s="3">
        <v>2.1</v>
      </c>
      <c r="V8" s="2">
        <v>9</v>
      </c>
      <c r="W8" s="3">
        <v>2.5</v>
      </c>
      <c r="X8" s="2">
        <v>10</v>
      </c>
      <c r="Y8" s="3">
        <v>2.6</v>
      </c>
      <c r="Z8" s="3">
        <v>10.6</v>
      </c>
      <c r="AA8" s="3">
        <v>2.6</v>
      </c>
      <c r="AB8" s="3">
        <v>21.7</v>
      </c>
      <c r="AC8" s="3">
        <v>5.5</v>
      </c>
      <c r="AD8" s="3">
        <v>4.5</v>
      </c>
      <c r="AE8" s="3">
        <v>1.7</v>
      </c>
      <c r="AF8" s="3">
        <v>8.4</v>
      </c>
      <c r="AG8" s="3">
        <v>3.3</v>
      </c>
      <c r="AH8" s="3">
        <v>76.7</v>
      </c>
      <c r="AI8" s="3">
        <v>20.2</v>
      </c>
      <c r="AJ8" s="3">
        <v>72.599999999999994</v>
      </c>
      <c r="AK8" s="3">
        <v>23.2</v>
      </c>
      <c r="AL8" s="3">
        <v>1.71</v>
      </c>
      <c r="AM8" s="3">
        <v>0.44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25"/>
  <sheetViews>
    <sheetView workbookViewId="0">
      <selection activeCell="E3" sqref="E3"/>
    </sheetView>
  </sheetViews>
  <sheetFormatPr defaultRowHeight="14.5" x14ac:dyDescent="0.35"/>
  <cols>
    <col min="1" max="1" width="22.453125" bestFit="1" customWidth="1"/>
    <col min="2" max="5" width="10.54296875" bestFit="1" customWidth="1"/>
    <col min="6" max="6" width="11.54296875" bestFit="1" customWidth="1"/>
    <col min="7" max="7" width="10.54296875" bestFit="1" customWidth="1"/>
    <col min="8" max="8" width="11.54296875" bestFit="1" customWidth="1"/>
  </cols>
  <sheetData>
    <row r="1" spans="1:8" ht="19.5" customHeight="1" x14ac:dyDescent="0.35"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</row>
    <row r="2" spans="1:8" ht="19.5" customHeight="1" x14ac:dyDescent="0.35">
      <c r="B2" t="s">
        <v>119</v>
      </c>
      <c r="C2" t="s">
        <v>120</v>
      </c>
      <c r="D2" t="s">
        <v>121</v>
      </c>
      <c r="E2" t="s">
        <v>122</v>
      </c>
      <c r="F2" t="s">
        <v>123</v>
      </c>
      <c r="G2" t="s">
        <v>124</v>
      </c>
      <c r="H2" t="s">
        <v>125</v>
      </c>
    </row>
    <row r="3" spans="1:8" ht="19.5" customHeight="1" x14ac:dyDescent="0.35">
      <c r="A3" t="s">
        <v>126</v>
      </c>
      <c r="B3" t="s">
        <v>127</v>
      </c>
      <c r="C3" t="s">
        <v>128</v>
      </c>
      <c r="D3" t="s">
        <v>129</v>
      </c>
      <c r="E3" t="s">
        <v>130</v>
      </c>
      <c r="F3" t="s">
        <v>131</v>
      </c>
      <c r="G3" t="s">
        <v>132</v>
      </c>
      <c r="H3" t="s">
        <v>133</v>
      </c>
    </row>
    <row r="4" spans="1:8" ht="19.5" customHeight="1" x14ac:dyDescent="0.35">
      <c r="A4" t="s">
        <v>134</v>
      </c>
      <c r="B4" t="s">
        <v>135</v>
      </c>
      <c r="C4" t="s">
        <v>136</v>
      </c>
      <c r="D4" t="s">
        <v>137</v>
      </c>
      <c r="E4" t="s">
        <v>138</v>
      </c>
      <c r="F4" t="s">
        <v>139</v>
      </c>
      <c r="G4" t="s">
        <v>140</v>
      </c>
      <c r="H4" t="s">
        <v>141</v>
      </c>
    </row>
    <row r="5" spans="1:8" ht="19.5" customHeight="1" x14ac:dyDescent="0.35">
      <c r="A5" t="s">
        <v>142</v>
      </c>
      <c r="B5" t="s">
        <v>143</v>
      </c>
      <c r="C5" t="s">
        <v>144</v>
      </c>
      <c r="D5" t="s">
        <v>145</v>
      </c>
      <c r="E5" t="s">
        <v>146</v>
      </c>
      <c r="F5" t="s">
        <v>147</v>
      </c>
      <c r="G5" t="s">
        <v>148</v>
      </c>
      <c r="H5" t="s">
        <v>149</v>
      </c>
    </row>
    <row r="6" spans="1:8" ht="19.5" customHeight="1" x14ac:dyDescent="0.35">
      <c r="A6" t="s">
        <v>150</v>
      </c>
      <c r="B6" t="s">
        <v>151</v>
      </c>
      <c r="C6" t="s">
        <v>152</v>
      </c>
      <c r="D6" t="s">
        <v>153</v>
      </c>
      <c r="E6" t="s">
        <v>154</v>
      </c>
      <c r="F6" t="s">
        <v>155</v>
      </c>
      <c r="G6" t="s">
        <v>156</v>
      </c>
      <c r="H6" t="s">
        <v>157</v>
      </c>
    </row>
    <row r="7" spans="1:8" ht="19.5" customHeight="1" x14ac:dyDescent="0.35"/>
    <row r="8" spans="1:8" ht="19.5" customHeight="1" x14ac:dyDescent="0.35">
      <c r="A8" t="s">
        <v>158</v>
      </c>
    </row>
    <row r="9" spans="1:8" ht="19.5" customHeight="1" x14ac:dyDescent="0.35">
      <c r="A9" t="s">
        <v>159</v>
      </c>
    </row>
    <row r="10" spans="1:8" ht="19.5" customHeight="1" x14ac:dyDescent="0.35">
      <c r="A10" t="s">
        <v>160</v>
      </c>
      <c r="B10" t="s">
        <v>161</v>
      </c>
      <c r="C10" t="s">
        <v>162</v>
      </c>
      <c r="D10" t="s">
        <v>163</v>
      </c>
      <c r="E10" t="s">
        <v>164</v>
      </c>
      <c r="F10" t="s">
        <v>165</v>
      </c>
      <c r="G10" t="s">
        <v>166</v>
      </c>
      <c r="H10" t="s">
        <v>167</v>
      </c>
    </row>
    <row r="11" spans="1:8" ht="19.5" customHeight="1" x14ac:dyDescent="0.35">
      <c r="A11" t="s">
        <v>0</v>
      </c>
      <c r="B11" t="s">
        <v>15</v>
      </c>
      <c r="C11" t="s">
        <v>29</v>
      </c>
      <c r="D11" t="s">
        <v>43</v>
      </c>
      <c r="E11" t="s">
        <v>57</v>
      </c>
      <c r="F11" t="s">
        <v>70</v>
      </c>
      <c r="G11" t="s">
        <v>84</v>
      </c>
      <c r="H11" t="s">
        <v>98</v>
      </c>
    </row>
    <row r="12" spans="1:8" ht="19.5" customHeight="1" x14ac:dyDescent="0.35">
      <c r="A12" t="s">
        <v>1</v>
      </c>
      <c r="B12" t="s">
        <v>16</v>
      </c>
      <c r="C12" t="s">
        <v>30</v>
      </c>
      <c r="D12" t="s">
        <v>44</v>
      </c>
      <c r="E12" t="s">
        <v>58</v>
      </c>
      <c r="F12" t="s">
        <v>71</v>
      </c>
      <c r="G12" t="s">
        <v>85</v>
      </c>
      <c r="H12" t="s">
        <v>99</v>
      </c>
    </row>
    <row r="13" spans="1:8" ht="19.5" customHeight="1" x14ac:dyDescent="0.35">
      <c r="A13" t="s">
        <v>2</v>
      </c>
      <c r="B13" t="s">
        <v>17</v>
      </c>
      <c r="C13" t="s">
        <v>31</v>
      </c>
      <c r="D13" t="s">
        <v>45</v>
      </c>
      <c r="E13" t="s">
        <v>59</v>
      </c>
      <c r="F13" t="s">
        <v>72</v>
      </c>
      <c r="G13" t="s">
        <v>86</v>
      </c>
      <c r="H13" t="s">
        <v>100</v>
      </c>
    </row>
    <row r="14" spans="1:8" ht="19.5" customHeight="1" x14ac:dyDescent="0.35">
      <c r="A14" t="s">
        <v>3</v>
      </c>
    </row>
    <row r="15" spans="1:8" ht="19.5" customHeight="1" x14ac:dyDescent="0.35">
      <c r="A15" t="s">
        <v>4</v>
      </c>
      <c r="B15" t="s">
        <v>18</v>
      </c>
      <c r="C15" t="s">
        <v>32</v>
      </c>
      <c r="D15" t="s">
        <v>46</v>
      </c>
      <c r="E15" t="s">
        <v>60</v>
      </c>
      <c r="F15" t="s">
        <v>73</v>
      </c>
      <c r="G15" t="s">
        <v>87</v>
      </c>
      <c r="H15" t="s">
        <v>101</v>
      </c>
    </row>
    <row r="16" spans="1:8" ht="19.5" customHeight="1" x14ac:dyDescent="0.35">
      <c r="A16" t="s">
        <v>5</v>
      </c>
      <c r="B16" t="s">
        <v>19</v>
      </c>
      <c r="C16" t="s">
        <v>33</v>
      </c>
      <c r="D16" t="s">
        <v>47</v>
      </c>
      <c r="E16" t="s">
        <v>61</v>
      </c>
      <c r="F16" t="s">
        <v>74</v>
      </c>
      <c r="G16" t="s">
        <v>88</v>
      </c>
      <c r="H16" t="s">
        <v>102</v>
      </c>
    </row>
    <row r="17" spans="1:8" ht="19.5" customHeight="1" x14ac:dyDescent="0.35">
      <c r="A17" t="s">
        <v>6</v>
      </c>
      <c r="B17" t="s">
        <v>20</v>
      </c>
      <c r="C17" t="s">
        <v>34</v>
      </c>
      <c r="D17" t="s">
        <v>48</v>
      </c>
      <c r="E17" t="s">
        <v>62</v>
      </c>
      <c r="F17" t="s">
        <v>75</v>
      </c>
      <c r="G17" t="s">
        <v>89</v>
      </c>
      <c r="H17" t="s">
        <v>103</v>
      </c>
    </row>
    <row r="18" spans="1:8" ht="19.5" customHeight="1" x14ac:dyDescent="0.35">
      <c r="A18" t="s">
        <v>7</v>
      </c>
      <c r="B18" t="s">
        <v>21</v>
      </c>
      <c r="C18" t="s">
        <v>35</v>
      </c>
      <c r="D18" t="s">
        <v>49</v>
      </c>
      <c r="E18" t="s">
        <v>63</v>
      </c>
      <c r="F18" t="s">
        <v>76</v>
      </c>
      <c r="G18" t="s">
        <v>90</v>
      </c>
      <c r="H18" t="s">
        <v>104</v>
      </c>
    </row>
    <row r="19" spans="1:8" ht="19.5" customHeight="1" x14ac:dyDescent="0.35">
      <c r="A19" t="s">
        <v>8</v>
      </c>
      <c r="B19" t="s">
        <v>22</v>
      </c>
      <c r="C19" t="s">
        <v>36</v>
      </c>
      <c r="D19" t="s">
        <v>50</v>
      </c>
      <c r="E19" t="s">
        <v>20</v>
      </c>
      <c r="F19" t="s">
        <v>77</v>
      </c>
      <c r="G19" t="s">
        <v>91</v>
      </c>
      <c r="H19" t="s">
        <v>105</v>
      </c>
    </row>
    <row r="20" spans="1:8" ht="19.5" customHeight="1" x14ac:dyDescent="0.35">
      <c r="A20" t="s">
        <v>9</v>
      </c>
      <c r="B20" t="s">
        <v>23</v>
      </c>
      <c r="C20" t="s">
        <v>37</v>
      </c>
      <c r="D20" t="s">
        <v>51</v>
      </c>
      <c r="E20" t="s">
        <v>64</v>
      </c>
      <c r="F20" t="s">
        <v>78</v>
      </c>
      <c r="G20" t="s">
        <v>92</v>
      </c>
      <c r="H20" t="s">
        <v>106</v>
      </c>
    </row>
    <row r="21" spans="1:8" ht="19.5" customHeight="1" x14ac:dyDescent="0.35">
      <c r="A21" t="s">
        <v>10</v>
      </c>
      <c r="B21" t="s">
        <v>24</v>
      </c>
      <c r="C21" t="s">
        <v>38</v>
      </c>
      <c r="D21" t="s">
        <v>52</v>
      </c>
      <c r="E21" t="s">
        <v>65</v>
      </c>
      <c r="F21" t="s">
        <v>79</v>
      </c>
      <c r="G21" t="s">
        <v>93</v>
      </c>
      <c r="H21" t="s">
        <v>107</v>
      </c>
    </row>
    <row r="22" spans="1:8" ht="19.5" customHeight="1" x14ac:dyDescent="0.35">
      <c r="A22" t="s">
        <v>11</v>
      </c>
      <c r="B22" t="s">
        <v>25</v>
      </c>
      <c r="C22" t="s">
        <v>39</v>
      </c>
      <c r="D22" t="s">
        <v>53</v>
      </c>
      <c r="E22" t="s">
        <v>66</v>
      </c>
      <c r="F22" t="s">
        <v>80</v>
      </c>
      <c r="G22" t="s">
        <v>94</v>
      </c>
      <c r="H22" t="s">
        <v>108</v>
      </c>
    </row>
    <row r="23" spans="1:8" ht="19.5" customHeight="1" x14ac:dyDescent="0.35">
      <c r="A23" t="s">
        <v>12</v>
      </c>
      <c r="B23" t="s">
        <v>26</v>
      </c>
      <c r="C23" t="s">
        <v>40</v>
      </c>
      <c r="D23" t="s">
        <v>54</v>
      </c>
      <c r="E23" t="s">
        <v>67</v>
      </c>
      <c r="F23" t="s">
        <v>81</v>
      </c>
      <c r="G23" t="s">
        <v>95</v>
      </c>
      <c r="H23" t="s">
        <v>109</v>
      </c>
    </row>
    <row r="24" spans="1:8" ht="19.5" customHeight="1" x14ac:dyDescent="0.35">
      <c r="A24" t="s">
        <v>13</v>
      </c>
      <c r="B24" t="s">
        <v>27</v>
      </c>
      <c r="C24" t="s">
        <v>41</v>
      </c>
      <c r="D24" t="s">
        <v>55</v>
      </c>
      <c r="E24" t="s">
        <v>68</v>
      </c>
      <c r="F24" t="s">
        <v>82</v>
      </c>
      <c r="G24" t="s">
        <v>96</v>
      </c>
      <c r="H24" t="s">
        <v>110</v>
      </c>
    </row>
    <row r="25" spans="1:8" ht="19.5" customHeight="1" x14ac:dyDescent="0.35">
      <c r="A25" t="s">
        <v>14</v>
      </c>
      <c r="B25" t="s">
        <v>28</v>
      </c>
      <c r="C25" t="s">
        <v>42</v>
      </c>
      <c r="D25" t="s">
        <v>56</v>
      </c>
      <c r="E25" t="s">
        <v>69</v>
      </c>
      <c r="F25" t="s">
        <v>83</v>
      </c>
      <c r="G25" t="s">
        <v>97</v>
      </c>
      <c r="H25" t="s">
        <v>111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E1:X26"/>
  <sheetViews>
    <sheetView workbookViewId="0"/>
  </sheetViews>
  <sheetFormatPr defaultRowHeight="14.5" x14ac:dyDescent="0.35"/>
  <cols>
    <col min="1" max="24" width="14.1796875" bestFit="1" customWidth="1"/>
  </cols>
  <sheetData>
    <row r="1" spans="5:24" ht="19.5" customHeight="1" x14ac:dyDescent="0.35"/>
    <row r="2" spans="5:24" ht="19.5" customHeight="1" x14ac:dyDescent="0.35"/>
    <row r="3" spans="5:24" ht="19.5" customHeight="1" x14ac:dyDescent="0.35">
      <c r="E3" t="s">
        <v>0</v>
      </c>
      <c r="F3" t="s">
        <v>1</v>
      </c>
      <c r="G3" t="s">
        <v>2</v>
      </c>
      <c r="H3" t="s">
        <v>3</v>
      </c>
      <c r="I3" t="s">
        <v>4</v>
      </c>
      <c r="J3" t="s">
        <v>5</v>
      </c>
      <c r="K3" t="s">
        <v>6</v>
      </c>
      <c r="L3" t="s">
        <v>7</v>
      </c>
      <c r="M3" t="s">
        <v>8</v>
      </c>
      <c r="S3" t="s">
        <v>9</v>
      </c>
      <c r="T3" t="s">
        <v>10</v>
      </c>
      <c r="U3" t="s">
        <v>11</v>
      </c>
      <c r="V3" t="s">
        <v>12</v>
      </c>
      <c r="W3" t="s">
        <v>13</v>
      </c>
      <c r="X3" t="s">
        <v>14</v>
      </c>
    </row>
    <row r="4" spans="5:24" ht="19.5" customHeight="1" x14ac:dyDescent="0.35">
      <c r="E4" t="s">
        <v>15</v>
      </c>
      <c r="F4" t="s">
        <v>16</v>
      </c>
      <c r="G4" t="s">
        <v>17</v>
      </c>
      <c r="I4" t="s">
        <v>18</v>
      </c>
      <c r="J4" t="s">
        <v>19</v>
      </c>
      <c r="K4" t="s">
        <v>20</v>
      </c>
      <c r="L4" t="s">
        <v>21</v>
      </c>
      <c r="M4" t="s">
        <v>22</v>
      </c>
      <c r="S4" t="s">
        <v>23</v>
      </c>
      <c r="T4" t="s">
        <v>24</v>
      </c>
      <c r="U4" t="s">
        <v>25</v>
      </c>
      <c r="V4" t="s">
        <v>26</v>
      </c>
      <c r="W4" t="s">
        <v>27</v>
      </c>
      <c r="X4" t="s">
        <v>28</v>
      </c>
    </row>
    <row r="5" spans="5:24" ht="19.5" customHeight="1" x14ac:dyDescent="0.35">
      <c r="E5" t="s">
        <v>29</v>
      </c>
      <c r="F5" t="s">
        <v>30</v>
      </c>
      <c r="G5" t="s">
        <v>31</v>
      </c>
      <c r="I5" t="s">
        <v>32</v>
      </c>
      <c r="J5" t="s">
        <v>33</v>
      </c>
      <c r="K5" t="s">
        <v>34</v>
      </c>
      <c r="L5" t="s">
        <v>35</v>
      </c>
      <c r="M5" t="s">
        <v>36</v>
      </c>
      <c r="S5" t="s">
        <v>37</v>
      </c>
      <c r="T5" t="s">
        <v>38</v>
      </c>
      <c r="U5" t="s">
        <v>39</v>
      </c>
      <c r="V5" t="s">
        <v>40</v>
      </c>
      <c r="W5" t="s">
        <v>41</v>
      </c>
      <c r="X5" t="s">
        <v>42</v>
      </c>
    </row>
    <row r="6" spans="5:24" ht="19.5" customHeight="1" x14ac:dyDescent="0.35">
      <c r="E6" t="s">
        <v>43</v>
      </c>
      <c r="F6" t="s">
        <v>44</v>
      </c>
      <c r="G6" t="s">
        <v>45</v>
      </c>
      <c r="I6" t="s">
        <v>46</v>
      </c>
      <c r="J6" t="s">
        <v>47</v>
      </c>
      <c r="K6" t="s">
        <v>48</v>
      </c>
      <c r="L6" t="s">
        <v>49</v>
      </c>
      <c r="M6" t="s">
        <v>50</v>
      </c>
      <c r="S6" t="s">
        <v>51</v>
      </c>
      <c r="T6" t="s">
        <v>52</v>
      </c>
      <c r="U6" t="s">
        <v>53</v>
      </c>
      <c r="V6" t="s">
        <v>54</v>
      </c>
      <c r="W6" t="s">
        <v>55</v>
      </c>
      <c r="X6" t="s">
        <v>56</v>
      </c>
    </row>
    <row r="7" spans="5:24" ht="19.5" customHeight="1" x14ac:dyDescent="0.35">
      <c r="E7" t="s">
        <v>57</v>
      </c>
      <c r="F7" t="s">
        <v>58</v>
      </c>
      <c r="G7" t="s">
        <v>59</v>
      </c>
      <c r="I7" t="s">
        <v>60</v>
      </c>
      <c r="J7" t="s">
        <v>61</v>
      </c>
      <c r="K7" t="s">
        <v>62</v>
      </c>
      <c r="L7" t="s">
        <v>63</v>
      </c>
      <c r="M7" t="s">
        <v>20</v>
      </c>
      <c r="S7" t="s">
        <v>64</v>
      </c>
      <c r="T7" t="s">
        <v>65</v>
      </c>
      <c r="U7" t="s">
        <v>66</v>
      </c>
      <c r="V7" t="s">
        <v>67</v>
      </c>
      <c r="W7" t="s">
        <v>68</v>
      </c>
      <c r="X7" t="s">
        <v>69</v>
      </c>
    </row>
    <row r="8" spans="5:24" ht="19.5" customHeight="1" x14ac:dyDescent="0.35">
      <c r="E8" t="s">
        <v>70</v>
      </c>
      <c r="F8" t="s">
        <v>71</v>
      </c>
      <c r="G8" t="s">
        <v>72</v>
      </c>
      <c r="I8" t="s">
        <v>73</v>
      </c>
      <c r="J8" t="s">
        <v>74</v>
      </c>
      <c r="K8" t="s">
        <v>75</v>
      </c>
      <c r="L8" t="s">
        <v>76</v>
      </c>
      <c r="M8" t="s">
        <v>77</v>
      </c>
      <c r="S8" t="s">
        <v>78</v>
      </c>
      <c r="T8" t="s">
        <v>79</v>
      </c>
      <c r="U8" t="s">
        <v>80</v>
      </c>
      <c r="V8" t="s">
        <v>81</v>
      </c>
      <c r="W8" t="s">
        <v>82</v>
      </c>
      <c r="X8" t="s">
        <v>83</v>
      </c>
    </row>
    <row r="9" spans="5:24" ht="19.5" customHeight="1" x14ac:dyDescent="0.35">
      <c r="E9" t="s">
        <v>84</v>
      </c>
      <c r="F9" t="s">
        <v>85</v>
      </c>
      <c r="G9" t="s">
        <v>86</v>
      </c>
      <c r="I9" t="s">
        <v>87</v>
      </c>
      <c r="J9" t="s">
        <v>88</v>
      </c>
      <c r="K9" t="s">
        <v>89</v>
      </c>
      <c r="L9" t="s">
        <v>90</v>
      </c>
      <c r="M9" t="s">
        <v>91</v>
      </c>
      <c r="S9" t="s">
        <v>92</v>
      </c>
      <c r="T9" t="s">
        <v>93</v>
      </c>
      <c r="U9" t="s">
        <v>94</v>
      </c>
      <c r="V9" t="s">
        <v>95</v>
      </c>
      <c r="W9" t="s">
        <v>96</v>
      </c>
      <c r="X9" t="s">
        <v>97</v>
      </c>
    </row>
    <row r="10" spans="5:24" ht="19.5" customHeight="1" x14ac:dyDescent="0.35">
      <c r="E10" t="s">
        <v>98</v>
      </c>
      <c r="F10" t="s">
        <v>99</v>
      </c>
      <c r="G10" t="s">
        <v>100</v>
      </c>
      <c r="I10" t="s">
        <v>101</v>
      </c>
      <c r="J10" t="s">
        <v>102</v>
      </c>
      <c r="K10" t="s">
        <v>103</v>
      </c>
      <c r="L10" t="s">
        <v>104</v>
      </c>
      <c r="M10" t="s">
        <v>105</v>
      </c>
      <c r="S10" t="s">
        <v>106</v>
      </c>
      <c r="T10" t="s">
        <v>107</v>
      </c>
      <c r="U10" t="s">
        <v>108</v>
      </c>
      <c r="V10" t="s">
        <v>109</v>
      </c>
      <c r="W10" t="s">
        <v>110</v>
      </c>
      <c r="X10" t="s">
        <v>111</v>
      </c>
    </row>
    <row r="11" spans="5:24" ht="19.5" customHeight="1" x14ac:dyDescent="0.35"/>
    <row r="12" spans="5:24" ht="19.5" customHeight="1" x14ac:dyDescent="0.35">
      <c r="E12" t="str">
        <f t="shared" ref="E12:G18" si="0">LEFT(E4, FIND("(", E4) - 2)</f>
        <v>11.1</v>
      </c>
      <c r="F12" t="str">
        <f t="shared" si="0"/>
        <v>74.9</v>
      </c>
      <c r="G12" t="str">
        <f t="shared" si="0"/>
        <v>93.6</v>
      </c>
      <c r="I12" t="str">
        <f t="shared" ref="I12:M18" si="1">LEFT(I4, FIND("(", I4) - 2)</f>
        <v>6.5</v>
      </c>
      <c r="J12" t="str">
        <f t="shared" si="1"/>
        <v>9.5</v>
      </c>
      <c r="K12" t="str">
        <f t="shared" si="1"/>
        <v>11.4</v>
      </c>
      <c r="L12" t="str">
        <f t="shared" si="1"/>
        <v>12.3</v>
      </c>
      <c r="M12" t="str">
        <f t="shared" si="1"/>
        <v>12.8</v>
      </c>
      <c r="S12" t="str">
        <f t="shared" ref="S12:X18" si="2">LEFT(S4, FIND("(", S4) - 2)</f>
        <v>27.4</v>
      </c>
      <c r="T12" t="str">
        <f t="shared" si="2"/>
        <v>5.9</v>
      </c>
      <c r="U12" t="str">
        <f t="shared" si="2"/>
        <v>11.3</v>
      </c>
      <c r="V12" t="str">
        <f t="shared" si="2"/>
        <v>86.6</v>
      </c>
      <c r="W12" t="str">
        <f t="shared" si="2"/>
        <v>84.9</v>
      </c>
      <c r="X12" t="str">
        <f t="shared" si="2"/>
        <v>1.92</v>
      </c>
    </row>
    <row r="13" spans="5:24" ht="19.5" customHeight="1" x14ac:dyDescent="0.35">
      <c r="E13" t="str">
        <f t="shared" si="0"/>
        <v>10.3</v>
      </c>
      <c r="F13" t="str">
        <f t="shared" si="0"/>
        <v>71.0</v>
      </c>
      <c r="G13" t="str">
        <f t="shared" si="0"/>
        <v>92.5</v>
      </c>
      <c r="I13" t="str">
        <f t="shared" si="1"/>
        <v>6.1</v>
      </c>
      <c r="J13" t="str">
        <f t="shared" si="1"/>
        <v>9.1</v>
      </c>
      <c r="K13" t="str">
        <f t="shared" si="1"/>
        <v>10.8</v>
      </c>
      <c r="L13" t="str">
        <f t="shared" si="1"/>
        <v>11.8</v>
      </c>
      <c r="M13" t="str">
        <f t="shared" si="1"/>
        <v>12.3</v>
      </c>
      <c r="S13" t="str">
        <f t="shared" si="2"/>
        <v>25.9</v>
      </c>
      <c r="T13" t="str">
        <f t="shared" si="2"/>
        <v>5.6</v>
      </c>
      <c r="U13" t="str">
        <f t="shared" si="2"/>
        <v>10.6</v>
      </c>
      <c r="V13" t="str">
        <f t="shared" si="2"/>
        <v>84.8</v>
      </c>
      <c r="W13" t="str">
        <f t="shared" si="2"/>
        <v>82.3</v>
      </c>
      <c r="X13" t="str">
        <f t="shared" si="2"/>
        <v>1.87</v>
      </c>
    </row>
    <row r="14" spans="5:24" ht="19.5" customHeight="1" x14ac:dyDescent="0.35">
      <c r="E14" t="str">
        <f t="shared" si="0"/>
        <v>9.6</v>
      </c>
      <c r="F14" t="str">
        <f t="shared" si="0"/>
        <v>67.8</v>
      </c>
      <c r="G14" t="str">
        <f t="shared" si="0"/>
        <v>92.1</v>
      </c>
      <c r="I14" t="str">
        <f t="shared" si="1"/>
        <v>5.7</v>
      </c>
      <c r="J14" t="str">
        <f t="shared" si="1"/>
        <v>8.6</v>
      </c>
      <c r="K14" t="str">
        <f t="shared" si="1"/>
        <v>10.3</v>
      </c>
      <c r="L14" t="str">
        <f t="shared" si="1"/>
        <v>11.5</v>
      </c>
      <c r="M14" t="str">
        <f t="shared" si="1"/>
        <v>12.0</v>
      </c>
      <c r="S14" t="str">
        <f t="shared" si="2"/>
        <v>24.7</v>
      </c>
      <c r="T14" t="str">
        <f t="shared" si="2"/>
        <v>5.3</v>
      </c>
      <c r="U14" t="str">
        <f t="shared" si="2"/>
        <v>9.9</v>
      </c>
      <c r="V14" t="str">
        <f t="shared" si="2"/>
        <v>81.3</v>
      </c>
      <c r="W14" t="str">
        <f t="shared" si="2"/>
        <v>78.5</v>
      </c>
      <c r="X14" t="str">
        <f t="shared" si="2"/>
        <v>1.82</v>
      </c>
    </row>
    <row r="15" spans="5:24" ht="19.5" customHeight="1" x14ac:dyDescent="0.35">
      <c r="E15" t="str">
        <f t="shared" si="0"/>
        <v>8.8</v>
      </c>
      <c r="F15" t="str">
        <f t="shared" si="0"/>
        <v>63.6</v>
      </c>
      <c r="G15" t="str">
        <f t="shared" si="0"/>
        <v>90.9</v>
      </c>
      <c r="I15" t="str">
        <f t="shared" si="1"/>
        <v>5.5</v>
      </c>
      <c r="J15" t="str">
        <f t="shared" si="1"/>
        <v>8.1</v>
      </c>
      <c r="K15" t="str">
        <f t="shared" si="1"/>
        <v>9.8</v>
      </c>
      <c r="L15" t="str">
        <f t="shared" si="1"/>
        <v>10.8</v>
      </c>
      <c r="M15" t="str">
        <f t="shared" si="1"/>
        <v>11.4</v>
      </c>
      <c r="S15" t="str">
        <f t="shared" si="2"/>
        <v>23.4</v>
      </c>
      <c r="T15" t="str">
        <f t="shared" si="2"/>
        <v>5.0</v>
      </c>
      <c r="U15" t="str">
        <f t="shared" si="2"/>
        <v>9.2</v>
      </c>
      <c r="V15" t="str">
        <f t="shared" si="2"/>
        <v>78.9</v>
      </c>
      <c r="W15" t="str">
        <f t="shared" si="2"/>
        <v>75.1</v>
      </c>
      <c r="X15" t="str">
        <f t="shared" si="2"/>
        <v>1.76</v>
      </c>
    </row>
    <row r="16" spans="5:24" ht="19.5" customHeight="1" x14ac:dyDescent="0.35">
      <c r="E16" t="str">
        <f t="shared" si="0"/>
        <v>7.2</v>
      </c>
      <c r="F16" t="str">
        <f t="shared" si="0"/>
        <v>54.3</v>
      </c>
      <c r="G16" t="str">
        <f t="shared" si="0"/>
        <v>88.5</v>
      </c>
      <c r="I16" t="str">
        <f t="shared" si="1"/>
        <v>4.9</v>
      </c>
      <c r="J16" t="str">
        <f t="shared" si="1"/>
        <v>7.0</v>
      </c>
      <c r="K16" t="str">
        <f t="shared" si="1"/>
        <v>8.4</v>
      </c>
      <c r="L16" t="str">
        <f t="shared" si="1"/>
        <v>9.3</v>
      </c>
      <c r="M16" t="str">
        <f t="shared" si="1"/>
        <v>9.9</v>
      </c>
      <c r="S16" t="str">
        <f t="shared" si="2"/>
        <v>20.3</v>
      </c>
      <c r="T16" t="str">
        <f t="shared" si="2"/>
        <v>4.1</v>
      </c>
      <c r="U16" t="str">
        <f t="shared" si="2"/>
        <v>7.6</v>
      </c>
      <c r="V16" t="str">
        <f t="shared" si="2"/>
        <v>74.4</v>
      </c>
      <c r="W16" t="str">
        <f t="shared" si="2"/>
        <v>69.7</v>
      </c>
      <c r="X16" t="str">
        <f t="shared" si="2"/>
        <v>1.65</v>
      </c>
    </row>
    <row r="17" spans="5:24" ht="19.5" customHeight="1" x14ac:dyDescent="0.35">
      <c r="E17" t="str">
        <f t="shared" si="0"/>
        <v>6.1</v>
      </c>
      <c r="F17" t="str">
        <f t="shared" si="0"/>
        <v>48.0</v>
      </c>
      <c r="G17" t="str">
        <f t="shared" si="0"/>
        <v>86.6</v>
      </c>
      <c r="I17" t="str">
        <f t="shared" si="1"/>
        <v>4.4</v>
      </c>
      <c r="J17" t="str">
        <f t="shared" si="1"/>
        <v>6.2</v>
      </c>
      <c r="K17" t="str">
        <f t="shared" si="1"/>
        <v>7.4</v>
      </c>
      <c r="L17" t="str">
        <f t="shared" si="1"/>
        <v>8.3</v>
      </c>
      <c r="M17" t="str">
        <f t="shared" si="1"/>
        <v>8.9</v>
      </c>
      <c r="S17" t="str">
        <f t="shared" si="2"/>
        <v>18.0</v>
      </c>
      <c r="T17" t="str">
        <f t="shared" si="2"/>
        <v>3.4</v>
      </c>
      <c r="U17" t="str">
        <f t="shared" si="2"/>
        <v>6.5</v>
      </c>
      <c r="V17" t="str">
        <f t="shared" si="2"/>
        <v>70.9</v>
      </c>
      <c r="W17" t="str">
        <f t="shared" si="2"/>
        <v>65.4</v>
      </c>
      <c r="X17" t="str">
        <f t="shared" si="2"/>
        <v>1.56</v>
      </c>
    </row>
    <row r="18" spans="5:24" ht="19.5" customHeight="1" x14ac:dyDescent="0.35">
      <c r="E18" t="str">
        <f t="shared" si="0"/>
        <v>8.0</v>
      </c>
      <c r="F18" t="str">
        <f t="shared" si="0"/>
        <v>58.7</v>
      </c>
      <c r="G18" t="str">
        <f t="shared" si="0"/>
        <v>89.6</v>
      </c>
      <c r="I18" t="str">
        <f t="shared" si="1"/>
        <v>5.2</v>
      </c>
      <c r="J18" t="str">
        <f t="shared" si="1"/>
        <v>7.5</v>
      </c>
      <c r="K18" t="str">
        <f t="shared" si="1"/>
        <v>9.0</v>
      </c>
      <c r="L18" t="str">
        <f t="shared" si="1"/>
        <v>10.0</v>
      </c>
      <c r="M18" t="str">
        <f t="shared" si="1"/>
        <v>10.6</v>
      </c>
      <c r="S18" t="str">
        <f t="shared" si="2"/>
        <v>21.7</v>
      </c>
      <c r="T18" t="str">
        <f t="shared" si="2"/>
        <v>4.5</v>
      </c>
      <c r="U18" t="str">
        <f t="shared" si="2"/>
        <v>8.4</v>
      </c>
      <c r="V18" t="str">
        <f t="shared" si="2"/>
        <v>76.7</v>
      </c>
      <c r="W18" t="str">
        <f t="shared" si="2"/>
        <v>72.6</v>
      </c>
      <c r="X18" t="str">
        <f t="shared" si="2"/>
        <v>1.71</v>
      </c>
    </row>
    <row r="19" spans="5:24" ht="19.5" customHeight="1" x14ac:dyDescent="0.35"/>
    <row r="20" spans="5:24" ht="19.5" customHeight="1" x14ac:dyDescent="0.35">
      <c r="E20" t="str">
        <f t="shared" ref="E20:G26" si="3">MID(E4, FIND("(", E4) + 1, FIND(")", E4) - FIND("(", E4) - 1)</f>
        <v>3.2</v>
      </c>
      <c r="F20" t="str">
        <f t="shared" si="3"/>
        <v>14.0</v>
      </c>
      <c r="G20" t="str">
        <f t="shared" si="3"/>
        <v>8.1</v>
      </c>
      <c r="I20" t="str">
        <f t="shared" ref="I20:M26" si="4">MID(I4, FIND("(", I4) + 1, FIND(")", I4) - FIND("(", I4) - 1)</f>
        <v>1.7</v>
      </c>
      <c r="J20" t="str">
        <f t="shared" si="4"/>
        <v>2.2</v>
      </c>
      <c r="K20" t="str">
        <f t="shared" si="4"/>
        <v>2.2</v>
      </c>
      <c r="L20" t="str">
        <f t="shared" si="4"/>
        <v>2.2</v>
      </c>
      <c r="M20" t="str">
        <f t="shared" si="4"/>
        <v>2.1</v>
      </c>
      <c r="S20" t="str">
        <f t="shared" ref="S20:X26" si="5">MID(S4, FIND("(", S4) + 1, FIND(")", S4) - FIND("(", S4) - 1)</f>
        <v>5.4</v>
      </c>
      <c r="T20" t="str">
        <f t="shared" si="5"/>
        <v>1.9</v>
      </c>
      <c r="U20" t="str">
        <f t="shared" si="5"/>
        <v>2.9</v>
      </c>
      <c r="V20" t="str">
        <f t="shared" si="5"/>
        <v>14.2</v>
      </c>
      <c r="W20" t="str">
        <f t="shared" si="5"/>
        <v>16.7</v>
      </c>
      <c r="X20" t="str">
        <f t="shared" si="5"/>
        <v>0.34</v>
      </c>
    </row>
    <row r="21" spans="5:24" ht="19.5" customHeight="1" x14ac:dyDescent="0.35">
      <c r="E21" t="str">
        <f t="shared" si="3"/>
        <v>3.0</v>
      </c>
      <c r="F21" t="str">
        <f t="shared" si="3"/>
        <v>12.7</v>
      </c>
      <c r="G21" t="str">
        <f t="shared" si="3"/>
        <v>8.5</v>
      </c>
      <c r="I21" t="str">
        <f t="shared" si="4"/>
        <v>1.6</v>
      </c>
      <c r="J21" t="str">
        <f t="shared" si="4"/>
        <v>2.1</v>
      </c>
      <c r="K21" t="str">
        <f t="shared" si="4"/>
        <v>2.0</v>
      </c>
      <c r="L21" t="str">
        <f t="shared" si="4"/>
        <v>2.0</v>
      </c>
      <c r="M21" t="str">
        <f t="shared" si="4"/>
        <v>2.0</v>
      </c>
      <c r="S21" t="str">
        <f t="shared" si="5"/>
        <v>4.9</v>
      </c>
      <c r="T21" t="str">
        <f t="shared" si="5"/>
        <v>1.6</v>
      </c>
      <c r="U21" t="str">
        <f t="shared" si="5"/>
        <v>2.7</v>
      </c>
      <c r="V21" t="str">
        <f t="shared" si="5"/>
        <v>13.6</v>
      </c>
      <c r="W21" t="str">
        <f t="shared" si="5"/>
        <v>16.7</v>
      </c>
      <c r="X21" t="str">
        <f t="shared" si="5"/>
        <v>0.33</v>
      </c>
    </row>
    <row r="22" spans="5:24" ht="19.5" customHeight="1" x14ac:dyDescent="0.35">
      <c r="E22" t="str">
        <f t="shared" si="3"/>
        <v>3.3</v>
      </c>
      <c r="F22" t="str">
        <f t="shared" si="3"/>
        <v>14.0</v>
      </c>
      <c r="G22" t="str">
        <f t="shared" si="3"/>
        <v>8.3</v>
      </c>
      <c r="I22" t="str">
        <f t="shared" si="4"/>
        <v>1.5</v>
      </c>
      <c r="J22" t="str">
        <f t="shared" si="4"/>
        <v>2.0</v>
      </c>
      <c r="K22" t="str">
        <f t="shared" si="4"/>
        <v>2.3</v>
      </c>
      <c r="L22" t="str">
        <f t="shared" si="4"/>
        <v>2.3</v>
      </c>
      <c r="M22" t="str">
        <f t="shared" si="4"/>
        <v>2.2</v>
      </c>
      <c r="S22" t="str">
        <f t="shared" si="5"/>
        <v>5.1</v>
      </c>
      <c r="T22" t="str">
        <f t="shared" si="5"/>
        <v>1.6</v>
      </c>
      <c r="U22" t="str">
        <f t="shared" si="5"/>
        <v>3.0</v>
      </c>
      <c r="V22" t="str">
        <f t="shared" si="5"/>
        <v>16.3</v>
      </c>
      <c r="W22" t="str">
        <f t="shared" si="5"/>
        <v>18.9</v>
      </c>
      <c r="X22" t="str">
        <f t="shared" si="5"/>
        <v>0.36</v>
      </c>
    </row>
    <row r="23" spans="5:24" ht="19.5" customHeight="1" x14ac:dyDescent="0.35">
      <c r="E23" t="str">
        <f t="shared" si="3"/>
        <v>3.2</v>
      </c>
      <c r="F23" t="str">
        <f t="shared" si="3"/>
        <v>13.5</v>
      </c>
      <c r="G23" t="str">
        <f t="shared" si="3"/>
        <v>8.8</v>
      </c>
      <c r="I23" t="str">
        <f t="shared" si="4"/>
        <v>1.5</v>
      </c>
      <c r="J23" t="str">
        <f t="shared" si="4"/>
        <v>1.9</v>
      </c>
      <c r="K23" t="str">
        <f t="shared" si="4"/>
        <v>2.2</v>
      </c>
      <c r="L23" t="str">
        <f t="shared" si="4"/>
        <v>2.3</v>
      </c>
      <c r="M23" t="str">
        <f t="shared" si="4"/>
        <v>2.2</v>
      </c>
      <c r="S23" t="str">
        <f t="shared" si="5"/>
        <v>4.7</v>
      </c>
      <c r="T23" t="str">
        <f t="shared" si="5"/>
        <v>1.6</v>
      </c>
      <c r="U23" t="str">
        <f t="shared" si="5"/>
        <v>2.9</v>
      </c>
      <c r="V23" t="str">
        <f t="shared" si="5"/>
        <v>17.0</v>
      </c>
      <c r="W23" t="str">
        <f t="shared" si="5"/>
        <v>20.7</v>
      </c>
      <c r="X23" t="str">
        <f t="shared" si="5"/>
        <v>0.39</v>
      </c>
    </row>
    <row r="24" spans="5:24" ht="19.5" customHeight="1" x14ac:dyDescent="0.35">
      <c r="E24" t="str">
        <f t="shared" si="3"/>
        <v>3.3</v>
      </c>
      <c r="F24" t="str">
        <f t="shared" si="3"/>
        <v>13.9</v>
      </c>
      <c r="G24" t="str">
        <f t="shared" si="3"/>
        <v>9.8</v>
      </c>
      <c r="I24" t="str">
        <f t="shared" si="4"/>
        <v>1.4</v>
      </c>
      <c r="J24" t="str">
        <f t="shared" si="4"/>
        <v>1.9</v>
      </c>
      <c r="K24" t="str">
        <f t="shared" si="4"/>
        <v>2.2</v>
      </c>
      <c r="L24" t="str">
        <f t="shared" si="4"/>
        <v>2.3</v>
      </c>
      <c r="M24" t="str">
        <f t="shared" si="4"/>
        <v>2.4</v>
      </c>
      <c r="S24" t="str">
        <f t="shared" si="5"/>
        <v>4.7</v>
      </c>
      <c r="T24" t="str">
        <f t="shared" si="5"/>
        <v>1.6</v>
      </c>
      <c r="U24" t="str">
        <f t="shared" si="5"/>
        <v>3.1</v>
      </c>
      <c r="V24" t="str">
        <f t="shared" si="5"/>
        <v>21.3</v>
      </c>
      <c r="W24" t="str">
        <f t="shared" si="5"/>
        <v>23.5</v>
      </c>
      <c r="X24" t="str">
        <f t="shared" si="5"/>
        <v>0.45</v>
      </c>
    </row>
    <row r="25" spans="5:24" ht="19.5" customHeight="1" x14ac:dyDescent="0.35">
      <c r="E25" t="str">
        <f t="shared" si="3"/>
        <v>3.2</v>
      </c>
      <c r="F25" t="str">
        <f t="shared" si="3"/>
        <v>13.1</v>
      </c>
      <c r="G25" t="str">
        <f t="shared" si="3"/>
        <v>10.2</v>
      </c>
      <c r="I25" t="str">
        <f t="shared" si="4"/>
        <v>1.4</v>
      </c>
      <c r="J25" t="str">
        <f t="shared" si="4"/>
        <v>1.7</v>
      </c>
      <c r="K25" t="str">
        <f t="shared" si="4"/>
        <v>2.1</v>
      </c>
      <c r="L25" t="str">
        <f t="shared" si="4"/>
        <v>2.2</v>
      </c>
      <c r="M25" t="str">
        <f t="shared" si="4"/>
        <v>2.4</v>
      </c>
      <c r="S25" t="str">
        <f t="shared" si="5"/>
        <v>4.4</v>
      </c>
      <c r="T25" t="str">
        <f t="shared" si="5"/>
        <v>1.4</v>
      </c>
      <c r="U25" t="str">
        <f t="shared" si="5"/>
        <v>3.0</v>
      </c>
      <c r="V25" t="str">
        <f t="shared" si="5"/>
        <v>23.9</v>
      </c>
      <c r="W25" t="str">
        <f t="shared" si="5"/>
        <v>27.0</v>
      </c>
      <c r="X25" t="str">
        <f t="shared" si="5"/>
        <v>0.49</v>
      </c>
    </row>
    <row r="26" spans="5:24" ht="19.5" customHeight="1" x14ac:dyDescent="0.35">
      <c r="E26" t="str">
        <f t="shared" si="3"/>
        <v>3.5</v>
      </c>
      <c r="F26" t="str">
        <f t="shared" si="3"/>
        <v>15.9</v>
      </c>
      <c r="G26" t="str">
        <f t="shared" si="3"/>
        <v>9.6</v>
      </c>
      <c r="I26" t="str">
        <f t="shared" si="4"/>
        <v>1.6</v>
      </c>
      <c r="J26" t="str">
        <f t="shared" si="4"/>
        <v>2.1</v>
      </c>
      <c r="K26" t="str">
        <f t="shared" si="4"/>
        <v>2.5</v>
      </c>
      <c r="L26" t="str">
        <f t="shared" si="4"/>
        <v>2.6</v>
      </c>
      <c r="M26" t="str">
        <f t="shared" si="4"/>
        <v>2.6</v>
      </c>
      <c r="S26" t="str">
        <f t="shared" si="5"/>
        <v>5.5</v>
      </c>
      <c r="T26" t="str">
        <f t="shared" si="5"/>
        <v>1.7</v>
      </c>
      <c r="U26" t="str">
        <f t="shared" si="5"/>
        <v>3.3</v>
      </c>
      <c r="V26" t="str">
        <f t="shared" si="5"/>
        <v>20.2</v>
      </c>
      <c r="W26" t="str">
        <f t="shared" si="5"/>
        <v>23.2</v>
      </c>
      <c r="X26" t="str">
        <f t="shared" si="5"/>
        <v>0.44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norms</vt:lpstr>
      <vt:lpstr>data</vt:lpstr>
      <vt:lpstr>analysis</vt:lpstr>
      <vt:lpstr>norms_full</vt:lpstr>
      <vt:lpstr>raw</vt:lpstr>
      <vt:lpstr>formula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Richard Ronayne</cp:lastModifiedBy>
  <dcterms:created xsi:type="dcterms:W3CDTF">2024-03-16T23:29:46Z</dcterms:created>
  <dcterms:modified xsi:type="dcterms:W3CDTF">2024-03-19T04:48:36Z</dcterms:modified>
</cp:coreProperties>
</file>