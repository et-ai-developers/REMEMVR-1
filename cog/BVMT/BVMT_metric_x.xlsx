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537fde18f1f228/AI/Projects/REMEMVR/cogtests/"/>
    </mc:Choice>
  </mc:AlternateContent>
  <xr:revisionPtr revIDLastSave="96" documentId="11_12BDB599DEA40A3ED7793311595ED87656CFAFBB" xr6:coauthVersionLast="47" xr6:coauthVersionMax="47" xr10:uidLastSave="{D6CE7C86-B38A-430D-BDC5-D137CB8DE2EF}"/>
  <bookViews>
    <workbookView xWindow="-120" yWindow="-120" windowWidth="29040" windowHeight="15720" activeTab="2" xr2:uid="{00000000-000D-0000-FFFF-FFFF00000000}"/>
  </bookViews>
  <sheets>
    <sheet name="output" sheetId="1" r:id="rId1"/>
    <sheet name="clean" sheetId="2" r:id="rId2"/>
    <sheet name="simple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3" i="2"/>
  <c r="P3" i="2" a="1"/>
  <c r="P11" i="2" a="1"/>
  <c r="P19" i="2" a="1"/>
  <c r="P27" i="2" a="1"/>
  <c r="P14" i="2" a="1"/>
  <c r="P7" i="2" a="1"/>
  <c r="P18" i="2" a="1"/>
  <c r="P12" i="2" a="1"/>
  <c r="P20" i="2" a="1"/>
  <c r="P13" i="2" a="1"/>
  <c r="P22" i="2" a="1"/>
  <c r="P23" i="2" a="1"/>
  <c r="P16" i="2" a="1"/>
  <c r="P17" i="2" a="1"/>
  <c r="P4" i="2" a="1"/>
  <c r="P21" i="2" a="1"/>
  <c r="P15" i="2" a="1"/>
  <c r="P9" i="2" a="1"/>
  <c r="P26" i="2" a="1"/>
  <c r="P5" i="2" a="1"/>
  <c r="P24" i="2" a="1"/>
  <c r="P25" i="2" a="1"/>
  <c r="P6" i="2" a="1"/>
  <c r="P8" i="2" a="1"/>
  <c r="P10" i="2" a="1"/>
  <c r="P2" i="2" a="1"/>
  <c r="C3" i="2" a="1"/>
  <c r="C11" i="2" a="1"/>
  <c r="C19" i="2" a="1"/>
  <c r="C27" i="2" a="1"/>
  <c r="C14" i="2" a="1"/>
  <c r="C7" i="2" a="1"/>
  <c r="C16" i="2" a="1"/>
  <c r="C9" i="2" a="1"/>
  <c r="C25" i="2" a="1"/>
  <c r="C18" i="2" a="1"/>
  <c r="C4" i="2" a="1"/>
  <c r="C12" i="2" a="1"/>
  <c r="C20" i="2" a="1"/>
  <c r="C5" i="2" a="1"/>
  <c r="C13" i="2" a="1"/>
  <c r="C21" i="2" a="1"/>
  <c r="C6" i="2" a="1"/>
  <c r="C22" i="2" a="1"/>
  <c r="C15" i="2" a="1"/>
  <c r="C23" i="2" a="1"/>
  <c r="C8" i="2" a="1"/>
  <c r="C24" i="2" a="1"/>
  <c r="C17" i="2" a="1"/>
  <c r="C10" i="2" a="1"/>
  <c r="C26" i="2" a="1"/>
  <c r="C2" i="2" a="1"/>
  <c r="I10" i="3" l="1"/>
  <c r="H10" i="3"/>
  <c r="G10" i="3"/>
  <c r="J10" i="3"/>
  <c r="G8" i="3"/>
  <c r="H8" i="3"/>
  <c r="I8" i="3"/>
  <c r="J8" i="3"/>
  <c r="G6" i="3"/>
  <c r="J6" i="3"/>
  <c r="H6" i="3"/>
  <c r="I6" i="3"/>
  <c r="G25" i="3"/>
  <c r="H25" i="3"/>
  <c r="I25" i="3"/>
  <c r="J25" i="3"/>
  <c r="G24" i="3"/>
  <c r="H24" i="3"/>
  <c r="I24" i="3"/>
  <c r="J24" i="3"/>
  <c r="G5" i="3"/>
  <c r="I5" i="3"/>
  <c r="J5" i="3"/>
  <c r="H5" i="3"/>
  <c r="H26" i="3"/>
  <c r="I26" i="3"/>
  <c r="J26" i="3"/>
  <c r="G26" i="3"/>
  <c r="G9" i="3"/>
  <c r="H9" i="3"/>
  <c r="I9" i="3"/>
  <c r="J9" i="3"/>
  <c r="G15" i="3"/>
  <c r="H15" i="3"/>
  <c r="I15" i="3"/>
  <c r="J15" i="3"/>
  <c r="I21" i="3"/>
  <c r="H21" i="3"/>
  <c r="G21" i="3"/>
  <c r="J21" i="3"/>
  <c r="G4" i="3"/>
  <c r="J4" i="3"/>
  <c r="H4" i="3"/>
  <c r="I4" i="3"/>
  <c r="G17" i="3"/>
  <c r="H17" i="3"/>
  <c r="J17" i="3"/>
  <c r="I17" i="3"/>
  <c r="G16" i="3"/>
  <c r="H16" i="3"/>
  <c r="I16" i="3"/>
  <c r="J16" i="3"/>
  <c r="G23" i="3"/>
  <c r="H23" i="3"/>
  <c r="I23" i="3"/>
  <c r="J23" i="3"/>
  <c r="G22" i="3"/>
  <c r="I22" i="3"/>
  <c r="H22" i="3"/>
  <c r="J22" i="3"/>
  <c r="H13" i="3"/>
  <c r="J13" i="3"/>
  <c r="I13" i="3"/>
  <c r="G13" i="3"/>
  <c r="G20" i="3"/>
  <c r="J20" i="3"/>
  <c r="H20" i="3"/>
  <c r="I20" i="3"/>
  <c r="G12" i="3"/>
  <c r="H12" i="3"/>
  <c r="J12" i="3"/>
  <c r="I12" i="3"/>
  <c r="H18" i="3"/>
  <c r="G18" i="3"/>
  <c r="J18" i="3"/>
  <c r="I18" i="3"/>
  <c r="G7" i="3"/>
  <c r="H7" i="3"/>
  <c r="I7" i="3"/>
  <c r="J7" i="3"/>
  <c r="J14" i="3"/>
  <c r="H14" i="3"/>
  <c r="I14" i="3"/>
  <c r="G14" i="3"/>
  <c r="G27" i="3"/>
  <c r="H27" i="3"/>
  <c r="I27" i="3"/>
  <c r="J27" i="3"/>
  <c r="G19" i="3"/>
  <c r="H19" i="3"/>
  <c r="I19" i="3"/>
  <c r="J19" i="3"/>
  <c r="G11" i="3"/>
  <c r="H11" i="3"/>
  <c r="I11" i="3"/>
  <c r="J11" i="3"/>
  <c r="G3" i="3"/>
  <c r="H3" i="3"/>
  <c r="I3" i="3"/>
  <c r="J3" i="3"/>
  <c r="J2" i="3"/>
  <c r="H2" i="3"/>
  <c r="I2" i="3"/>
  <c r="G2" i="3"/>
  <c r="E26" i="3"/>
  <c r="C26" i="3"/>
  <c r="D26" i="3"/>
  <c r="B26" i="3"/>
  <c r="B10" i="3"/>
  <c r="E10" i="3"/>
  <c r="C10" i="3"/>
  <c r="D10" i="3"/>
  <c r="C17" i="3"/>
  <c r="B17" i="3"/>
  <c r="E17" i="3"/>
  <c r="D17" i="3"/>
  <c r="B24" i="3"/>
  <c r="C24" i="3"/>
  <c r="D24" i="3"/>
  <c r="E24" i="3"/>
  <c r="B8" i="3"/>
  <c r="C8" i="3"/>
  <c r="D8" i="3"/>
  <c r="E8" i="3"/>
  <c r="B23" i="3"/>
  <c r="C23" i="3"/>
  <c r="E23" i="3"/>
  <c r="D23" i="3"/>
  <c r="B15" i="3"/>
  <c r="C15" i="3"/>
  <c r="D15" i="3"/>
  <c r="E15" i="3"/>
  <c r="C22" i="3"/>
  <c r="D22" i="3"/>
  <c r="E22" i="3"/>
  <c r="B22" i="3"/>
  <c r="B6" i="3"/>
  <c r="C6" i="3"/>
  <c r="D6" i="3"/>
  <c r="E6" i="3"/>
  <c r="B21" i="3"/>
  <c r="C21" i="3"/>
  <c r="D21" i="3"/>
  <c r="E21" i="3"/>
  <c r="C13" i="3"/>
  <c r="D13" i="3"/>
  <c r="B13" i="3"/>
  <c r="E13" i="3"/>
  <c r="B5" i="3"/>
  <c r="D5" i="3"/>
  <c r="E5" i="3"/>
  <c r="C5" i="3"/>
  <c r="C20" i="3"/>
  <c r="B20" i="3"/>
  <c r="E20" i="3"/>
  <c r="D20" i="3"/>
  <c r="B12" i="3"/>
  <c r="C12" i="3"/>
  <c r="D12" i="3"/>
  <c r="E12" i="3"/>
  <c r="B4" i="3"/>
  <c r="C4" i="3"/>
  <c r="D4" i="3"/>
  <c r="E4" i="3"/>
  <c r="E18" i="3"/>
  <c r="B18" i="3"/>
  <c r="C18" i="3"/>
  <c r="D18" i="3"/>
  <c r="B25" i="3"/>
  <c r="C25" i="3"/>
  <c r="D25" i="3"/>
  <c r="E25" i="3"/>
  <c r="C9" i="3"/>
  <c r="E9" i="3"/>
  <c r="D9" i="3"/>
  <c r="B9" i="3"/>
  <c r="B16" i="3"/>
  <c r="D16" i="3"/>
  <c r="C16" i="3"/>
  <c r="E16" i="3"/>
  <c r="B7" i="3"/>
  <c r="C7" i="3"/>
  <c r="E7" i="3"/>
  <c r="D7" i="3"/>
  <c r="C14" i="3"/>
  <c r="B14" i="3"/>
  <c r="D14" i="3"/>
  <c r="E14" i="3"/>
  <c r="B27" i="3"/>
  <c r="C27" i="3"/>
  <c r="D27" i="3"/>
  <c r="E27" i="3"/>
  <c r="B19" i="3"/>
  <c r="E19" i="3"/>
  <c r="C19" i="3"/>
  <c r="D19" i="3"/>
  <c r="B11" i="3"/>
  <c r="E11" i="3"/>
  <c r="C11" i="3"/>
  <c r="D11" i="3"/>
  <c r="B3" i="3"/>
  <c r="C3" i="3"/>
  <c r="D3" i="3"/>
  <c r="E3" i="3"/>
  <c r="E2" i="3"/>
  <c r="C2" i="3"/>
  <c r="D2" i="3"/>
  <c r="B2" i="3"/>
  <c r="P10" i="2"/>
  <c r="P8" i="2"/>
  <c r="P6" i="2"/>
  <c r="P25" i="2"/>
  <c r="P24" i="2"/>
  <c r="P5" i="2"/>
  <c r="P26" i="2"/>
  <c r="P9" i="2"/>
  <c r="P15" i="2"/>
  <c r="P21" i="2"/>
  <c r="P4" i="2"/>
  <c r="P17" i="2"/>
  <c r="P16" i="2"/>
  <c r="P23" i="2"/>
  <c r="P22" i="2"/>
  <c r="P13" i="2"/>
  <c r="P20" i="2"/>
  <c r="P12" i="2"/>
  <c r="P18" i="2"/>
  <c r="P7" i="2"/>
  <c r="P14" i="2"/>
  <c r="P27" i="2"/>
  <c r="P19" i="2"/>
  <c r="P11" i="2"/>
  <c r="P3" i="2"/>
  <c r="P2" i="2"/>
  <c r="C26" i="2"/>
  <c r="C10" i="2"/>
  <c r="C17" i="2"/>
  <c r="C24" i="2"/>
  <c r="C8" i="2"/>
  <c r="C23" i="2"/>
  <c r="C15" i="2"/>
  <c r="C22" i="2"/>
  <c r="C6" i="2"/>
  <c r="C21" i="2"/>
  <c r="C13" i="2"/>
  <c r="C5" i="2"/>
  <c r="C20" i="2"/>
  <c r="C12" i="2"/>
  <c r="C4" i="2"/>
  <c r="C18" i="2"/>
  <c r="C25" i="2"/>
  <c r="C9" i="2"/>
  <c r="C16" i="2"/>
  <c r="C7" i="2"/>
  <c r="C14" i="2"/>
  <c r="C27" i="2"/>
  <c r="C19" i="2"/>
  <c r="C11" i="2"/>
  <c r="C3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<sst xmlns="http://schemas.openxmlformats.org/spreadsheetml/2006/main" count="460" uniqueCount="51">
  <si>
    <t>age_low</t>
  </si>
  <si>
    <t>age_high</t>
  </si>
  <si>
    <t>variable</t>
  </si>
  <si>
    <t>norm_m</t>
  </si>
  <si>
    <t>norm_sd</t>
  </si>
  <si>
    <t>norm_n</t>
  </si>
  <si>
    <t>data_m</t>
  </si>
  <si>
    <t>data_sd</t>
  </si>
  <si>
    <t>data_n</t>
  </si>
  <si>
    <t>t</t>
  </si>
  <si>
    <t>p</t>
  </si>
  <si>
    <t>x</t>
  </si>
  <si>
    <t>age</t>
  </si>
  <si>
    <t>BVMT_t1</t>
  </si>
  <si>
    <t>BVMT_t2</t>
  </si>
  <si>
    <t>BVMT_t3</t>
  </si>
  <si>
    <t>BVMT_total_recall</t>
  </si>
  <si>
    <t>BVMT_learning</t>
  </si>
  <si>
    <t>BVMT_delayed_recall</t>
  </si>
  <si>
    <t>BVMT_percent_retained</t>
  </si>
  <si>
    <t>BVMT_hits</t>
  </si>
  <si>
    <t>BVMT_false_alarms</t>
  </si>
  <si>
    <t>BVMT_discrimination_index</t>
  </si>
  <si>
    <t>BVMT_response_bias</t>
  </si>
  <si>
    <t>Group</t>
  </si>
  <si>
    <t>18-22</t>
  </si>
  <si>
    <t>20-24</t>
  </si>
  <si>
    <t>22-26</t>
  </si>
  <si>
    <t>24-28</t>
  </si>
  <si>
    <t>26-30</t>
  </si>
  <si>
    <t>28-32</t>
  </si>
  <si>
    <t>30-34</t>
  </si>
  <si>
    <t>32-36</t>
  </si>
  <si>
    <t>34-38</t>
  </si>
  <si>
    <t>36-40</t>
  </si>
  <si>
    <t>38-42</t>
  </si>
  <si>
    <t>40-44</t>
  </si>
  <si>
    <t>42-46</t>
  </si>
  <si>
    <t>44-48</t>
  </si>
  <si>
    <t>46-50</t>
  </si>
  <si>
    <t>48-52</t>
  </si>
  <si>
    <t>50-54</t>
  </si>
  <si>
    <t>52-56</t>
  </si>
  <si>
    <t>54-58</t>
  </si>
  <si>
    <t>56-60</t>
  </si>
  <si>
    <t>58-62</t>
  </si>
  <si>
    <t>60-64</t>
  </si>
  <si>
    <t>62-66</t>
  </si>
  <si>
    <t>64-68</t>
  </si>
  <si>
    <t>66-70</t>
  </si>
  <si>
    <t>68-72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</si>
</sst>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workbookViewId="0">
      <selection activeCell="M15" sqref="M1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18</v>
      </c>
      <c r="B2">
        <v>22</v>
      </c>
      <c r="C2" t="s">
        <v>12</v>
      </c>
      <c r="D2">
        <v>19.14</v>
      </c>
      <c r="E2">
        <v>1.22</v>
      </c>
      <c r="F2">
        <v>178</v>
      </c>
      <c r="G2">
        <v>21.285714285714281</v>
      </c>
      <c r="H2">
        <v>0.75592894601845451</v>
      </c>
      <c r="I2">
        <v>7</v>
      </c>
      <c r="J2">
        <v>7.1526014619781177</v>
      </c>
      <c r="K2">
        <v>1.5241793062172531E-4</v>
      </c>
      <c r="L2">
        <v>6.7820540418439004</v>
      </c>
    </row>
    <row r="3" spans="1:12" x14ac:dyDescent="0.25">
      <c r="A3">
        <v>18</v>
      </c>
      <c r="B3">
        <v>22</v>
      </c>
      <c r="C3" t="s">
        <v>13</v>
      </c>
      <c r="D3">
        <v>7.49</v>
      </c>
      <c r="E3">
        <v>2.04</v>
      </c>
      <c r="F3">
        <v>178</v>
      </c>
      <c r="G3">
        <v>9.7142857142857135</v>
      </c>
      <c r="H3">
        <v>1.704336206492693</v>
      </c>
      <c r="I3">
        <v>7</v>
      </c>
      <c r="J3">
        <v>3.3595581813883659</v>
      </c>
      <c r="K3">
        <v>1.292310561640405E-2</v>
      </c>
      <c r="L3">
        <v>2.0695164983318421</v>
      </c>
    </row>
    <row r="4" spans="1:12" x14ac:dyDescent="0.25">
      <c r="A4">
        <v>18</v>
      </c>
      <c r="B4">
        <v>22</v>
      </c>
      <c r="C4" t="s">
        <v>14</v>
      </c>
      <c r="D4">
        <v>10.14</v>
      </c>
      <c r="E4">
        <v>1.74</v>
      </c>
      <c r="F4">
        <v>178</v>
      </c>
      <c r="G4">
        <v>11.428571428571431</v>
      </c>
      <c r="H4">
        <v>0.88640526042791823</v>
      </c>
      <c r="I4">
        <v>7</v>
      </c>
      <c r="J4">
        <v>3.5841542488217648</v>
      </c>
      <c r="K4">
        <v>7.2193944701851786E-3</v>
      </c>
      <c r="L4">
        <v>1.605514197493761</v>
      </c>
    </row>
    <row r="5" spans="1:12" x14ac:dyDescent="0.25">
      <c r="A5">
        <v>18</v>
      </c>
      <c r="B5">
        <v>22</v>
      </c>
      <c r="C5" t="s">
        <v>15</v>
      </c>
      <c r="D5">
        <v>11.1</v>
      </c>
      <c r="E5">
        <v>1.1599999999999999</v>
      </c>
      <c r="F5">
        <v>178</v>
      </c>
      <c r="G5">
        <v>11.857142857142859</v>
      </c>
      <c r="H5">
        <v>0.2439750182371333</v>
      </c>
      <c r="I5">
        <v>7</v>
      </c>
      <c r="J5">
        <v>5.973999058787709</v>
      </c>
      <c r="K5">
        <v>6.4554659141160622E-6</v>
      </c>
      <c r="L5">
        <v>3.4419677416439858</v>
      </c>
    </row>
    <row r="6" spans="1:12" x14ac:dyDescent="0.25">
      <c r="A6">
        <v>18</v>
      </c>
      <c r="B6">
        <v>22</v>
      </c>
      <c r="C6" t="s">
        <v>16</v>
      </c>
      <c r="D6">
        <v>28.74</v>
      </c>
      <c r="E6">
        <v>4.32</v>
      </c>
      <c r="F6">
        <v>178</v>
      </c>
      <c r="G6">
        <v>33</v>
      </c>
      <c r="H6">
        <v>2.5819888974716112</v>
      </c>
      <c r="I6">
        <v>7</v>
      </c>
      <c r="J6">
        <v>4.1431027390596684</v>
      </c>
      <c r="K6">
        <v>3.8489111956053939E-3</v>
      </c>
      <c r="L6">
        <v>2.406619449948924</v>
      </c>
    </row>
    <row r="7" spans="1:12" x14ac:dyDescent="0.25">
      <c r="A7">
        <v>18</v>
      </c>
      <c r="B7">
        <v>22</v>
      </c>
      <c r="C7" t="s">
        <v>17</v>
      </c>
      <c r="D7">
        <v>3.63</v>
      </c>
      <c r="E7">
        <v>1.67</v>
      </c>
      <c r="F7">
        <v>178</v>
      </c>
      <c r="G7">
        <v>2.1428571428571428</v>
      </c>
      <c r="H7">
        <v>1.546886273407694</v>
      </c>
      <c r="I7">
        <v>7</v>
      </c>
      <c r="J7">
        <v>-2.4872062721204138</v>
      </c>
      <c r="K7">
        <v>4.3981684416791247E-2</v>
      </c>
      <c r="L7">
        <v>-1.210995256622051</v>
      </c>
    </row>
    <row r="8" spans="1:12" x14ac:dyDescent="0.25">
      <c r="A8">
        <v>18</v>
      </c>
      <c r="B8">
        <v>22</v>
      </c>
      <c r="C8" t="s">
        <v>18</v>
      </c>
      <c r="D8">
        <v>10.79</v>
      </c>
      <c r="E8">
        <v>1.37</v>
      </c>
      <c r="F8">
        <v>178</v>
      </c>
      <c r="G8">
        <v>11.857142857142859</v>
      </c>
      <c r="H8">
        <v>0.2439750182371333</v>
      </c>
      <c r="I8">
        <v>7</v>
      </c>
      <c r="J8">
        <v>7.7321512375167529</v>
      </c>
      <c r="K8">
        <v>1.7359054503880122E-8</v>
      </c>
      <c r="L8">
        <v>6.1432166642616863</v>
      </c>
    </row>
    <row r="9" spans="1:12" x14ac:dyDescent="0.25">
      <c r="A9">
        <v>18</v>
      </c>
      <c r="B9">
        <v>22</v>
      </c>
      <c r="C9" t="s">
        <v>19</v>
      </c>
      <c r="D9">
        <v>95.34</v>
      </c>
      <c r="E9">
        <v>6.6</v>
      </c>
      <c r="F9">
        <v>178</v>
      </c>
      <c r="G9">
        <v>100</v>
      </c>
      <c r="H9">
        <v>0</v>
      </c>
      <c r="I9">
        <v>7</v>
      </c>
      <c r="J9">
        <v>9.4200234149740414</v>
      </c>
      <c r="K9">
        <v>2.4686152632033261E-17</v>
      </c>
      <c r="L9">
        <v>11.923022741182979</v>
      </c>
    </row>
    <row r="10" spans="1:12" x14ac:dyDescent="0.25">
      <c r="A10">
        <v>18</v>
      </c>
      <c r="B10">
        <v>22</v>
      </c>
      <c r="C10" t="s">
        <v>20</v>
      </c>
      <c r="D10">
        <v>5.93</v>
      </c>
      <c r="E10">
        <v>0.28000000000000003</v>
      </c>
      <c r="F10">
        <v>178</v>
      </c>
      <c r="G10">
        <v>5.7142857142857144</v>
      </c>
      <c r="H10">
        <v>0.48795003647426649</v>
      </c>
      <c r="I10">
        <v>7</v>
      </c>
      <c r="J10">
        <v>-1.16214076843203</v>
      </c>
      <c r="K10">
        <v>0.28824216062428709</v>
      </c>
      <c r="L10">
        <v>-0.402968647979628</v>
      </c>
    </row>
    <row r="11" spans="1:12" x14ac:dyDescent="0.25">
      <c r="A11">
        <v>18</v>
      </c>
      <c r="B11">
        <v>22</v>
      </c>
      <c r="C11" t="s">
        <v>21</v>
      </c>
      <c r="D11">
        <v>0.02</v>
      </c>
      <c r="E11">
        <v>0.14000000000000001</v>
      </c>
      <c r="F11">
        <v>178</v>
      </c>
      <c r="G11">
        <v>0</v>
      </c>
      <c r="H11">
        <v>0</v>
      </c>
      <c r="I11">
        <v>7</v>
      </c>
      <c r="J11">
        <v>-1.905952009160905</v>
      </c>
      <c r="K11">
        <v>5.8277041766094238E-2</v>
      </c>
      <c r="L11">
        <v>-0.17932169945102999</v>
      </c>
    </row>
    <row r="12" spans="1:12" x14ac:dyDescent="0.25">
      <c r="A12">
        <v>18</v>
      </c>
      <c r="B12">
        <v>22</v>
      </c>
      <c r="C12" t="s">
        <v>22</v>
      </c>
      <c r="D12">
        <v>5.91</v>
      </c>
      <c r="E12">
        <v>0.31</v>
      </c>
      <c r="F12">
        <v>178</v>
      </c>
      <c r="G12">
        <v>5.7142857142857144</v>
      </c>
      <c r="H12">
        <v>0.48795003647426649</v>
      </c>
      <c r="I12">
        <v>7</v>
      </c>
      <c r="J12">
        <v>-1.0528743566382031</v>
      </c>
      <c r="K12">
        <v>0.33174098282100251</v>
      </c>
      <c r="L12">
        <v>-0.29546467871921239</v>
      </c>
    </row>
    <row r="13" spans="1:12" x14ac:dyDescent="0.25">
      <c r="A13">
        <v>18</v>
      </c>
      <c r="B13">
        <v>22</v>
      </c>
      <c r="C13" t="s">
        <v>23</v>
      </c>
      <c r="D13">
        <v>0.49</v>
      </c>
      <c r="E13">
        <v>7.0000000000000007E-2</v>
      </c>
      <c r="F13">
        <v>178</v>
      </c>
      <c r="G13">
        <v>0.42857142857142849</v>
      </c>
      <c r="H13">
        <v>0.12198750911856671</v>
      </c>
      <c r="I13">
        <v>7</v>
      </c>
      <c r="J13">
        <v>-1.3237629945053611</v>
      </c>
      <c r="K13">
        <v>0.23261244262614339</v>
      </c>
      <c r="L13">
        <v>-0.53813282850217281</v>
      </c>
    </row>
    <row r="14" spans="1:12" x14ac:dyDescent="0.25">
      <c r="A14">
        <v>20</v>
      </c>
      <c r="B14">
        <v>24</v>
      </c>
      <c r="C14" t="s">
        <v>12</v>
      </c>
      <c r="D14">
        <v>21.22</v>
      </c>
      <c r="E14">
        <v>1.25</v>
      </c>
      <c r="F14">
        <v>66</v>
      </c>
      <c r="G14">
        <v>21.9</v>
      </c>
      <c r="H14">
        <v>1.1972189997378651</v>
      </c>
      <c r="I14">
        <v>10</v>
      </c>
      <c r="J14">
        <v>1.663952125207629</v>
      </c>
      <c r="K14">
        <v>0.1216336098759198</v>
      </c>
      <c r="L14">
        <v>0.50025197687007439</v>
      </c>
    </row>
    <row r="15" spans="1:12" x14ac:dyDescent="0.25">
      <c r="A15">
        <v>20</v>
      </c>
      <c r="B15">
        <v>24</v>
      </c>
      <c r="C15" t="s">
        <v>13</v>
      </c>
      <c r="D15">
        <v>7.39</v>
      </c>
      <c r="E15">
        <v>2.04</v>
      </c>
      <c r="F15">
        <v>66</v>
      </c>
      <c r="G15">
        <v>9.4</v>
      </c>
      <c r="H15">
        <v>1.559914527573012</v>
      </c>
      <c r="I15">
        <v>10</v>
      </c>
      <c r="J15">
        <v>3.6312844296709121</v>
      </c>
      <c r="K15">
        <v>2.6850893021153469E-3</v>
      </c>
      <c r="L15">
        <v>2.599736369266346</v>
      </c>
    </row>
    <row r="16" spans="1:12" x14ac:dyDescent="0.25">
      <c r="A16">
        <v>20</v>
      </c>
      <c r="B16">
        <v>24</v>
      </c>
      <c r="C16" t="s">
        <v>14</v>
      </c>
      <c r="D16">
        <v>10.029999999999999</v>
      </c>
      <c r="E16">
        <v>1.76</v>
      </c>
      <c r="F16">
        <v>66</v>
      </c>
      <c r="G16">
        <v>11.55</v>
      </c>
      <c r="H16">
        <v>0.76194196337749753</v>
      </c>
      <c r="I16">
        <v>10</v>
      </c>
      <c r="J16">
        <v>4.6910700501787694</v>
      </c>
      <c r="K16">
        <v>6.9918948065640497E-5</v>
      </c>
      <c r="L16">
        <v>3.780421672335831</v>
      </c>
    </row>
    <row r="17" spans="1:12" x14ac:dyDescent="0.25">
      <c r="A17">
        <v>20</v>
      </c>
      <c r="B17">
        <v>24</v>
      </c>
      <c r="C17" t="s">
        <v>15</v>
      </c>
      <c r="D17">
        <v>11</v>
      </c>
      <c r="E17">
        <v>1.2</v>
      </c>
      <c r="F17">
        <v>66</v>
      </c>
      <c r="G17">
        <v>11.9</v>
      </c>
      <c r="H17">
        <v>0.21081851067789201</v>
      </c>
      <c r="I17">
        <v>10</v>
      </c>
      <c r="J17">
        <v>5.5535851206502382</v>
      </c>
      <c r="K17">
        <v>4.3672999314264818E-7</v>
      </c>
      <c r="L17">
        <v>5.0785181845003189</v>
      </c>
    </row>
    <row r="18" spans="1:12" x14ac:dyDescent="0.25">
      <c r="A18">
        <v>20</v>
      </c>
      <c r="B18">
        <v>24</v>
      </c>
      <c r="C18" t="s">
        <v>16</v>
      </c>
      <c r="D18">
        <v>28.44</v>
      </c>
      <c r="E18">
        <v>4.38</v>
      </c>
      <c r="F18">
        <v>66</v>
      </c>
      <c r="G18">
        <v>32.85</v>
      </c>
      <c r="H18">
        <v>2.1737065119284158</v>
      </c>
      <c r="I18">
        <v>10</v>
      </c>
      <c r="J18">
        <v>5.0480909219414496</v>
      </c>
      <c r="K18">
        <v>4.5084841190886882E-5</v>
      </c>
      <c r="L18">
        <v>4.5912251785375338</v>
      </c>
    </row>
    <row r="19" spans="1:12" x14ac:dyDescent="0.25">
      <c r="A19">
        <v>20</v>
      </c>
      <c r="B19">
        <v>24</v>
      </c>
      <c r="C19" t="s">
        <v>17</v>
      </c>
      <c r="D19">
        <v>3.64</v>
      </c>
      <c r="E19">
        <v>1.68</v>
      </c>
      <c r="F19">
        <v>66</v>
      </c>
      <c r="G19">
        <v>2.5</v>
      </c>
      <c r="H19">
        <v>1.471960144387974</v>
      </c>
      <c r="I19">
        <v>10</v>
      </c>
      <c r="J19">
        <v>-2.2381773676950298</v>
      </c>
      <c r="K19">
        <v>4.3590542678742183E-2</v>
      </c>
      <c r="L19">
        <v>-0.93659685661683389</v>
      </c>
    </row>
    <row r="20" spans="1:12" x14ac:dyDescent="0.25">
      <c r="A20">
        <v>20</v>
      </c>
      <c r="B20">
        <v>24</v>
      </c>
      <c r="C20" t="s">
        <v>18</v>
      </c>
      <c r="D20">
        <v>10.68</v>
      </c>
      <c r="E20">
        <v>1.41</v>
      </c>
      <c r="F20">
        <v>66</v>
      </c>
      <c r="G20">
        <v>11.5</v>
      </c>
      <c r="H20">
        <v>1.247219128924647</v>
      </c>
      <c r="I20">
        <v>10</v>
      </c>
      <c r="J20">
        <v>1.9029759376682389</v>
      </c>
      <c r="K20">
        <v>7.9853462715510679E-2</v>
      </c>
      <c r="L20">
        <v>0.64699981760036129</v>
      </c>
    </row>
    <row r="21" spans="1:12" x14ac:dyDescent="0.25">
      <c r="A21">
        <v>20</v>
      </c>
      <c r="B21">
        <v>24</v>
      </c>
      <c r="C21" t="s">
        <v>19</v>
      </c>
      <c r="D21">
        <v>94.93</v>
      </c>
      <c r="E21">
        <v>7.26</v>
      </c>
      <c r="F21">
        <v>66</v>
      </c>
      <c r="G21">
        <v>96.666666667000001</v>
      </c>
      <c r="H21">
        <v>10.540925532840509</v>
      </c>
      <c r="I21">
        <v>10</v>
      </c>
      <c r="J21">
        <v>0.50322922541586612</v>
      </c>
      <c r="K21">
        <v>0.6253567097024666</v>
      </c>
      <c r="L21">
        <v>4.5780960269809871E-2</v>
      </c>
    </row>
    <row r="22" spans="1:12" x14ac:dyDescent="0.25">
      <c r="A22">
        <v>20</v>
      </c>
      <c r="B22">
        <v>24</v>
      </c>
      <c r="C22" t="s">
        <v>20</v>
      </c>
      <c r="D22">
        <v>5.95</v>
      </c>
      <c r="E22">
        <v>0.21</v>
      </c>
      <c r="F22">
        <v>66</v>
      </c>
      <c r="G22">
        <v>5.8</v>
      </c>
      <c r="H22">
        <v>0.4216370213557839</v>
      </c>
      <c r="I22">
        <v>10</v>
      </c>
      <c r="J22">
        <v>-1.1044361987650659</v>
      </c>
      <c r="K22">
        <v>0.29608020902103788</v>
      </c>
      <c r="L22">
        <v>-0.32273264924206119</v>
      </c>
    </row>
    <row r="23" spans="1:12" x14ac:dyDescent="0.25">
      <c r="A23">
        <v>20</v>
      </c>
      <c r="B23">
        <v>24</v>
      </c>
      <c r="C23" t="s">
        <v>21</v>
      </c>
      <c r="D23">
        <v>0.03</v>
      </c>
      <c r="E23">
        <v>0.17</v>
      </c>
      <c r="F23">
        <v>66</v>
      </c>
      <c r="G23">
        <v>0</v>
      </c>
      <c r="H23">
        <v>0</v>
      </c>
      <c r="I23">
        <v>10</v>
      </c>
      <c r="J23">
        <v>-1.433653836112228</v>
      </c>
      <c r="K23">
        <v>0.1564641258671649</v>
      </c>
      <c r="L23">
        <v>-0.1516851291028444</v>
      </c>
    </row>
    <row r="24" spans="1:12" x14ac:dyDescent="0.25">
      <c r="A24">
        <v>20</v>
      </c>
      <c r="B24">
        <v>24</v>
      </c>
      <c r="C24" t="s">
        <v>22</v>
      </c>
      <c r="D24">
        <v>5.92</v>
      </c>
      <c r="E24">
        <v>0.26</v>
      </c>
      <c r="F24">
        <v>66</v>
      </c>
      <c r="G24">
        <v>5.8</v>
      </c>
      <c r="H24">
        <v>0.4216370213557839</v>
      </c>
      <c r="I24">
        <v>10</v>
      </c>
      <c r="J24">
        <v>-0.87514292989103382</v>
      </c>
      <c r="K24">
        <v>0.40190267205203162</v>
      </c>
      <c r="L24">
        <v>-0.1669172872349389</v>
      </c>
    </row>
    <row r="25" spans="1:12" x14ac:dyDescent="0.25">
      <c r="A25">
        <v>20</v>
      </c>
      <c r="B25">
        <v>24</v>
      </c>
      <c r="C25" t="s">
        <v>23</v>
      </c>
      <c r="D25">
        <v>0.49</v>
      </c>
      <c r="E25">
        <v>0.06</v>
      </c>
      <c r="F25">
        <v>66</v>
      </c>
      <c r="G25">
        <v>0.45</v>
      </c>
      <c r="H25">
        <v>0.105409255338946</v>
      </c>
      <c r="I25">
        <v>10</v>
      </c>
      <c r="J25">
        <v>-1.171587378048295</v>
      </c>
      <c r="K25">
        <v>0.2687815962338731</v>
      </c>
      <c r="L25">
        <v>-0.33973066072453101</v>
      </c>
    </row>
    <row r="26" spans="1:12" x14ac:dyDescent="0.25">
      <c r="A26">
        <v>22</v>
      </c>
      <c r="B26">
        <v>26</v>
      </c>
      <c r="C26" t="s">
        <v>12</v>
      </c>
      <c r="D26">
        <v>24.29</v>
      </c>
      <c r="E26">
        <v>1.42</v>
      </c>
      <c r="F26">
        <v>47</v>
      </c>
      <c r="G26">
        <v>24.09090909090909</v>
      </c>
      <c r="H26">
        <v>1.7580981459830649</v>
      </c>
      <c r="I26">
        <v>11</v>
      </c>
      <c r="J26">
        <v>-0.34982437743861777</v>
      </c>
      <c r="K26">
        <v>0.73198082189417768</v>
      </c>
      <c r="L26">
        <v>-1.8153691073519052E-2</v>
      </c>
    </row>
    <row r="27" spans="1:12" x14ac:dyDescent="0.25">
      <c r="A27">
        <v>22</v>
      </c>
      <c r="B27">
        <v>26</v>
      </c>
      <c r="C27" t="s">
        <v>13</v>
      </c>
      <c r="D27">
        <v>7.29</v>
      </c>
      <c r="E27">
        <v>2.04</v>
      </c>
      <c r="F27">
        <v>47</v>
      </c>
      <c r="G27">
        <v>9.0909090909090917</v>
      </c>
      <c r="H27">
        <v>1.9598237397554641</v>
      </c>
      <c r="I27">
        <v>11</v>
      </c>
      <c r="J27">
        <v>2.722039800076467</v>
      </c>
      <c r="K27">
        <v>1.540012726666385E-2</v>
      </c>
      <c r="L27">
        <v>1.6111747437375119</v>
      </c>
    </row>
    <row r="28" spans="1:12" x14ac:dyDescent="0.25">
      <c r="A28">
        <v>22</v>
      </c>
      <c r="B28">
        <v>26</v>
      </c>
      <c r="C28" t="s">
        <v>14</v>
      </c>
      <c r="D28">
        <v>9.93</v>
      </c>
      <c r="E28">
        <v>1.77</v>
      </c>
      <c r="F28">
        <v>47</v>
      </c>
      <c r="G28">
        <v>11.36363636363636</v>
      </c>
      <c r="H28">
        <v>1.097517860695421</v>
      </c>
      <c r="I28">
        <v>11</v>
      </c>
      <c r="J28">
        <v>3.4157290312178969</v>
      </c>
      <c r="K28">
        <v>2.272760123095872E-3</v>
      </c>
      <c r="L28">
        <v>2.2694479312367779</v>
      </c>
    </row>
    <row r="29" spans="1:12" x14ac:dyDescent="0.25">
      <c r="A29">
        <v>22</v>
      </c>
      <c r="B29">
        <v>26</v>
      </c>
      <c r="C29" t="s">
        <v>15</v>
      </c>
      <c r="D29">
        <v>10.91</v>
      </c>
      <c r="E29">
        <v>1.24</v>
      </c>
      <c r="F29">
        <v>47</v>
      </c>
      <c r="G29">
        <v>11.81818181818182</v>
      </c>
      <c r="H29">
        <v>0.46220813886858758</v>
      </c>
      <c r="I29">
        <v>11</v>
      </c>
      <c r="J29">
        <v>3.9774283165639082</v>
      </c>
      <c r="K29">
        <v>2.5276593466810182E-4</v>
      </c>
      <c r="L29">
        <v>2.864038681171138</v>
      </c>
    </row>
    <row r="30" spans="1:12" x14ac:dyDescent="0.25">
      <c r="A30">
        <v>22</v>
      </c>
      <c r="B30">
        <v>26</v>
      </c>
      <c r="C30" t="s">
        <v>16</v>
      </c>
      <c r="D30">
        <v>28.13</v>
      </c>
      <c r="E30">
        <v>4.43</v>
      </c>
      <c r="F30">
        <v>47</v>
      </c>
      <c r="G30">
        <v>32.272727272727273</v>
      </c>
      <c r="H30">
        <v>3.3042672134955762</v>
      </c>
      <c r="I30">
        <v>11</v>
      </c>
      <c r="J30">
        <v>3.488665881410006</v>
      </c>
      <c r="K30">
        <v>2.3932021591428561E-3</v>
      </c>
      <c r="L30">
        <v>2.554325005049956</v>
      </c>
    </row>
    <row r="31" spans="1:12" x14ac:dyDescent="0.25">
      <c r="A31">
        <v>22</v>
      </c>
      <c r="B31">
        <v>26</v>
      </c>
      <c r="C31" t="s">
        <v>17</v>
      </c>
      <c r="D31">
        <v>3.64</v>
      </c>
      <c r="E31">
        <v>1.68</v>
      </c>
      <c r="F31">
        <v>47</v>
      </c>
      <c r="G31">
        <v>2.7272727272727271</v>
      </c>
      <c r="H31">
        <v>1.633457014488541</v>
      </c>
      <c r="I31">
        <v>11</v>
      </c>
      <c r="J31">
        <v>-1.659194132400682</v>
      </c>
      <c r="K31">
        <v>0.11735190615998529</v>
      </c>
      <c r="L31">
        <v>-0.50802126717377682</v>
      </c>
    </row>
    <row r="32" spans="1:12" x14ac:dyDescent="0.25">
      <c r="A32">
        <v>22</v>
      </c>
      <c r="B32">
        <v>26</v>
      </c>
      <c r="C32" t="s">
        <v>18</v>
      </c>
      <c r="D32">
        <v>10.57</v>
      </c>
      <c r="E32">
        <v>1.45</v>
      </c>
      <c r="F32">
        <v>47</v>
      </c>
      <c r="G32">
        <v>11.40909090909091</v>
      </c>
      <c r="H32">
        <v>1.221027882936786</v>
      </c>
      <c r="I32">
        <v>11</v>
      </c>
      <c r="J32">
        <v>1.9762678323977989</v>
      </c>
      <c r="K32">
        <v>6.431012588077302E-2</v>
      </c>
      <c r="L32">
        <v>0.70826947210287328</v>
      </c>
    </row>
    <row r="33" spans="1:12" x14ac:dyDescent="0.25">
      <c r="A33">
        <v>22</v>
      </c>
      <c r="B33">
        <v>26</v>
      </c>
      <c r="C33" t="s">
        <v>19</v>
      </c>
      <c r="D33">
        <v>95.75</v>
      </c>
      <c r="E33">
        <v>7.53</v>
      </c>
      <c r="F33">
        <v>47</v>
      </c>
      <c r="G33">
        <v>96.590909090909093</v>
      </c>
      <c r="H33">
        <v>10.003156066646509</v>
      </c>
      <c r="I33">
        <v>11</v>
      </c>
      <c r="J33">
        <v>0.26197879176651512</v>
      </c>
      <c r="K33">
        <v>0.79751300292884886</v>
      </c>
      <c r="L33">
        <v>1.0293045272444141E-2</v>
      </c>
    </row>
    <row r="34" spans="1:12" x14ac:dyDescent="0.25">
      <c r="A34">
        <v>22</v>
      </c>
      <c r="B34">
        <v>26</v>
      </c>
      <c r="C34" t="s">
        <v>20</v>
      </c>
      <c r="D34">
        <v>5.91</v>
      </c>
      <c r="E34">
        <v>0.28000000000000003</v>
      </c>
      <c r="F34">
        <v>47</v>
      </c>
      <c r="G34">
        <v>5.9090909090909092</v>
      </c>
      <c r="H34">
        <v>0.30151134457776357</v>
      </c>
      <c r="I34">
        <v>11</v>
      </c>
      <c r="J34">
        <v>-9.1217251122444696E-3</v>
      </c>
      <c r="K34">
        <v>0.99284790340394835</v>
      </c>
      <c r="L34">
        <v>-9.9798549940268992E-6</v>
      </c>
    </row>
    <row r="35" spans="1:12" x14ac:dyDescent="0.25">
      <c r="A35">
        <v>22</v>
      </c>
      <c r="B35">
        <v>26</v>
      </c>
      <c r="C35" t="s">
        <v>21</v>
      </c>
      <c r="D35">
        <v>0</v>
      </c>
      <c r="E35">
        <v>0</v>
      </c>
      <c r="F35">
        <v>47</v>
      </c>
      <c r="G35">
        <v>0</v>
      </c>
      <c r="H35">
        <v>0</v>
      </c>
      <c r="I35">
        <v>11</v>
      </c>
    </row>
    <row r="36" spans="1:12" x14ac:dyDescent="0.25">
      <c r="A36">
        <v>22</v>
      </c>
      <c r="B36">
        <v>26</v>
      </c>
      <c r="C36" t="s">
        <v>22</v>
      </c>
      <c r="D36">
        <v>5.91</v>
      </c>
      <c r="E36">
        <v>0.28000000000000003</v>
      </c>
      <c r="F36">
        <v>47</v>
      </c>
      <c r="G36">
        <v>5.9090909090909092</v>
      </c>
      <c r="H36">
        <v>0.30151134457776357</v>
      </c>
      <c r="I36">
        <v>11</v>
      </c>
      <c r="J36">
        <v>-9.1217251122444696E-3</v>
      </c>
      <c r="K36">
        <v>0.99284790340394835</v>
      </c>
      <c r="L36">
        <v>-9.9798549940268992E-6</v>
      </c>
    </row>
    <row r="37" spans="1:12" x14ac:dyDescent="0.25">
      <c r="A37">
        <v>22</v>
      </c>
      <c r="B37">
        <v>26</v>
      </c>
      <c r="C37" t="s">
        <v>23</v>
      </c>
      <c r="D37">
        <v>0.47</v>
      </c>
      <c r="E37">
        <v>7.0000000000000007E-2</v>
      </c>
      <c r="F37">
        <v>47</v>
      </c>
      <c r="G37">
        <v>0.47727272727272729</v>
      </c>
      <c r="H37">
        <v>7.5377836144440907E-2</v>
      </c>
      <c r="I37">
        <v>11</v>
      </c>
      <c r="J37">
        <v>0.29189520359180521</v>
      </c>
      <c r="K37">
        <v>0.77455356023993138</v>
      </c>
      <c r="L37">
        <v>1.1366334522179691E-2</v>
      </c>
    </row>
    <row r="38" spans="1:12" x14ac:dyDescent="0.25">
      <c r="A38">
        <v>24</v>
      </c>
      <c r="B38">
        <v>28</v>
      </c>
      <c r="C38" t="s">
        <v>12</v>
      </c>
      <c r="D38">
        <v>25.48</v>
      </c>
      <c r="E38">
        <v>1.0900000000000001</v>
      </c>
      <c r="F38">
        <v>39</v>
      </c>
      <c r="G38">
        <v>26.333333333333329</v>
      </c>
      <c r="H38">
        <v>1.4142135623730949</v>
      </c>
      <c r="I38">
        <v>9</v>
      </c>
      <c r="J38">
        <v>1.6975705845319149</v>
      </c>
      <c r="K38">
        <v>0.11954179702007831</v>
      </c>
      <c r="L38">
        <v>0.68275402779823313</v>
      </c>
    </row>
    <row r="39" spans="1:12" x14ac:dyDescent="0.25">
      <c r="A39">
        <v>24</v>
      </c>
      <c r="B39">
        <v>28</v>
      </c>
      <c r="C39" t="s">
        <v>13</v>
      </c>
      <c r="D39">
        <v>7.19</v>
      </c>
      <c r="E39">
        <v>2.04</v>
      </c>
      <c r="F39">
        <v>39</v>
      </c>
      <c r="G39">
        <v>9.0555555555555554</v>
      </c>
      <c r="H39">
        <v>2.2282903261868232</v>
      </c>
      <c r="I39">
        <v>9</v>
      </c>
      <c r="J39">
        <v>2.2991195424480759</v>
      </c>
      <c r="K39">
        <v>4.1501215264097738E-2</v>
      </c>
      <c r="L39">
        <v>1.2430646466477331</v>
      </c>
    </row>
    <row r="40" spans="1:12" x14ac:dyDescent="0.25">
      <c r="A40">
        <v>24</v>
      </c>
      <c r="B40">
        <v>28</v>
      </c>
      <c r="C40" t="s">
        <v>14</v>
      </c>
      <c r="D40">
        <v>9.82</v>
      </c>
      <c r="E40">
        <v>1.79</v>
      </c>
      <c r="F40">
        <v>39</v>
      </c>
      <c r="G40">
        <v>11.111111111111111</v>
      </c>
      <c r="H40">
        <v>1.139566194264779</v>
      </c>
      <c r="I40">
        <v>9</v>
      </c>
      <c r="J40">
        <v>2.71319357537535</v>
      </c>
      <c r="K40">
        <v>1.403706007829961E-2</v>
      </c>
      <c r="L40">
        <v>1.411329333737098</v>
      </c>
    </row>
    <row r="41" spans="1:12" x14ac:dyDescent="0.25">
      <c r="A41">
        <v>24</v>
      </c>
      <c r="B41">
        <v>28</v>
      </c>
      <c r="C41" t="s">
        <v>15</v>
      </c>
      <c r="D41">
        <v>10.81</v>
      </c>
      <c r="E41">
        <v>1.28</v>
      </c>
      <c r="F41">
        <v>39</v>
      </c>
      <c r="G41">
        <v>11.83333333333333</v>
      </c>
      <c r="H41">
        <v>0.5</v>
      </c>
      <c r="I41">
        <v>9</v>
      </c>
      <c r="J41">
        <v>3.87370583853874</v>
      </c>
      <c r="K41">
        <v>4.630303807506153E-4</v>
      </c>
      <c r="L41">
        <v>2.8869870843629188</v>
      </c>
    </row>
    <row r="42" spans="1:12" x14ac:dyDescent="0.25">
      <c r="A42">
        <v>24</v>
      </c>
      <c r="B42">
        <v>28</v>
      </c>
      <c r="C42" t="s">
        <v>16</v>
      </c>
      <c r="D42">
        <v>27.83</v>
      </c>
      <c r="E42">
        <v>4.4800000000000004</v>
      </c>
      <c r="F42">
        <v>39</v>
      </c>
      <c r="G42">
        <v>32</v>
      </c>
      <c r="H42">
        <v>3.6571847095819479</v>
      </c>
      <c r="I42">
        <v>9</v>
      </c>
      <c r="J42">
        <v>2.948092324216252</v>
      </c>
      <c r="K42">
        <v>1.0491736172935161E-2</v>
      </c>
      <c r="L42">
        <v>1.8980852647472859</v>
      </c>
    </row>
    <row r="43" spans="1:12" x14ac:dyDescent="0.25">
      <c r="A43">
        <v>24</v>
      </c>
      <c r="B43">
        <v>28</v>
      </c>
      <c r="C43" t="s">
        <v>17</v>
      </c>
      <c r="D43">
        <v>3.65</v>
      </c>
      <c r="E43">
        <v>1.69</v>
      </c>
      <c r="F43">
        <v>39</v>
      </c>
      <c r="G43">
        <v>2.7777777777777781</v>
      </c>
      <c r="H43">
        <v>1.922093765778466</v>
      </c>
      <c r="I43">
        <v>9</v>
      </c>
      <c r="J43">
        <v>-1.2540848194764009</v>
      </c>
      <c r="K43">
        <v>0.23572603830220359</v>
      </c>
      <c r="L43">
        <v>-0.31594159916610087</v>
      </c>
    </row>
    <row r="44" spans="1:12" x14ac:dyDescent="0.25">
      <c r="A44">
        <v>24</v>
      </c>
      <c r="B44">
        <v>28</v>
      </c>
      <c r="C44" t="s">
        <v>18</v>
      </c>
      <c r="D44">
        <v>10.46</v>
      </c>
      <c r="E44">
        <v>1.48</v>
      </c>
      <c r="F44">
        <v>39</v>
      </c>
      <c r="G44">
        <v>11.72222222222222</v>
      </c>
      <c r="H44">
        <v>0.50689687752485157</v>
      </c>
      <c r="I44">
        <v>9</v>
      </c>
      <c r="J44">
        <v>4.3367016678658974</v>
      </c>
      <c r="K44">
        <v>9.9518422926742867E-5</v>
      </c>
      <c r="L44">
        <v>3.709806987214169</v>
      </c>
    </row>
    <row r="45" spans="1:12" x14ac:dyDescent="0.25">
      <c r="A45">
        <v>24</v>
      </c>
      <c r="B45">
        <v>28</v>
      </c>
      <c r="C45" t="s">
        <v>19</v>
      </c>
      <c r="D45">
        <v>95.08</v>
      </c>
      <c r="E45">
        <v>8.0399999999999991</v>
      </c>
      <c r="F45">
        <v>39</v>
      </c>
      <c r="G45">
        <v>99.074074073333321</v>
      </c>
      <c r="H45">
        <v>1.8373273008202711</v>
      </c>
      <c r="I45">
        <v>9</v>
      </c>
      <c r="J45">
        <v>2.8015226867929348</v>
      </c>
      <c r="K45">
        <v>7.4183691155626109E-3</v>
      </c>
      <c r="L45">
        <v>1.157682695032082</v>
      </c>
    </row>
    <row r="46" spans="1:12" x14ac:dyDescent="0.25">
      <c r="A46">
        <v>24</v>
      </c>
      <c r="B46">
        <v>28</v>
      </c>
      <c r="C46" t="s">
        <v>20</v>
      </c>
      <c r="D46">
        <v>5.89</v>
      </c>
      <c r="E46">
        <v>0.3</v>
      </c>
      <c r="F46">
        <v>39</v>
      </c>
      <c r="G46">
        <v>6</v>
      </c>
      <c r="H46">
        <v>0</v>
      </c>
      <c r="I46">
        <v>9</v>
      </c>
      <c r="J46">
        <v>2.2898325994127529</v>
      </c>
      <c r="K46">
        <v>2.7674021846021489E-2</v>
      </c>
      <c r="L46">
        <v>0.62850082609560332</v>
      </c>
    </row>
    <row r="47" spans="1:12" x14ac:dyDescent="0.25">
      <c r="A47">
        <v>24</v>
      </c>
      <c r="B47">
        <v>28</v>
      </c>
      <c r="C47" t="s">
        <v>21</v>
      </c>
      <c r="D47">
        <v>0</v>
      </c>
      <c r="E47">
        <v>0</v>
      </c>
      <c r="F47">
        <v>39</v>
      </c>
      <c r="G47">
        <v>0</v>
      </c>
      <c r="H47">
        <v>0</v>
      </c>
      <c r="I47">
        <v>9</v>
      </c>
    </row>
    <row r="48" spans="1:12" x14ac:dyDescent="0.25">
      <c r="A48">
        <v>24</v>
      </c>
      <c r="B48">
        <v>28</v>
      </c>
      <c r="C48" t="s">
        <v>22</v>
      </c>
      <c r="D48">
        <v>5.89</v>
      </c>
      <c r="E48">
        <v>0.3</v>
      </c>
      <c r="F48">
        <v>39</v>
      </c>
      <c r="G48">
        <v>6</v>
      </c>
      <c r="H48">
        <v>0</v>
      </c>
      <c r="I48">
        <v>9</v>
      </c>
      <c r="J48">
        <v>2.2898325994127529</v>
      </c>
      <c r="K48">
        <v>2.7674021846021489E-2</v>
      </c>
      <c r="L48">
        <v>0.62850082609560332</v>
      </c>
    </row>
    <row r="49" spans="1:12" x14ac:dyDescent="0.25">
      <c r="A49">
        <v>24</v>
      </c>
      <c r="B49">
        <v>28</v>
      </c>
      <c r="C49" t="s">
        <v>23</v>
      </c>
      <c r="D49">
        <v>0.47</v>
      </c>
      <c r="E49">
        <v>7.0000000000000007E-2</v>
      </c>
      <c r="F49">
        <v>39</v>
      </c>
      <c r="G49">
        <v>0.5</v>
      </c>
      <c r="H49">
        <v>0</v>
      </c>
      <c r="I49">
        <v>9</v>
      </c>
      <c r="J49">
        <v>2.676427713599316</v>
      </c>
      <c r="K49">
        <v>1.0921856662474271E-2</v>
      </c>
      <c r="L49">
        <v>0.92500420122394134</v>
      </c>
    </row>
    <row r="50" spans="1:12" x14ac:dyDescent="0.25">
      <c r="A50">
        <v>26</v>
      </c>
      <c r="B50">
        <v>30</v>
      </c>
      <c r="C50" t="s">
        <v>12</v>
      </c>
      <c r="D50">
        <v>28.45</v>
      </c>
      <c r="E50">
        <v>1.62</v>
      </c>
      <c r="F50">
        <v>42</v>
      </c>
      <c r="G50">
        <v>27.6</v>
      </c>
      <c r="H50">
        <v>1.505545305418162</v>
      </c>
      <c r="I50">
        <v>10</v>
      </c>
      <c r="J50">
        <v>-1.5807221515303</v>
      </c>
      <c r="K50">
        <v>0.13564335892995591</v>
      </c>
      <c r="L50">
        <v>-0.46091255775928958</v>
      </c>
    </row>
    <row r="51" spans="1:12" x14ac:dyDescent="0.25">
      <c r="A51">
        <v>26</v>
      </c>
      <c r="B51">
        <v>30</v>
      </c>
      <c r="C51" t="s">
        <v>13</v>
      </c>
      <c r="D51">
        <v>7.09</v>
      </c>
      <c r="E51">
        <v>2.0299999999999998</v>
      </c>
      <c r="F51">
        <v>42</v>
      </c>
      <c r="G51">
        <v>8.4</v>
      </c>
      <c r="H51">
        <v>2.270584848790187</v>
      </c>
      <c r="I51">
        <v>10</v>
      </c>
      <c r="J51">
        <v>1.6722571554063601</v>
      </c>
      <c r="K51">
        <v>0.11900669266506191</v>
      </c>
      <c r="L51">
        <v>0.58351265889760495</v>
      </c>
    </row>
    <row r="52" spans="1:12" x14ac:dyDescent="0.25">
      <c r="A52">
        <v>26</v>
      </c>
      <c r="B52">
        <v>30</v>
      </c>
      <c r="C52" t="s">
        <v>14</v>
      </c>
      <c r="D52">
        <v>9.7200000000000006</v>
      </c>
      <c r="E52">
        <v>1.8</v>
      </c>
      <c r="F52">
        <v>42</v>
      </c>
      <c r="G52">
        <v>10.6</v>
      </c>
      <c r="H52">
        <v>1.410279720087078</v>
      </c>
      <c r="I52">
        <v>10</v>
      </c>
      <c r="J52">
        <v>1.674955047331357</v>
      </c>
      <c r="K52">
        <v>0.1124750386029941</v>
      </c>
      <c r="L52">
        <v>0.48094336090187623</v>
      </c>
    </row>
    <row r="53" spans="1:12" x14ac:dyDescent="0.25">
      <c r="A53">
        <v>26</v>
      </c>
      <c r="B53">
        <v>30</v>
      </c>
      <c r="C53" t="s">
        <v>15</v>
      </c>
      <c r="D53">
        <v>10.71</v>
      </c>
      <c r="E53">
        <v>1.32</v>
      </c>
      <c r="F53">
        <v>42</v>
      </c>
      <c r="G53">
        <v>11.85</v>
      </c>
      <c r="H53">
        <v>0.47434164902525688</v>
      </c>
      <c r="I53">
        <v>10</v>
      </c>
      <c r="J53">
        <v>4.5067486791551037</v>
      </c>
      <c r="K53">
        <v>5.252313704328814E-5</v>
      </c>
      <c r="L53">
        <v>4.0249688857335011</v>
      </c>
    </row>
    <row r="54" spans="1:12" x14ac:dyDescent="0.25">
      <c r="A54">
        <v>26</v>
      </c>
      <c r="B54">
        <v>30</v>
      </c>
      <c r="C54" t="s">
        <v>16</v>
      </c>
      <c r="D54">
        <v>27.52</v>
      </c>
      <c r="E54">
        <v>4.54</v>
      </c>
      <c r="F54">
        <v>42</v>
      </c>
      <c r="G54">
        <v>30.85</v>
      </c>
      <c r="H54">
        <v>3.4322813922456241</v>
      </c>
      <c r="I54">
        <v>10</v>
      </c>
      <c r="J54">
        <v>2.5777515416012879</v>
      </c>
      <c r="K54">
        <v>1.931378354414244E-2</v>
      </c>
      <c r="L54">
        <v>1.3087612642696449</v>
      </c>
    </row>
    <row r="55" spans="1:12" x14ac:dyDescent="0.25">
      <c r="A55">
        <v>26</v>
      </c>
      <c r="B55">
        <v>30</v>
      </c>
      <c r="C55" t="s">
        <v>17</v>
      </c>
      <c r="D55">
        <v>3.66</v>
      </c>
      <c r="E55">
        <v>1.7</v>
      </c>
      <c r="F55">
        <v>42</v>
      </c>
      <c r="G55">
        <v>3.45</v>
      </c>
      <c r="H55">
        <v>2.06087899261995</v>
      </c>
      <c r="I55">
        <v>10</v>
      </c>
      <c r="J55">
        <v>-0.29892466276338142</v>
      </c>
      <c r="K55">
        <v>0.77007651777350539</v>
      </c>
      <c r="L55">
        <v>-1.3459075080913969E-2</v>
      </c>
    </row>
    <row r="56" spans="1:12" x14ac:dyDescent="0.25">
      <c r="A56">
        <v>26</v>
      </c>
      <c r="B56">
        <v>30</v>
      </c>
      <c r="C56" t="s">
        <v>18</v>
      </c>
      <c r="D56">
        <v>10.35</v>
      </c>
      <c r="E56">
        <v>1.52</v>
      </c>
      <c r="F56">
        <v>42</v>
      </c>
      <c r="G56">
        <v>11.7</v>
      </c>
      <c r="H56">
        <v>0.48304589153964789</v>
      </c>
      <c r="I56">
        <v>10</v>
      </c>
      <c r="J56">
        <v>4.8231866128986374</v>
      </c>
      <c r="K56">
        <v>1.606426489127096E-5</v>
      </c>
      <c r="L56">
        <v>4.6508519274112512</v>
      </c>
    </row>
    <row r="57" spans="1:12" x14ac:dyDescent="0.25">
      <c r="A57">
        <v>26</v>
      </c>
      <c r="B57">
        <v>30</v>
      </c>
      <c r="C57" t="s">
        <v>19</v>
      </c>
      <c r="D57">
        <v>96.67</v>
      </c>
      <c r="E57">
        <v>6.31</v>
      </c>
      <c r="F57">
        <v>42</v>
      </c>
      <c r="G57">
        <v>98.749999998999982</v>
      </c>
      <c r="H57">
        <v>2.012691216358685</v>
      </c>
      <c r="I57">
        <v>10</v>
      </c>
      <c r="J57">
        <v>1.7881304312865309</v>
      </c>
      <c r="K57">
        <v>8.040102263097261E-2</v>
      </c>
      <c r="L57">
        <v>0.39413149807884079</v>
      </c>
    </row>
    <row r="58" spans="1:12" x14ac:dyDescent="0.25">
      <c r="A58">
        <v>26</v>
      </c>
      <c r="B58">
        <v>30</v>
      </c>
      <c r="C58" t="s">
        <v>20</v>
      </c>
      <c r="D58">
        <v>5.97</v>
      </c>
      <c r="E58">
        <v>0.15</v>
      </c>
      <c r="F58">
        <v>42</v>
      </c>
      <c r="G58">
        <v>5.9</v>
      </c>
      <c r="H58">
        <v>0.31622776601683789</v>
      </c>
      <c r="I58">
        <v>10</v>
      </c>
      <c r="J58">
        <v>-0.68197122062643079</v>
      </c>
      <c r="K58">
        <v>0.51076779103737802</v>
      </c>
      <c r="L58">
        <v>-0.10697925762048791</v>
      </c>
    </row>
    <row r="59" spans="1:12" x14ac:dyDescent="0.25">
      <c r="A59">
        <v>26</v>
      </c>
      <c r="B59">
        <v>30</v>
      </c>
      <c r="C59" t="s">
        <v>21</v>
      </c>
      <c r="D59">
        <v>0</v>
      </c>
      <c r="E59">
        <v>0</v>
      </c>
      <c r="F59">
        <v>42</v>
      </c>
      <c r="G59">
        <v>0</v>
      </c>
      <c r="H59">
        <v>0</v>
      </c>
      <c r="I59">
        <v>10</v>
      </c>
    </row>
    <row r="60" spans="1:12" x14ac:dyDescent="0.25">
      <c r="A60">
        <v>26</v>
      </c>
      <c r="B60">
        <v>30</v>
      </c>
      <c r="C60" t="s">
        <v>22</v>
      </c>
      <c r="D60">
        <v>5.97</v>
      </c>
      <c r="E60">
        <v>0.15</v>
      </c>
      <c r="F60">
        <v>42</v>
      </c>
      <c r="G60">
        <v>5.9</v>
      </c>
      <c r="H60">
        <v>0.31622776601683789</v>
      </c>
      <c r="I60">
        <v>10</v>
      </c>
      <c r="J60">
        <v>-0.68197122062643079</v>
      </c>
      <c r="K60">
        <v>0.51076779103737802</v>
      </c>
      <c r="L60">
        <v>-0.10697925762048791</v>
      </c>
    </row>
    <row r="61" spans="1:12" x14ac:dyDescent="0.25">
      <c r="A61">
        <v>26</v>
      </c>
      <c r="B61">
        <v>30</v>
      </c>
      <c r="C61" t="s">
        <v>23</v>
      </c>
      <c r="D61">
        <v>0.49</v>
      </c>
      <c r="E61">
        <v>0.03</v>
      </c>
      <c r="F61">
        <v>42</v>
      </c>
      <c r="G61">
        <v>0.47499999999999998</v>
      </c>
      <c r="H61">
        <v>7.9056941504209485E-2</v>
      </c>
      <c r="I61">
        <v>10</v>
      </c>
      <c r="J61">
        <v>-0.58997143858202328</v>
      </c>
      <c r="K61">
        <v>0.56879987456647707</v>
      </c>
      <c r="L61">
        <v>-8.5157463260577659E-2</v>
      </c>
    </row>
    <row r="62" spans="1:12" x14ac:dyDescent="0.25">
      <c r="A62">
        <v>28</v>
      </c>
      <c r="B62">
        <v>32</v>
      </c>
      <c r="C62" t="s">
        <v>12</v>
      </c>
      <c r="D62">
        <v>30.02</v>
      </c>
      <c r="E62">
        <v>1.1399999999999999</v>
      </c>
      <c r="F62">
        <v>40</v>
      </c>
      <c r="G62">
        <v>30.083333333333329</v>
      </c>
      <c r="H62">
        <v>1.6213537179739279</v>
      </c>
      <c r="I62">
        <v>12</v>
      </c>
      <c r="J62">
        <v>0.12627439676871491</v>
      </c>
      <c r="K62">
        <v>0.90125907894677337</v>
      </c>
      <c r="L62">
        <v>2.266308357215841E-3</v>
      </c>
    </row>
    <row r="63" spans="1:12" x14ac:dyDescent="0.25">
      <c r="A63">
        <v>28</v>
      </c>
      <c r="B63">
        <v>32</v>
      </c>
      <c r="C63" t="s">
        <v>13</v>
      </c>
      <c r="D63">
        <v>6.99</v>
      </c>
      <c r="E63">
        <v>2.0299999999999998</v>
      </c>
      <c r="F63">
        <v>40</v>
      </c>
      <c r="G63">
        <v>8.25</v>
      </c>
      <c r="H63">
        <v>2.4167972796469899</v>
      </c>
      <c r="I63">
        <v>12</v>
      </c>
      <c r="J63">
        <v>1.640707167261737</v>
      </c>
      <c r="K63">
        <v>0.12042976874749491</v>
      </c>
      <c r="L63">
        <v>0.54605858592735412</v>
      </c>
    </row>
    <row r="64" spans="1:12" x14ac:dyDescent="0.25">
      <c r="A64">
        <v>28</v>
      </c>
      <c r="B64">
        <v>32</v>
      </c>
      <c r="C64" t="s">
        <v>14</v>
      </c>
      <c r="D64">
        <v>9.61</v>
      </c>
      <c r="E64">
        <v>1.82</v>
      </c>
      <c r="F64">
        <v>40</v>
      </c>
      <c r="G64">
        <v>10.66666666666667</v>
      </c>
      <c r="H64">
        <v>1.403458930534474</v>
      </c>
      <c r="I64">
        <v>12</v>
      </c>
      <c r="J64">
        <v>2.1263377463753632</v>
      </c>
      <c r="K64">
        <v>4.4313300201884613E-2</v>
      </c>
      <c r="L64">
        <v>0.82337426453935281</v>
      </c>
    </row>
    <row r="65" spans="1:12" x14ac:dyDescent="0.25">
      <c r="A65">
        <v>28</v>
      </c>
      <c r="B65">
        <v>32</v>
      </c>
      <c r="C65" t="s">
        <v>15</v>
      </c>
      <c r="D65">
        <v>10.61</v>
      </c>
      <c r="E65">
        <v>1.36</v>
      </c>
      <c r="F65">
        <v>40</v>
      </c>
      <c r="G65">
        <v>11.91666666666667</v>
      </c>
      <c r="H65">
        <v>0.28867513459481292</v>
      </c>
      <c r="I65">
        <v>12</v>
      </c>
      <c r="J65">
        <v>5.6659468829261348</v>
      </c>
      <c r="K65">
        <v>8.1952811577978242E-7</v>
      </c>
      <c r="L65">
        <v>6.5796016895243614</v>
      </c>
    </row>
    <row r="66" spans="1:12" x14ac:dyDescent="0.25">
      <c r="A66">
        <v>28</v>
      </c>
      <c r="B66">
        <v>32</v>
      </c>
      <c r="C66" t="s">
        <v>16</v>
      </c>
      <c r="D66">
        <v>27.22</v>
      </c>
      <c r="E66">
        <v>4.59</v>
      </c>
      <c r="F66">
        <v>40</v>
      </c>
      <c r="G66">
        <v>30.833333333333329</v>
      </c>
      <c r="H66">
        <v>3.2844906435973891</v>
      </c>
      <c r="I66">
        <v>12</v>
      </c>
      <c r="J66">
        <v>3.0261824645469471</v>
      </c>
      <c r="K66">
        <v>5.635528419808097E-3</v>
      </c>
      <c r="L66">
        <v>1.873944291481201</v>
      </c>
    </row>
    <row r="67" spans="1:12" x14ac:dyDescent="0.25">
      <c r="A67">
        <v>28</v>
      </c>
      <c r="B67">
        <v>32</v>
      </c>
      <c r="C67" t="s">
        <v>17</v>
      </c>
      <c r="D67">
        <v>3.66</v>
      </c>
      <c r="E67">
        <v>1.71</v>
      </c>
      <c r="F67">
        <v>40</v>
      </c>
      <c r="G67">
        <v>3.666666666666667</v>
      </c>
      <c r="H67">
        <v>2.3868325657594198</v>
      </c>
      <c r="I67">
        <v>12</v>
      </c>
      <c r="J67">
        <v>9.0069534447074946E-3</v>
      </c>
      <c r="K67">
        <v>0.99293591353827759</v>
      </c>
      <c r="L67">
        <v>1.091807811737168E-5</v>
      </c>
    </row>
    <row r="68" spans="1:12" x14ac:dyDescent="0.25">
      <c r="A68">
        <v>28</v>
      </c>
      <c r="B68">
        <v>32</v>
      </c>
      <c r="C68" t="s">
        <v>18</v>
      </c>
      <c r="D68">
        <v>10.24</v>
      </c>
      <c r="E68">
        <v>1.56</v>
      </c>
      <c r="F68">
        <v>40</v>
      </c>
      <c r="G68">
        <v>11.75</v>
      </c>
      <c r="H68">
        <v>0.58387420812114221</v>
      </c>
      <c r="I68">
        <v>12</v>
      </c>
      <c r="J68">
        <v>5.0544632910600802</v>
      </c>
      <c r="K68">
        <v>6.8926947554261294E-6</v>
      </c>
      <c r="L68">
        <v>5.548502433900981</v>
      </c>
    </row>
    <row r="69" spans="1:12" x14ac:dyDescent="0.25">
      <c r="A69">
        <v>28</v>
      </c>
      <c r="B69">
        <v>32</v>
      </c>
      <c r="C69" t="s">
        <v>19</v>
      </c>
      <c r="D69">
        <v>96.33</v>
      </c>
      <c r="E69">
        <v>5.36</v>
      </c>
      <c r="F69">
        <v>40</v>
      </c>
      <c r="G69">
        <v>98.547979797499991</v>
      </c>
      <c r="H69">
        <v>2.8930402118124898</v>
      </c>
      <c r="I69">
        <v>12</v>
      </c>
      <c r="J69">
        <v>1.8641029922794969</v>
      </c>
      <c r="K69">
        <v>7.0740323853933251E-2</v>
      </c>
      <c r="L69">
        <v>0.51810947448014999</v>
      </c>
    </row>
    <row r="70" spans="1:12" x14ac:dyDescent="0.25">
      <c r="A70">
        <v>28</v>
      </c>
      <c r="B70">
        <v>32</v>
      </c>
      <c r="C70" t="s">
        <v>20</v>
      </c>
      <c r="D70">
        <v>5.97</v>
      </c>
      <c r="E70">
        <v>0.15</v>
      </c>
      <c r="F70">
        <v>40</v>
      </c>
      <c r="G70">
        <v>5.916666666666667</v>
      </c>
      <c r="H70">
        <v>0.28867513459481292</v>
      </c>
      <c r="I70">
        <v>12</v>
      </c>
      <c r="J70">
        <v>-0.61555537373282021</v>
      </c>
      <c r="K70">
        <v>0.54895186757045233</v>
      </c>
      <c r="L70">
        <v>-7.3333587909530026E-2</v>
      </c>
    </row>
    <row r="71" spans="1:12" x14ac:dyDescent="0.25">
      <c r="A71">
        <v>28</v>
      </c>
      <c r="B71">
        <v>32</v>
      </c>
      <c r="C71" t="s">
        <v>21</v>
      </c>
      <c r="D71">
        <v>0</v>
      </c>
      <c r="E71">
        <v>0</v>
      </c>
      <c r="F71">
        <v>40</v>
      </c>
      <c r="G71">
        <v>0</v>
      </c>
      <c r="H71">
        <v>0</v>
      </c>
      <c r="I71">
        <v>12</v>
      </c>
    </row>
    <row r="72" spans="1:12" x14ac:dyDescent="0.25">
      <c r="A72">
        <v>28</v>
      </c>
      <c r="B72">
        <v>32</v>
      </c>
      <c r="C72" t="s">
        <v>22</v>
      </c>
      <c r="D72">
        <v>5.97</v>
      </c>
      <c r="E72">
        <v>0.15</v>
      </c>
      <c r="F72">
        <v>40</v>
      </c>
      <c r="G72">
        <v>5.916666666666667</v>
      </c>
      <c r="H72">
        <v>0.28867513459481292</v>
      </c>
      <c r="I72">
        <v>12</v>
      </c>
      <c r="J72">
        <v>-0.61555537373282021</v>
      </c>
      <c r="K72">
        <v>0.54895186757045233</v>
      </c>
      <c r="L72">
        <v>-7.3333587909530026E-2</v>
      </c>
    </row>
    <row r="73" spans="1:12" x14ac:dyDescent="0.25">
      <c r="A73">
        <v>28</v>
      </c>
      <c r="B73">
        <v>32</v>
      </c>
      <c r="C73" t="s">
        <v>23</v>
      </c>
      <c r="D73">
        <v>0.49</v>
      </c>
      <c r="E73">
        <v>0.04</v>
      </c>
      <c r="F73">
        <v>40</v>
      </c>
      <c r="G73">
        <v>0.47916666666666669</v>
      </c>
      <c r="H73">
        <v>7.2168783648703216E-2</v>
      </c>
      <c r="I73">
        <v>12</v>
      </c>
      <c r="J73">
        <v>-0.49757690034310581</v>
      </c>
      <c r="K73">
        <v>0.62703610234575735</v>
      </c>
      <c r="L73">
        <v>-4.4883309141489143E-2</v>
      </c>
    </row>
    <row r="74" spans="1:12" x14ac:dyDescent="0.25">
      <c r="A74">
        <v>30</v>
      </c>
      <c r="B74">
        <v>34</v>
      </c>
      <c r="C74" t="s">
        <v>12</v>
      </c>
      <c r="D74">
        <v>31.69</v>
      </c>
      <c r="E74">
        <v>1.61</v>
      </c>
      <c r="F74">
        <v>42</v>
      </c>
      <c r="G74">
        <v>31.9</v>
      </c>
      <c r="H74">
        <v>1.1972189997378651</v>
      </c>
      <c r="I74">
        <v>10</v>
      </c>
      <c r="J74">
        <v>0.46375585737007852</v>
      </c>
      <c r="K74">
        <v>0.64847535555137126</v>
      </c>
      <c r="L74">
        <v>2.5586658378205181E-2</v>
      </c>
    </row>
    <row r="75" spans="1:12" x14ac:dyDescent="0.25">
      <c r="A75">
        <v>30</v>
      </c>
      <c r="B75">
        <v>34</v>
      </c>
      <c r="C75" t="s">
        <v>13</v>
      </c>
      <c r="D75">
        <v>6.89</v>
      </c>
      <c r="E75">
        <v>2.0299999999999998</v>
      </c>
      <c r="F75">
        <v>42</v>
      </c>
      <c r="G75">
        <v>8.35</v>
      </c>
      <c r="H75">
        <v>2.0689503511576972</v>
      </c>
      <c r="I75">
        <v>10</v>
      </c>
      <c r="J75">
        <v>2.0127456526713852</v>
      </c>
      <c r="K75">
        <v>6.4617097405940044E-2</v>
      </c>
      <c r="L75">
        <v>0.85264429624932647</v>
      </c>
    </row>
    <row r="76" spans="1:12" x14ac:dyDescent="0.25">
      <c r="A76">
        <v>30</v>
      </c>
      <c r="B76">
        <v>34</v>
      </c>
      <c r="C76" t="s">
        <v>14</v>
      </c>
      <c r="D76">
        <v>9.51</v>
      </c>
      <c r="E76">
        <v>1.83</v>
      </c>
      <c r="F76">
        <v>42</v>
      </c>
      <c r="G76">
        <v>11</v>
      </c>
      <c r="H76">
        <v>1.545603082582617</v>
      </c>
      <c r="I76">
        <v>10</v>
      </c>
      <c r="J76">
        <v>2.6396516318437251</v>
      </c>
      <c r="K76">
        <v>1.8100712879042111E-2</v>
      </c>
      <c r="L76">
        <v>1.456677240763413</v>
      </c>
    </row>
    <row r="77" spans="1:12" x14ac:dyDescent="0.25">
      <c r="A77">
        <v>30</v>
      </c>
      <c r="B77">
        <v>34</v>
      </c>
      <c r="C77" t="s">
        <v>15</v>
      </c>
      <c r="D77">
        <v>10.51</v>
      </c>
      <c r="E77">
        <v>1.4</v>
      </c>
      <c r="F77">
        <v>42</v>
      </c>
      <c r="G77">
        <v>11.9</v>
      </c>
      <c r="H77">
        <v>0.31622776601683789</v>
      </c>
      <c r="I77">
        <v>10</v>
      </c>
      <c r="J77">
        <v>5.8391679503968037</v>
      </c>
      <c r="K77">
        <v>3.8886742039165398E-7</v>
      </c>
      <c r="L77">
        <v>6.9892868941782504</v>
      </c>
    </row>
    <row r="78" spans="1:12" x14ac:dyDescent="0.25">
      <c r="A78">
        <v>30</v>
      </c>
      <c r="B78">
        <v>34</v>
      </c>
      <c r="C78" t="s">
        <v>16</v>
      </c>
      <c r="D78">
        <v>26.92</v>
      </c>
      <c r="E78">
        <v>4.6399999999999997</v>
      </c>
      <c r="F78">
        <v>42</v>
      </c>
      <c r="G78">
        <v>31.25</v>
      </c>
      <c r="H78">
        <v>3.1993923034087439</v>
      </c>
      <c r="I78">
        <v>10</v>
      </c>
      <c r="J78">
        <v>3.493502828114678</v>
      </c>
      <c r="K78">
        <v>2.399036165892994E-3</v>
      </c>
      <c r="L78">
        <v>2.569222590201091</v>
      </c>
    </row>
    <row r="79" spans="1:12" x14ac:dyDescent="0.25">
      <c r="A79">
        <v>30</v>
      </c>
      <c r="B79">
        <v>34</v>
      </c>
      <c r="C79" t="s">
        <v>17</v>
      </c>
      <c r="D79">
        <v>3.67</v>
      </c>
      <c r="E79">
        <v>1.71</v>
      </c>
      <c r="F79">
        <v>42</v>
      </c>
      <c r="G79">
        <v>3.55</v>
      </c>
      <c r="H79">
        <v>2.0200385034834252</v>
      </c>
      <c r="I79">
        <v>10</v>
      </c>
      <c r="J79">
        <v>-0.1736257312894525</v>
      </c>
      <c r="K79">
        <v>0.86499464695351991</v>
      </c>
      <c r="L79">
        <v>-4.2707114988802903E-3</v>
      </c>
    </row>
    <row r="80" spans="1:12" x14ac:dyDescent="0.25">
      <c r="A80">
        <v>30</v>
      </c>
      <c r="B80">
        <v>34</v>
      </c>
      <c r="C80" t="s">
        <v>18</v>
      </c>
      <c r="D80">
        <v>10.130000000000001</v>
      </c>
      <c r="E80">
        <v>1.6</v>
      </c>
      <c r="F80">
        <v>42</v>
      </c>
      <c r="G80">
        <v>11.8</v>
      </c>
      <c r="H80">
        <v>0.63245553203367588</v>
      </c>
      <c r="I80">
        <v>10</v>
      </c>
      <c r="J80">
        <v>5.2560342680023586</v>
      </c>
      <c r="K80">
        <v>5.9632282661906982E-6</v>
      </c>
      <c r="L80">
        <v>5.9212422979370158</v>
      </c>
    </row>
    <row r="81" spans="1:12" x14ac:dyDescent="0.25">
      <c r="A81">
        <v>30</v>
      </c>
      <c r="B81">
        <v>34</v>
      </c>
      <c r="C81" t="s">
        <v>19</v>
      </c>
      <c r="D81">
        <v>96.2</v>
      </c>
      <c r="E81">
        <v>4.74</v>
      </c>
      <c r="F81">
        <v>42</v>
      </c>
      <c r="G81">
        <v>99.090909091</v>
      </c>
      <c r="H81">
        <v>2.8747978725928638</v>
      </c>
      <c r="I81">
        <v>10</v>
      </c>
      <c r="J81">
        <v>2.4776690408453979</v>
      </c>
      <c r="K81">
        <v>2.1239864160035541E-2</v>
      </c>
      <c r="L81">
        <v>1.0837873158007481</v>
      </c>
    </row>
    <row r="82" spans="1:12" x14ac:dyDescent="0.25">
      <c r="A82">
        <v>30</v>
      </c>
      <c r="B82">
        <v>34</v>
      </c>
      <c r="C82" t="s">
        <v>20</v>
      </c>
      <c r="D82">
        <v>5.97</v>
      </c>
      <c r="E82">
        <v>0.15</v>
      </c>
      <c r="F82">
        <v>42</v>
      </c>
      <c r="G82">
        <v>6</v>
      </c>
      <c r="H82">
        <v>0</v>
      </c>
      <c r="I82">
        <v>10</v>
      </c>
      <c r="J82">
        <v>1.296148139681583</v>
      </c>
      <c r="K82">
        <v>0.20217331776410891</v>
      </c>
      <c r="L82">
        <v>0.1533399521438315</v>
      </c>
    </row>
    <row r="83" spans="1:12" x14ac:dyDescent="0.25">
      <c r="A83">
        <v>30</v>
      </c>
      <c r="B83">
        <v>34</v>
      </c>
      <c r="C83" t="s">
        <v>21</v>
      </c>
      <c r="D83">
        <v>0</v>
      </c>
      <c r="E83">
        <v>0</v>
      </c>
      <c r="F83">
        <v>42</v>
      </c>
      <c r="G83">
        <v>0</v>
      </c>
      <c r="H83">
        <v>0</v>
      </c>
      <c r="I83">
        <v>10</v>
      </c>
    </row>
    <row r="84" spans="1:12" x14ac:dyDescent="0.25">
      <c r="A84">
        <v>30</v>
      </c>
      <c r="B84">
        <v>34</v>
      </c>
      <c r="C84" t="s">
        <v>22</v>
      </c>
      <c r="D84">
        <v>5.97</v>
      </c>
      <c r="E84">
        <v>0.15</v>
      </c>
      <c r="F84">
        <v>42</v>
      </c>
      <c r="G84">
        <v>6</v>
      </c>
      <c r="H84">
        <v>0</v>
      </c>
      <c r="I84">
        <v>10</v>
      </c>
      <c r="J84">
        <v>1.296148139681583</v>
      </c>
      <c r="K84">
        <v>0.20217331776410891</v>
      </c>
      <c r="L84">
        <v>0.1533399521438315</v>
      </c>
    </row>
    <row r="85" spans="1:12" x14ac:dyDescent="0.25">
      <c r="A85">
        <v>30</v>
      </c>
      <c r="B85">
        <v>34</v>
      </c>
      <c r="C85" t="s">
        <v>23</v>
      </c>
      <c r="D85">
        <v>0.49</v>
      </c>
      <c r="E85">
        <v>0.03</v>
      </c>
      <c r="F85">
        <v>42</v>
      </c>
      <c r="G85">
        <v>0.5</v>
      </c>
      <c r="H85">
        <v>0</v>
      </c>
      <c r="I85">
        <v>10</v>
      </c>
      <c r="J85">
        <v>2.1602468994692892</v>
      </c>
      <c r="K85">
        <v>3.6650531553228061E-2</v>
      </c>
      <c r="L85">
        <v>0.52856935417415818</v>
      </c>
    </row>
    <row r="86" spans="1:12" x14ac:dyDescent="0.25">
      <c r="A86">
        <v>32</v>
      </c>
      <c r="B86">
        <v>36</v>
      </c>
      <c r="C86" t="s">
        <v>12</v>
      </c>
      <c r="D86">
        <v>34.18</v>
      </c>
      <c r="E86">
        <v>1.41</v>
      </c>
      <c r="F86">
        <v>37</v>
      </c>
      <c r="G86">
        <v>33.555555555555557</v>
      </c>
      <c r="H86">
        <v>1.509230856356236</v>
      </c>
      <c r="I86">
        <v>9</v>
      </c>
      <c r="J86">
        <v>-1.127334468049868</v>
      </c>
      <c r="K86">
        <v>0.28230213708705781</v>
      </c>
      <c r="L86">
        <v>-0.24010174369421669</v>
      </c>
    </row>
    <row r="87" spans="1:12" x14ac:dyDescent="0.25">
      <c r="A87">
        <v>32</v>
      </c>
      <c r="B87">
        <v>36</v>
      </c>
      <c r="C87" t="s">
        <v>13</v>
      </c>
      <c r="D87">
        <v>6.79</v>
      </c>
      <c r="E87">
        <v>2.0299999999999998</v>
      </c>
      <c r="F87">
        <v>37</v>
      </c>
      <c r="G87">
        <v>7.333333333333333</v>
      </c>
      <c r="H87">
        <v>1.7853571071357131</v>
      </c>
      <c r="I87">
        <v>9</v>
      </c>
      <c r="J87">
        <v>0.79631840953291655</v>
      </c>
      <c r="K87">
        <v>0.43960106937503263</v>
      </c>
      <c r="L87">
        <v>9.756613358452032E-2</v>
      </c>
    </row>
    <row r="88" spans="1:12" x14ac:dyDescent="0.25">
      <c r="A88">
        <v>32</v>
      </c>
      <c r="B88">
        <v>36</v>
      </c>
      <c r="C88" t="s">
        <v>14</v>
      </c>
      <c r="D88">
        <v>9.4</v>
      </c>
      <c r="E88">
        <v>1.85</v>
      </c>
      <c r="F88">
        <v>37</v>
      </c>
      <c r="G88">
        <v>11</v>
      </c>
      <c r="H88">
        <v>1.5206906325745551</v>
      </c>
      <c r="I88">
        <v>9</v>
      </c>
      <c r="J88">
        <v>2.7066425972860841</v>
      </c>
      <c r="K88">
        <v>1.6715681125930141E-2</v>
      </c>
      <c r="L88">
        <v>1.584175069106055</v>
      </c>
    </row>
    <row r="89" spans="1:12" x14ac:dyDescent="0.25">
      <c r="A89">
        <v>32</v>
      </c>
      <c r="B89">
        <v>36</v>
      </c>
      <c r="C89" t="s">
        <v>15</v>
      </c>
      <c r="D89">
        <v>10.41</v>
      </c>
      <c r="E89">
        <v>1.44</v>
      </c>
      <c r="F89">
        <v>37</v>
      </c>
      <c r="G89">
        <v>11.33333333333333</v>
      </c>
      <c r="H89">
        <v>1.6583123951776999</v>
      </c>
      <c r="I89">
        <v>9</v>
      </c>
      <c r="J89">
        <v>1.53548304329105</v>
      </c>
      <c r="K89">
        <v>0.15261279312417411</v>
      </c>
      <c r="L89">
        <v>0.5086190674055151</v>
      </c>
    </row>
    <row r="90" spans="1:12" x14ac:dyDescent="0.25">
      <c r="A90">
        <v>32</v>
      </c>
      <c r="B90">
        <v>36</v>
      </c>
      <c r="C90" t="s">
        <v>16</v>
      </c>
      <c r="D90">
        <v>26.61</v>
      </c>
      <c r="E90">
        <v>4.7</v>
      </c>
      <c r="F90">
        <v>37</v>
      </c>
      <c r="G90">
        <v>29.666666666666671</v>
      </c>
      <c r="H90">
        <v>3.8078865529319539</v>
      </c>
      <c r="I90">
        <v>9</v>
      </c>
      <c r="J90">
        <v>2.0570031727587739</v>
      </c>
      <c r="K90">
        <v>5.8033749648735491E-2</v>
      </c>
      <c r="L90">
        <v>0.83040260792389553</v>
      </c>
    </row>
    <row r="91" spans="1:12" x14ac:dyDescent="0.25">
      <c r="A91">
        <v>32</v>
      </c>
      <c r="B91">
        <v>36</v>
      </c>
      <c r="C91" t="s">
        <v>17</v>
      </c>
      <c r="D91">
        <v>3.67</v>
      </c>
      <c r="E91">
        <v>1.72</v>
      </c>
      <c r="F91">
        <v>37</v>
      </c>
      <c r="G91">
        <v>4.166666666666667</v>
      </c>
      <c r="H91">
        <v>2.046338192968113</v>
      </c>
      <c r="I91">
        <v>9</v>
      </c>
      <c r="J91">
        <v>0.67262551227682255</v>
      </c>
      <c r="K91">
        <v>0.51517376716119734</v>
      </c>
      <c r="L91">
        <v>8.0202120619496609E-2</v>
      </c>
    </row>
    <row r="92" spans="1:12" x14ac:dyDescent="0.25">
      <c r="A92">
        <v>32</v>
      </c>
      <c r="B92">
        <v>36</v>
      </c>
      <c r="C92" t="s">
        <v>18</v>
      </c>
      <c r="D92">
        <v>10.02</v>
      </c>
      <c r="E92">
        <v>1.64</v>
      </c>
      <c r="F92">
        <v>37</v>
      </c>
      <c r="G92">
        <v>11.22222222222222</v>
      </c>
      <c r="H92">
        <v>1.715938356831167</v>
      </c>
      <c r="I92">
        <v>9</v>
      </c>
      <c r="J92">
        <v>1.901231081390828</v>
      </c>
      <c r="K92">
        <v>8.1922419175973954E-2</v>
      </c>
      <c r="L92">
        <v>0.78976963097813602</v>
      </c>
    </row>
    <row r="93" spans="1:12" x14ac:dyDescent="0.25">
      <c r="A93">
        <v>32</v>
      </c>
      <c r="B93">
        <v>36</v>
      </c>
      <c r="C93" t="s">
        <v>19</v>
      </c>
      <c r="D93">
        <v>94.36</v>
      </c>
      <c r="E93">
        <v>8.52</v>
      </c>
      <c r="F93">
        <v>37</v>
      </c>
      <c r="G93">
        <v>97.029114676666666</v>
      </c>
      <c r="H93">
        <v>6.2712426663262644</v>
      </c>
      <c r="I93">
        <v>9</v>
      </c>
      <c r="J93">
        <v>1.060732539058356</v>
      </c>
      <c r="K93">
        <v>0.3044885802916194</v>
      </c>
      <c r="L93">
        <v>0.16897691635930939</v>
      </c>
    </row>
    <row r="94" spans="1:12" x14ac:dyDescent="0.25">
      <c r="A94">
        <v>32</v>
      </c>
      <c r="B94">
        <v>36</v>
      </c>
      <c r="C94" t="s">
        <v>20</v>
      </c>
      <c r="D94">
        <v>5.86</v>
      </c>
      <c r="E94">
        <v>0.53</v>
      </c>
      <c r="F94">
        <v>37</v>
      </c>
      <c r="G94">
        <v>6</v>
      </c>
      <c r="H94">
        <v>0</v>
      </c>
      <c r="I94">
        <v>9</v>
      </c>
      <c r="J94">
        <v>1.6067674608334881</v>
      </c>
      <c r="K94">
        <v>0.11684242195795271</v>
      </c>
      <c r="L94">
        <v>0.27228847670512452</v>
      </c>
    </row>
    <row r="95" spans="1:12" x14ac:dyDescent="0.25">
      <c r="A95">
        <v>32</v>
      </c>
      <c r="B95">
        <v>36</v>
      </c>
      <c r="C95" t="s">
        <v>21</v>
      </c>
      <c r="D95">
        <v>0</v>
      </c>
      <c r="E95">
        <v>0</v>
      </c>
      <c r="F95">
        <v>37</v>
      </c>
      <c r="G95">
        <v>0</v>
      </c>
      <c r="H95">
        <v>0</v>
      </c>
      <c r="I95">
        <v>9</v>
      </c>
    </row>
    <row r="96" spans="1:12" x14ac:dyDescent="0.25">
      <c r="A96">
        <v>32</v>
      </c>
      <c r="B96">
        <v>36</v>
      </c>
      <c r="C96" t="s">
        <v>22</v>
      </c>
      <c r="D96">
        <v>5.86</v>
      </c>
      <c r="E96">
        <v>0.53</v>
      </c>
      <c r="F96">
        <v>37</v>
      </c>
      <c r="G96">
        <v>6</v>
      </c>
      <c r="H96">
        <v>0</v>
      </c>
      <c r="I96">
        <v>9</v>
      </c>
      <c r="J96">
        <v>1.6067674608334881</v>
      </c>
      <c r="K96">
        <v>0.11684242195795271</v>
      </c>
      <c r="L96">
        <v>0.27228847670512452</v>
      </c>
    </row>
    <row r="97" spans="1:12" x14ac:dyDescent="0.25">
      <c r="A97">
        <v>32</v>
      </c>
      <c r="B97">
        <v>36</v>
      </c>
      <c r="C97" t="s">
        <v>23</v>
      </c>
      <c r="D97">
        <v>0.47</v>
      </c>
      <c r="E97">
        <v>0.08</v>
      </c>
      <c r="F97">
        <v>37</v>
      </c>
      <c r="G97">
        <v>0.5</v>
      </c>
      <c r="H97">
        <v>0</v>
      </c>
      <c r="I97">
        <v>9</v>
      </c>
      <c r="J97">
        <v>2.2810359488618341</v>
      </c>
      <c r="K97">
        <v>2.8566289131110031E-2</v>
      </c>
      <c r="L97">
        <v>0.64016918443389381</v>
      </c>
    </row>
    <row r="98" spans="1:12" x14ac:dyDescent="0.25">
      <c r="A98">
        <v>34</v>
      </c>
      <c r="B98">
        <v>38</v>
      </c>
      <c r="C98" t="s">
        <v>12</v>
      </c>
      <c r="D98">
        <v>36.15</v>
      </c>
      <c r="E98">
        <v>1.33</v>
      </c>
      <c r="F98">
        <v>51</v>
      </c>
      <c r="G98">
        <v>36.81818181818182</v>
      </c>
      <c r="H98">
        <v>1.5374122295716151</v>
      </c>
      <c r="I98">
        <v>11</v>
      </c>
      <c r="J98">
        <v>1.3375402616552681</v>
      </c>
      <c r="K98">
        <v>0.20327577523503501</v>
      </c>
      <c r="L98">
        <v>0.33826411585271582</v>
      </c>
    </row>
    <row r="99" spans="1:12" x14ac:dyDescent="0.25">
      <c r="A99">
        <v>34</v>
      </c>
      <c r="B99">
        <v>38</v>
      </c>
      <c r="C99" t="s">
        <v>13</v>
      </c>
      <c r="D99">
        <v>6.69</v>
      </c>
      <c r="E99">
        <v>2.0299999999999998</v>
      </c>
      <c r="F99">
        <v>51</v>
      </c>
      <c r="G99">
        <v>7.7727272727272716</v>
      </c>
      <c r="H99">
        <v>1.6935707301975369</v>
      </c>
      <c r="I99">
        <v>11</v>
      </c>
      <c r="J99">
        <v>1.852655310386349</v>
      </c>
      <c r="K99">
        <v>8.1546479874309422E-2</v>
      </c>
      <c r="L99">
        <v>0.5959085184762134</v>
      </c>
    </row>
    <row r="100" spans="1:12" x14ac:dyDescent="0.25">
      <c r="A100">
        <v>34</v>
      </c>
      <c r="B100">
        <v>38</v>
      </c>
      <c r="C100" t="s">
        <v>14</v>
      </c>
      <c r="D100">
        <v>9.2899999999999991</v>
      </c>
      <c r="E100">
        <v>1.86</v>
      </c>
      <c r="F100">
        <v>51</v>
      </c>
      <c r="G100">
        <v>10.90909090909091</v>
      </c>
      <c r="H100">
        <v>1.4459976109624419</v>
      </c>
      <c r="I100">
        <v>11</v>
      </c>
      <c r="J100">
        <v>3.1880891675059719</v>
      </c>
      <c r="K100">
        <v>5.106630218954627E-3</v>
      </c>
      <c r="L100">
        <v>2.0642358502764582</v>
      </c>
    </row>
    <row r="101" spans="1:12" x14ac:dyDescent="0.25">
      <c r="A101">
        <v>34</v>
      </c>
      <c r="B101">
        <v>38</v>
      </c>
      <c r="C101" t="s">
        <v>15</v>
      </c>
      <c r="D101">
        <v>10.32</v>
      </c>
      <c r="E101">
        <v>1.48</v>
      </c>
      <c r="F101">
        <v>51</v>
      </c>
      <c r="G101">
        <v>11</v>
      </c>
      <c r="H101">
        <v>1.6733200530681509</v>
      </c>
      <c r="I101">
        <v>11</v>
      </c>
      <c r="J101">
        <v>1.246721534486217</v>
      </c>
      <c r="K101">
        <v>0.23357267346606411</v>
      </c>
      <c r="L101">
        <v>0.28367990833278778</v>
      </c>
    </row>
    <row r="102" spans="1:12" x14ac:dyDescent="0.25">
      <c r="A102">
        <v>34</v>
      </c>
      <c r="B102">
        <v>38</v>
      </c>
      <c r="C102" t="s">
        <v>16</v>
      </c>
      <c r="D102">
        <v>26.31</v>
      </c>
      <c r="E102">
        <v>4.75</v>
      </c>
      <c r="F102">
        <v>51</v>
      </c>
      <c r="G102">
        <v>29.68181818181818</v>
      </c>
      <c r="H102">
        <v>3.743479179003987</v>
      </c>
      <c r="I102">
        <v>11</v>
      </c>
      <c r="J102">
        <v>2.5737053745552552</v>
      </c>
      <c r="K102">
        <v>1.9283948822608789E-2</v>
      </c>
      <c r="L102">
        <v>1.257621309705345</v>
      </c>
    </row>
    <row r="103" spans="1:12" x14ac:dyDescent="0.25">
      <c r="A103">
        <v>34</v>
      </c>
      <c r="B103">
        <v>38</v>
      </c>
      <c r="C103" t="s">
        <v>17</v>
      </c>
      <c r="D103">
        <v>3.68</v>
      </c>
      <c r="E103">
        <v>1.73</v>
      </c>
      <c r="F103">
        <v>51</v>
      </c>
      <c r="G103">
        <v>3.5</v>
      </c>
      <c r="H103">
        <v>1.8439088914585779</v>
      </c>
      <c r="I103">
        <v>11</v>
      </c>
      <c r="J103">
        <v>-0.29681187434335993</v>
      </c>
      <c r="K103">
        <v>0.77095083502442885</v>
      </c>
      <c r="L103">
        <v>-1.162343404463834E-2</v>
      </c>
    </row>
    <row r="104" spans="1:12" x14ac:dyDescent="0.25">
      <c r="A104">
        <v>34</v>
      </c>
      <c r="B104">
        <v>38</v>
      </c>
      <c r="C104" t="s">
        <v>18</v>
      </c>
      <c r="D104">
        <v>9.91</v>
      </c>
      <c r="E104">
        <v>1.67</v>
      </c>
      <c r="F104">
        <v>51</v>
      </c>
      <c r="G104">
        <v>11.18181818181818</v>
      </c>
      <c r="H104">
        <v>1.662418829187267</v>
      </c>
      <c r="I104">
        <v>11</v>
      </c>
      <c r="J104">
        <v>2.2994198002907669</v>
      </c>
      <c r="K104">
        <v>3.6599405093985883E-2</v>
      </c>
      <c r="L104">
        <v>1.0948386786548709</v>
      </c>
    </row>
    <row r="105" spans="1:12" x14ac:dyDescent="0.25">
      <c r="A105">
        <v>34</v>
      </c>
      <c r="B105">
        <v>38</v>
      </c>
      <c r="C105" t="s">
        <v>19</v>
      </c>
      <c r="D105">
        <v>94.07</v>
      </c>
      <c r="E105">
        <v>8.84</v>
      </c>
      <c r="F105">
        <v>51</v>
      </c>
      <c r="G105">
        <v>98.790978843636367</v>
      </c>
      <c r="H105">
        <v>5.6057401212551543</v>
      </c>
      <c r="I105">
        <v>11</v>
      </c>
      <c r="J105">
        <v>2.2534509738304109</v>
      </c>
      <c r="K105">
        <v>3.4378782098667897E-2</v>
      </c>
      <c r="L105">
        <v>0.82381175261518136</v>
      </c>
    </row>
    <row r="106" spans="1:12" x14ac:dyDescent="0.25">
      <c r="A106">
        <v>34</v>
      </c>
      <c r="B106">
        <v>38</v>
      </c>
      <c r="C106" t="s">
        <v>20</v>
      </c>
      <c r="D106">
        <v>5.82</v>
      </c>
      <c r="E106">
        <v>0.51</v>
      </c>
      <c r="F106">
        <v>51</v>
      </c>
      <c r="G106">
        <v>5.9090909090909092</v>
      </c>
      <c r="H106">
        <v>0.30151134457776357</v>
      </c>
      <c r="I106">
        <v>11</v>
      </c>
      <c r="J106">
        <v>0.7706508063091726</v>
      </c>
      <c r="K106">
        <v>0.44834263774963151</v>
      </c>
      <c r="L106">
        <v>6.4453606770051283E-2</v>
      </c>
    </row>
    <row r="107" spans="1:12" x14ac:dyDescent="0.25">
      <c r="A107">
        <v>34</v>
      </c>
      <c r="B107">
        <v>38</v>
      </c>
      <c r="C107" t="s">
        <v>21</v>
      </c>
      <c r="D107">
        <v>0.02</v>
      </c>
      <c r="E107">
        <v>0.14000000000000001</v>
      </c>
      <c r="F107">
        <v>51</v>
      </c>
      <c r="G107">
        <v>0</v>
      </c>
      <c r="H107">
        <v>0</v>
      </c>
      <c r="I107">
        <v>11</v>
      </c>
      <c r="J107">
        <v>-1.0202040612204071</v>
      </c>
      <c r="K107">
        <v>0.31254278973956262</v>
      </c>
      <c r="L107">
        <v>-7.9042705433924651E-2</v>
      </c>
    </row>
    <row r="108" spans="1:12" x14ac:dyDescent="0.25">
      <c r="A108">
        <v>34</v>
      </c>
      <c r="B108">
        <v>38</v>
      </c>
      <c r="C108" t="s">
        <v>22</v>
      </c>
      <c r="D108">
        <v>5.8</v>
      </c>
      <c r="E108">
        <v>0.56000000000000005</v>
      </c>
      <c r="F108">
        <v>51</v>
      </c>
      <c r="G108">
        <v>5.9090909090909092</v>
      </c>
      <c r="H108">
        <v>0.30151134457776357</v>
      </c>
      <c r="I108">
        <v>11</v>
      </c>
      <c r="J108">
        <v>0.90866562633640668</v>
      </c>
      <c r="K108">
        <v>0.37145465364100011</v>
      </c>
      <c r="L108">
        <v>8.9231146848065809E-2</v>
      </c>
    </row>
    <row r="109" spans="1:12" x14ac:dyDescent="0.25">
      <c r="A109">
        <v>34</v>
      </c>
      <c r="B109">
        <v>38</v>
      </c>
      <c r="C109" t="s">
        <v>23</v>
      </c>
      <c r="D109">
        <v>0.46</v>
      </c>
      <c r="E109">
        <v>0.09</v>
      </c>
      <c r="F109">
        <v>51</v>
      </c>
      <c r="G109">
        <v>0.47727272727272729</v>
      </c>
      <c r="H109">
        <v>7.5377836144440907E-2</v>
      </c>
      <c r="I109">
        <v>11</v>
      </c>
      <c r="J109">
        <v>0.66465407892376838</v>
      </c>
      <c r="K109">
        <v>0.51530405211893893</v>
      </c>
      <c r="L109">
        <v>5.6688851955831947E-2</v>
      </c>
    </row>
    <row r="110" spans="1:12" x14ac:dyDescent="0.25">
      <c r="A110">
        <v>36</v>
      </c>
      <c r="B110">
        <v>40</v>
      </c>
      <c r="C110" t="s">
        <v>12</v>
      </c>
      <c r="D110">
        <v>37.979999999999997</v>
      </c>
      <c r="E110">
        <v>1.45</v>
      </c>
      <c r="F110">
        <v>57</v>
      </c>
      <c r="G110">
        <v>37.888888888888893</v>
      </c>
      <c r="H110">
        <v>1.0540925533894601</v>
      </c>
      <c r="I110">
        <v>9</v>
      </c>
      <c r="J110">
        <v>-0.22753419412649509</v>
      </c>
      <c r="K110">
        <v>0.82346250869476489</v>
      </c>
      <c r="L110">
        <v>-5.4640137044687899E-3</v>
      </c>
    </row>
    <row r="111" spans="1:12" x14ac:dyDescent="0.25">
      <c r="A111">
        <v>36</v>
      </c>
      <c r="B111">
        <v>40</v>
      </c>
      <c r="C111" t="s">
        <v>13</v>
      </c>
      <c r="D111">
        <v>6.59</v>
      </c>
      <c r="E111">
        <v>2.0299999999999998</v>
      </c>
      <c r="F111">
        <v>57</v>
      </c>
      <c r="G111">
        <v>7.7777777777777777</v>
      </c>
      <c r="H111">
        <v>1.522972240208089</v>
      </c>
      <c r="I111">
        <v>9</v>
      </c>
      <c r="J111">
        <v>2.0676164272659081</v>
      </c>
      <c r="K111">
        <v>5.9229411055653797E-2</v>
      </c>
      <c r="L111">
        <v>0.73866870531233109</v>
      </c>
    </row>
    <row r="112" spans="1:12" x14ac:dyDescent="0.25">
      <c r="A112">
        <v>36</v>
      </c>
      <c r="B112">
        <v>40</v>
      </c>
      <c r="C112" t="s">
        <v>14</v>
      </c>
      <c r="D112">
        <v>9.19</v>
      </c>
      <c r="E112">
        <v>1.88</v>
      </c>
      <c r="F112">
        <v>57</v>
      </c>
      <c r="G112">
        <v>10.66666666666667</v>
      </c>
      <c r="H112">
        <v>1.5</v>
      </c>
      <c r="I112">
        <v>9</v>
      </c>
      <c r="J112">
        <v>2.6436276797569911</v>
      </c>
      <c r="K112">
        <v>2.099222494889889E-2</v>
      </c>
      <c r="L112">
        <v>1.3489517294205371</v>
      </c>
    </row>
    <row r="113" spans="1:12" x14ac:dyDescent="0.25">
      <c r="A113">
        <v>36</v>
      </c>
      <c r="B113">
        <v>40</v>
      </c>
      <c r="C113" t="s">
        <v>15</v>
      </c>
      <c r="D113">
        <v>10.220000000000001</v>
      </c>
      <c r="E113">
        <v>1.52</v>
      </c>
      <c r="F113">
        <v>57</v>
      </c>
      <c r="G113">
        <v>10.77777777777778</v>
      </c>
      <c r="H113">
        <v>1.787300882460602</v>
      </c>
      <c r="I113">
        <v>9</v>
      </c>
      <c r="J113">
        <v>0.886959019676821</v>
      </c>
      <c r="K113">
        <v>0.39610951214843038</v>
      </c>
      <c r="L113">
        <v>0.14417762254608449</v>
      </c>
    </row>
    <row r="114" spans="1:12" x14ac:dyDescent="0.25">
      <c r="A114">
        <v>36</v>
      </c>
      <c r="B114">
        <v>40</v>
      </c>
      <c r="C114" t="s">
        <v>16</v>
      </c>
      <c r="D114">
        <v>26</v>
      </c>
      <c r="E114">
        <v>4.8</v>
      </c>
      <c r="F114">
        <v>57</v>
      </c>
      <c r="G114">
        <v>29.222222222222221</v>
      </c>
      <c r="H114">
        <v>3.8658045015810671</v>
      </c>
      <c r="I114">
        <v>9</v>
      </c>
      <c r="J114">
        <v>2.2424695352447048</v>
      </c>
      <c r="K114">
        <v>4.4148385407123202E-2</v>
      </c>
      <c r="L114">
        <v>0.9303235202551009</v>
      </c>
    </row>
    <row r="115" spans="1:12" x14ac:dyDescent="0.25">
      <c r="A115">
        <v>36</v>
      </c>
      <c r="B115">
        <v>40</v>
      </c>
      <c r="C115" t="s">
        <v>17</v>
      </c>
      <c r="D115">
        <v>3.69</v>
      </c>
      <c r="E115">
        <v>1.74</v>
      </c>
      <c r="F115">
        <v>57</v>
      </c>
      <c r="G115">
        <v>3.333333333333333</v>
      </c>
      <c r="H115">
        <v>1.6770509831248419</v>
      </c>
      <c r="I115">
        <v>9</v>
      </c>
      <c r="J115">
        <v>-0.58986150085889155</v>
      </c>
      <c r="K115">
        <v>0.56730369220316079</v>
      </c>
      <c r="L115">
        <v>-5.0688663558018682E-2</v>
      </c>
    </row>
    <row r="116" spans="1:12" x14ac:dyDescent="0.25">
      <c r="A116">
        <v>36</v>
      </c>
      <c r="B116">
        <v>40</v>
      </c>
      <c r="C116" t="s">
        <v>18</v>
      </c>
      <c r="D116">
        <v>9.8000000000000007</v>
      </c>
      <c r="E116">
        <v>1.71</v>
      </c>
      <c r="F116">
        <v>57</v>
      </c>
      <c r="G116">
        <v>11</v>
      </c>
      <c r="H116">
        <v>1.802775637731995</v>
      </c>
      <c r="I116">
        <v>9</v>
      </c>
      <c r="J116">
        <v>1.8685988073461399</v>
      </c>
      <c r="K116">
        <v>9.0065542230136506E-2</v>
      </c>
      <c r="L116">
        <v>0.72858540068552247</v>
      </c>
    </row>
    <row r="117" spans="1:12" x14ac:dyDescent="0.25">
      <c r="A117">
        <v>36</v>
      </c>
      <c r="B117">
        <v>40</v>
      </c>
      <c r="C117" t="s">
        <v>19</v>
      </c>
      <c r="D117">
        <v>93.3</v>
      </c>
      <c r="E117">
        <v>10.25</v>
      </c>
      <c r="F117">
        <v>57</v>
      </c>
      <c r="G117">
        <v>98.522307475555564</v>
      </c>
      <c r="H117">
        <v>6.2316741332204426</v>
      </c>
      <c r="I117">
        <v>9</v>
      </c>
      <c r="J117">
        <v>2.1044583275736688</v>
      </c>
      <c r="K117">
        <v>5.1625203678284763E-2</v>
      </c>
      <c r="L117">
        <v>0.68326008174297537</v>
      </c>
    </row>
    <row r="118" spans="1:12" x14ac:dyDescent="0.25">
      <c r="A118">
        <v>36</v>
      </c>
      <c r="B118">
        <v>40</v>
      </c>
      <c r="C118" t="s">
        <v>20</v>
      </c>
      <c r="D118">
        <v>5.82</v>
      </c>
      <c r="E118">
        <v>0.5</v>
      </c>
      <c r="F118">
        <v>57</v>
      </c>
      <c r="G118">
        <v>5.8888888888888893</v>
      </c>
      <c r="H118">
        <v>0.33333333333333343</v>
      </c>
      <c r="I118">
        <v>9</v>
      </c>
      <c r="J118">
        <v>0.53257389295412472</v>
      </c>
      <c r="K118">
        <v>0.60243180478685876</v>
      </c>
      <c r="L118">
        <v>3.1434929647949181E-2</v>
      </c>
    </row>
    <row r="119" spans="1:12" x14ac:dyDescent="0.25">
      <c r="A119">
        <v>36</v>
      </c>
      <c r="B119">
        <v>40</v>
      </c>
      <c r="C119" t="s">
        <v>21</v>
      </c>
      <c r="D119">
        <v>0.03</v>
      </c>
      <c r="E119">
        <v>0.18</v>
      </c>
      <c r="F119">
        <v>57</v>
      </c>
      <c r="G119">
        <v>0</v>
      </c>
      <c r="H119">
        <v>0</v>
      </c>
      <c r="I119">
        <v>9</v>
      </c>
      <c r="J119">
        <v>-1.258305739211792</v>
      </c>
      <c r="K119">
        <v>0.21350230111669019</v>
      </c>
      <c r="L119">
        <v>-0.119483136391348</v>
      </c>
    </row>
    <row r="120" spans="1:12" x14ac:dyDescent="0.25">
      <c r="A120">
        <v>36</v>
      </c>
      <c r="B120">
        <v>40</v>
      </c>
      <c r="C120" t="s">
        <v>22</v>
      </c>
      <c r="D120">
        <v>5.78</v>
      </c>
      <c r="E120">
        <v>0.55000000000000004</v>
      </c>
      <c r="F120">
        <v>57</v>
      </c>
      <c r="G120">
        <v>5.8888888888888893</v>
      </c>
      <c r="H120">
        <v>0.33333333333333343</v>
      </c>
      <c r="I120">
        <v>9</v>
      </c>
      <c r="J120">
        <v>0.8195548756281209</v>
      </c>
      <c r="K120">
        <v>0.42455853147595979</v>
      </c>
      <c r="L120">
        <v>7.6758632582724487E-2</v>
      </c>
    </row>
    <row r="121" spans="1:12" x14ac:dyDescent="0.25">
      <c r="A121">
        <v>36</v>
      </c>
      <c r="B121">
        <v>40</v>
      </c>
      <c r="C121" t="s">
        <v>23</v>
      </c>
      <c r="D121">
        <v>0.47</v>
      </c>
      <c r="E121">
        <v>0.09</v>
      </c>
      <c r="F121">
        <v>57</v>
      </c>
      <c r="G121">
        <v>0.47222222222222221</v>
      </c>
      <c r="H121">
        <v>8.3333333333333343E-2</v>
      </c>
      <c r="I121">
        <v>9</v>
      </c>
      <c r="J121">
        <v>7.3516233644697365E-2</v>
      </c>
      <c r="K121">
        <v>0.94269601830452154</v>
      </c>
      <c r="L121">
        <v>6.3851703871201852E-4</v>
      </c>
    </row>
    <row r="122" spans="1:12" x14ac:dyDescent="0.25">
      <c r="A122">
        <v>38</v>
      </c>
      <c r="B122">
        <v>42</v>
      </c>
      <c r="C122" t="s">
        <v>12</v>
      </c>
      <c r="D122">
        <v>39.93</v>
      </c>
      <c r="E122">
        <v>1.24</v>
      </c>
      <c r="F122">
        <v>43</v>
      </c>
      <c r="G122">
        <v>39.454545454545453</v>
      </c>
      <c r="H122">
        <v>1.7529196424044291</v>
      </c>
      <c r="I122">
        <v>11</v>
      </c>
      <c r="J122">
        <v>-0.84700677000268632</v>
      </c>
      <c r="K122">
        <v>0.41269932322722341</v>
      </c>
      <c r="L122">
        <v>-0.13498786119364431</v>
      </c>
    </row>
    <row r="123" spans="1:12" x14ac:dyDescent="0.25">
      <c r="A123">
        <v>38</v>
      </c>
      <c r="B123">
        <v>42</v>
      </c>
      <c r="C123" t="s">
        <v>13</v>
      </c>
      <c r="D123">
        <v>6.49</v>
      </c>
      <c r="E123">
        <v>2.0299999999999998</v>
      </c>
      <c r="F123">
        <v>43</v>
      </c>
      <c r="G123">
        <v>7.5</v>
      </c>
      <c r="H123">
        <v>1.7606816861659009</v>
      </c>
      <c r="I123">
        <v>11</v>
      </c>
      <c r="J123">
        <v>1.64351952021995</v>
      </c>
      <c r="K123">
        <v>0.1181439762911177</v>
      </c>
      <c r="L123">
        <v>0.47291215904348538</v>
      </c>
    </row>
    <row r="124" spans="1:12" x14ac:dyDescent="0.25">
      <c r="A124">
        <v>38</v>
      </c>
      <c r="B124">
        <v>42</v>
      </c>
      <c r="C124" t="s">
        <v>14</v>
      </c>
      <c r="D124">
        <v>9.08</v>
      </c>
      <c r="E124">
        <v>1.9</v>
      </c>
      <c r="F124">
        <v>43</v>
      </c>
      <c r="G124">
        <v>10.59090909090909</v>
      </c>
      <c r="H124">
        <v>1.700267358655424</v>
      </c>
      <c r="I124">
        <v>11</v>
      </c>
      <c r="J124">
        <v>2.5657935227128061</v>
      </c>
      <c r="K124">
        <v>2.0049363789149881E-2</v>
      </c>
      <c r="L124">
        <v>1.376823799110777</v>
      </c>
    </row>
    <row r="125" spans="1:12" x14ac:dyDescent="0.25">
      <c r="A125">
        <v>38</v>
      </c>
      <c r="B125">
        <v>42</v>
      </c>
      <c r="C125" t="s">
        <v>15</v>
      </c>
      <c r="D125">
        <v>10.119999999999999</v>
      </c>
      <c r="E125">
        <v>1.56</v>
      </c>
      <c r="F125">
        <v>43</v>
      </c>
      <c r="G125">
        <v>11.45454545454546</v>
      </c>
      <c r="H125">
        <v>1.0357254813546271</v>
      </c>
      <c r="I125">
        <v>11</v>
      </c>
      <c r="J125">
        <v>3.3994565297184751</v>
      </c>
      <c r="K125">
        <v>2.4489707046903512E-3</v>
      </c>
      <c r="L125">
        <v>2.3644149045500318</v>
      </c>
    </row>
    <row r="126" spans="1:12" x14ac:dyDescent="0.25">
      <c r="A126">
        <v>38</v>
      </c>
      <c r="B126">
        <v>42</v>
      </c>
      <c r="C126" t="s">
        <v>16</v>
      </c>
      <c r="D126">
        <v>25.7</v>
      </c>
      <c r="E126">
        <v>4.8600000000000003</v>
      </c>
      <c r="F126">
        <v>43</v>
      </c>
      <c r="G126">
        <v>29.54545454545455</v>
      </c>
      <c r="H126">
        <v>3.636306817737919</v>
      </c>
      <c r="I126">
        <v>11</v>
      </c>
      <c r="J126">
        <v>2.9057622391796389</v>
      </c>
      <c r="K126">
        <v>8.6742831781152548E-3</v>
      </c>
      <c r="L126">
        <v>1.7051291276782661</v>
      </c>
    </row>
    <row r="127" spans="1:12" x14ac:dyDescent="0.25">
      <c r="A127">
        <v>38</v>
      </c>
      <c r="B127">
        <v>42</v>
      </c>
      <c r="C127" t="s">
        <v>17</v>
      </c>
      <c r="D127">
        <v>3.69</v>
      </c>
      <c r="E127">
        <v>1.74</v>
      </c>
      <c r="F127">
        <v>43</v>
      </c>
      <c r="G127">
        <v>4.0909090909090908</v>
      </c>
      <c r="H127">
        <v>1.7580981459830649</v>
      </c>
      <c r="I127">
        <v>11</v>
      </c>
      <c r="J127">
        <v>0.67630778150136528</v>
      </c>
      <c r="K127">
        <v>0.50887018388506589</v>
      </c>
      <c r="L127">
        <v>6.7464442781708059E-2</v>
      </c>
    </row>
    <row r="128" spans="1:12" x14ac:dyDescent="0.25">
      <c r="A128">
        <v>38</v>
      </c>
      <c r="B128">
        <v>42</v>
      </c>
      <c r="C128" t="s">
        <v>18</v>
      </c>
      <c r="D128">
        <v>9.69</v>
      </c>
      <c r="E128">
        <v>1.75</v>
      </c>
      <c r="F128">
        <v>43</v>
      </c>
      <c r="G128">
        <v>11.68181818181818</v>
      </c>
      <c r="H128">
        <v>0.90201793975306488</v>
      </c>
      <c r="I128">
        <v>11</v>
      </c>
      <c r="J128">
        <v>5.2273854160268787</v>
      </c>
      <c r="K128">
        <v>1.064960442785663E-5</v>
      </c>
      <c r="L128">
        <v>6.1074368985703131</v>
      </c>
    </row>
    <row r="129" spans="1:12" x14ac:dyDescent="0.25">
      <c r="A129">
        <v>38</v>
      </c>
      <c r="B129">
        <v>42</v>
      </c>
      <c r="C129" t="s">
        <v>19</v>
      </c>
      <c r="D129">
        <v>91.63</v>
      </c>
      <c r="E129">
        <v>9.92</v>
      </c>
      <c r="F129">
        <v>43</v>
      </c>
      <c r="G129">
        <v>100.8084800545455</v>
      </c>
      <c r="H129">
        <v>1.7992973190341699</v>
      </c>
      <c r="I129">
        <v>11</v>
      </c>
      <c r="J129">
        <v>5.7111335276712731</v>
      </c>
      <c r="K129">
        <v>6.123997312363487E-7</v>
      </c>
      <c r="L129">
        <v>6.3714858582586986</v>
      </c>
    </row>
    <row r="130" spans="1:12" x14ac:dyDescent="0.25">
      <c r="A130">
        <v>38</v>
      </c>
      <c r="B130">
        <v>42</v>
      </c>
      <c r="C130" t="s">
        <v>20</v>
      </c>
      <c r="D130">
        <v>5.9</v>
      </c>
      <c r="E130">
        <v>0.28999999999999998</v>
      </c>
      <c r="F130">
        <v>43</v>
      </c>
      <c r="G130">
        <v>5.9090909090909092</v>
      </c>
      <c r="H130">
        <v>0.30151134457776357</v>
      </c>
      <c r="I130">
        <v>11</v>
      </c>
      <c r="J130">
        <v>8.992407652989913E-2</v>
      </c>
      <c r="K130">
        <v>0.92953012917972888</v>
      </c>
      <c r="L130">
        <v>9.8721966803006519E-4</v>
      </c>
    </row>
    <row r="131" spans="1:12" x14ac:dyDescent="0.25">
      <c r="A131">
        <v>38</v>
      </c>
      <c r="B131">
        <v>42</v>
      </c>
      <c r="C131" t="s">
        <v>21</v>
      </c>
      <c r="D131">
        <v>0.04</v>
      </c>
      <c r="E131">
        <v>0.21</v>
      </c>
      <c r="F131">
        <v>43</v>
      </c>
      <c r="G131">
        <v>0</v>
      </c>
      <c r="H131">
        <v>0</v>
      </c>
      <c r="I131">
        <v>11</v>
      </c>
      <c r="J131">
        <v>-1.249035909390857</v>
      </c>
      <c r="K131">
        <v>0.21856877171456571</v>
      </c>
      <c r="L131">
        <v>-0.13996924041162601</v>
      </c>
    </row>
    <row r="132" spans="1:12" x14ac:dyDescent="0.25">
      <c r="A132">
        <v>38</v>
      </c>
      <c r="B132">
        <v>42</v>
      </c>
      <c r="C132" t="s">
        <v>22</v>
      </c>
      <c r="D132">
        <v>5.86</v>
      </c>
      <c r="E132">
        <v>0.35</v>
      </c>
      <c r="F132">
        <v>43</v>
      </c>
      <c r="G132">
        <v>5.9090909090909092</v>
      </c>
      <c r="H132">
        <v>0.30151134457776357</v>
      </c>
      <c r="I132">
        <v>11</v>
      </c>
      <c r="J132">
        <v>0.46567138863092827</v>
      </c>
      <c r="K132">
        <v>0.64716636973912944</v>
      </c>
      <c r="L132">
        <v>2.718963954719824E-2</v>
      </c>
    </row>
    <row r="133" spans="1:12" x14ac:dyDescent="0.25">
      <c r="A133">
        <v>38</v>
      </c>
      <c r="B133">
        <v>42</v>
      </c>
      <c r="C133" t="s">
        <v>23</v>
      </c>
      <c r="D133">
        <v>0.48</v>
      </c>
      <c r="E133">
        <v>0.09</v>
      </c>
      <c r="F133">
        <v>43</v>
      </c>
      <c r="G133">
        <v>0.47727272727272729</v>
      </c>
      <c r="H133">
        <v>7.5377836144440907E-2</v>
      </c>
      <c r="I133">
        <v>11</v>
      </c>
      <c r="J133">
        <v>-0.10272224455620919</v>
      </c>
      <c r="K133">
        <v>0.91931592399664597</v>
      </c>
      <c r="L133">
        <v>-1.140346243671746E-3</v>
      </c>
    </row>
    <row r="134" spans="1:12" x14ac:dyDescent="0.25">
      <c r="A134">
        <v>40</v>
      </c>
      <c r="B134">
        <v>44</v>
      </c>
      <c r="C134" t="s">
        <v>12</v>
      </c>
      <c r="D134">
        <v>42</v>
      </c>
      <c r="E134">
        <v>1.53</v>
      </c>
      <c r="F134">
        <v>54</v>
      </c>
      <c r="G134">
        <v>42.3</v>
      </c>
      <c r="H134">
        <v>1.3374935098492591</v>
      </c>
      <c r="I134">
        <v>10</v>
      </c>
      <c r="J134">
        <v>0.63637223955633582</v>
      </c>
      <c r="K134">
        <v>0.53498198301263589</v>
      </c>
      <c r="L134">
        <v>5.4202606473020262E-2</v>
      </c>
    </row>
    <row r="135" spans="1:12" x14ac:dyDescent="0.25">
      <c r="A135">
        <v>40</v>
      </c>
      <c r="B135">
        <v>44</v>
      </c>
      <c r="C135" t="s">
        <v>13</v>
      </c>
      <c r="D135">
        <v>6.39</v>
      </c>
      <c r="E135">
        <v>2.0299999999999998</v>
      </c>
      <c r="F135">
        <v>54</v>
      </c>
      <c r="G135">
        <v>7.7</v>
      </c>
      <c r="H135">
        <v>1.988857852023507</v>
      </c>
      <c r="I135">
        <v>10</v>
      </c>
      <c r="J135">
        <v>1.907044353381268</v>
      </c>
      <c r="K135">
        <v>7.9338173671269455E-2</v>
      </c>
      <c r="L135">
        <v>0.71226363388897584</v>
      </c>
    </row>
    <row r="136" spans="1:12" x14ac:dyDescent="0.25">
      <c r="A136">
        <v>40</v>
      </c>
      <c r="B136">
        <v>44</v>
      </c>
      <c r="C136" t="s">
        <v>14</v>
      </c>
      <c r="D136">
        <v>8.98</v>
      </c>
      <c r="E136">
        <v>1.91</v>
      </c>
      <c r="F136">
        <v>54</v>
      </c>
      <c r="G136">
        <v>10.6</v>
      </c>
      <c r="H136">
        <v>1.9972202905260319</v>
      </c>
      <c r="I136">
        <v>10</v>
      </c>
      <c r="J136">
        <v>2.3719972983158031</v>
      </c>
      <c r="K136">
        <v>3.4887797298998623E-2</v>
      </c>
      <c r="L136">
        <v>1.2277606140831381</v>
      </c>
    </row>
    <row r="137" spans="1:12" x14ac:dyDescent="0.25">
      <c r="A137">
        <v>40</v>
      </c>
      <c r="B137">
        <v>44</v>
      </c>
      <c r="C137" t="s">
        <v>15</v>
      </c>
      <c r="D137">
        <v>10.02</v>
      </c>
      <c r="E137">
        <v>1.6</v>
      </c>
      <c r="F137">
        <v>54</v>
      </c>
      <c r="G137">
        <v>11.8</v>
      </c>
      <c r="H137">
        <v>0.34960294939005049</v>
      </c>
      <c r="I137">
        <v>10</v>
      </c>
      <c r="J137">
        <v>7.2893523981965096</v>
      </c>
      <c r="K137">
        <v>7.8421713474637667E-10</v>
      </c>
      <c r="L137">
        <v>10.91217652710321</v>
      </c>
    </row>
    <row r="138" spans="1:12" x14ac:dyDescent="0.25">
      <c r="A138">
        <v>40</v>
      </c>
      <c r="B138">
        <v>44</v>
      </c>
      <c r="C138" t="s">
        <v>16</v>
      </c>
      <c r="D138">
        <v>25.4</v>
      </c>
      <c r="E138">
        <v>4.91</v>
      </c>
      <c r="F138">
        <v>54</v>
      </c>
      <c r="G138">
        <v>30.1</v>
      </c>
      <c r="H138">
        <v>4.0879225911349044</v>
      </c>
      <c r="I138">
        <v>10</v>
      </c>
      <c r="J138">
        <v>3.2298344422760188</v>
      </c>
      <c r="K138">
        <v>5.9203193017525651E-3</v>
      </c>
      <c r="L138">
        <v>2.1815131967154722</v>
      </c>
    </row>
    <row r="139" spans="1:12" x14ac:dyDescent="0.25">
      <c r="A139">
        <v>40</v>
      </c>
      <c r="B139">
        <v>44</v>
      </c>
      <c r="C139" t="s">
        <v>17</v>
      </c>
      <c r="D139">
        <v>3.7</v>
      </c>
      <c r="E139">
        <v>1.75</v>
      </c>
      <c r="F139">
        <v>54</v>
      </c>
      <c r="G139">
        <v>4.0999999999999996</v>
      </c>
      <c r="H139">
        <v>1.7919573407620819</v>
      </c>
      <c r="I139">
        <v>10</v>
      </c>
      <c r="J139">
        <v>0.65075150019835859</v>
      </c>
      <c r="K139">
        <v>0.5270872991828579</v>
      </c>
      <c r="L139">
        <v>6.3346982554003464E-2</v>
      </c>
    </row>
    <row r="140" spans="1:12" x14ac:dyDescent="0.25">
      <c r="A140">
        <v>40</v>
      </c>
      <c r="B140">
        <v>44</v>
      </c>
      <c r="C140" t="s">
        <v>18</v>
      </c>
      <c r="D140">
        <v>9.58</v>
      </c>
      <c r="E140">
        <v>1.79</v>
      </c>
      <c r="F140">
        <v>54</v>
      </c>
      <c r="G140">
        <v>11.8</v>
      </c>
      <c r="H140">
        <v>0.34960294939005049</v>
      </c>
      <c r="I140">
        <v>10</v>
      </c>
      <c r="J140">
        <v>8.298998303549519</v>
      </c>
      <c r="K140">
        <v>1.246091795966662E-11</v>
      </c>
      <c r="L140">
        <v>14.58006873563761</v>
      </c>
    </row>
    <row r="141" spans="1:12" x14ac:dyDescent="0.25">
      <c r="A141">
        <v>40</v>
      </c>
      <c r="B141">
        <v>44</v>
      </c>
      <c r="C141" t="s">
        <v>19</v>
      </c>
      <c r="D141">
        <v>93.61</v>
      </c>
      <c r="E141">
        <v>7.96</v>
      </c>
      <c r="F141">
        <v>54</v>
      </c>
      <c r="G141">
        <v>100.019762841</v>
      </c>
      <c r="H141">
        <v>2.0965803538569672</v>
      </c>
      <c r="I141">
        <v>10</v>
      </c>
      <c r="J141">
        <v>5.0470137333544534</v>
      </c>
      <c r="K141">
        <v>5.2679890056954954E-6</v>
      </c>
      <c r="L141">
        <v>4.5702742228482656</v>
      </c>
    </row>
    <row r="142" spans="1:12" x14ac:dyDescent="0.25">
      <c r="A142">
        <v>40</v>
      </c>
      <c r="B142">
        <v>44</v>
      </c>
      <c r="C142" t="s">
        <v>20</v>
      </c>
      <c r="D142">
        <v>5.96</v>
      </c>
      <c r="E142">
        <v>0.19</v>
      </c>
      <c r="F142">
        <v>54</v>
      </c>
      <c r="G142">
        <v>5.8</v>
      </c>
      <c r="H142">
        <v>0.4216370213557839</v>
      </c>
      <c r="I142">
        <v>10</v>
      </c>
      <c r="J142">
        <v>-1.17805452701802</v>
      </c>
      <c r="K142">
        <v>0.26690376252778258</v>
      </c>
      <c r="L142">
        <v>-0.38556859439348551</v>
      </c>
    </row>
    <row r="143" spans="1:12" x14ac:dyDescent="0.25">
      <c r="A143">
        <v>40</v>
      </c>
      <c r="B143">
        <v>44</v>
      </c>
      <c r="C143" t="s">
        <v>21</v>
      </c>
      <c r="D143">
        <v>0.19</v>
      </c>
      <c r="E143">
        <v>0.13</v>
      </c>
      <c r="F143">
        <v>54</v>
      </c>
      <c r="G143">
        <v>0</v>
      </c>
      <c r="H143">
        <v>0</v>
      </c>
      <c r="I143">
        <v>10</v>
      </c>
      <c r="J143">
        <v>-10.7400704106647</v>
      </c>
      <c r="K143">
        <v>6.531566006656722E-15</v>
      </c>
      <c r="L143">
        <v>-22.423167879500799</v>
      </c>
    </row>
    <row r="144" spans="1:12" x14ac:dyDescent="0.25">
      <c r="A144">
        <v>40</v>
      </c>
      <c r="B144">
        <v>44</v>
      </c>
      <c r="C144" t="s">
        <v>22</v>
      </c>
      <c r="D144">
        <v>5.94</v>
      </c>
      <c r="E144">
        <v>0.23</v>
      </c>
      <c r="F144">
        <v>54</v>
      </c>
      <c r="G144">
        <v>5.8</v>
      </c>
      <c r="H144">
        <v>0.4216370213557839</v>
      </c>
      <c r="I144">
        <v>10</v>
      </c>
      <c r="J144">
        <v>-1.022213541890642</v>
      </c>
      <c r="K144">
        <v>0.33073945293750823</v>
      </c>
      <c r="L144">
        <v>-0.25241842933722541</v>
      </c>
    </row>
    <row r="145" spans="1:12" x14ac:dyDescent="0.25">
      <c r="A145">
        <v>40</v>
      </c>
      <c r="B145">
        <v>44</v>
      </c>
      <c r="C145" t="s">
        <v>23</v>
      </c>
      <c r="D145">
        <v>0.49</v>
      </c>
      <c r="E145">
        <v>0.05</v>
      </c>
      <c r="F145">
        <v>54</v>
      </c>
      <c r="G145">
        <v>0.45</v>
      </c>
      <c r="H145">
        <v>0.105409255338946</v>
      </c>
      <c r="I145">
        <v>10</v>
      </c>
      <c r="J145">
        <v>-1.175755076535925</v>
      </c>
      <c r="K145">
        <v>0.26756834728959999</v>
      </c>
      <c r="L145">
        <v>-0.37399806425818782</v>
      </c>
    </row>
    <row r="146" spans="1:12" x14ac:dyDescent="0.25">
      <c r="A146">
        <v>42</v>
      </c>
      <c r="B146">
        <v>46</v>
      </c>
      <c r="C146" t="s">
        <v>12</v>
      </c>
      <c r="D146">
        <v>44.08</v>
      </c>
      <c r="E146">
        <v>1.33</v>
      </c>
      <c r="F146">
        <v>49</v>
      </c>
      <c r="G146">
        <v>43.555555555555557</v>
      </c>
      <c r="H146">
        <v>1.333333333333333</v>
      </c>
      <c r="I146">
        <v>9</v>
      </c>
      <c r="J146">
        <v>-1.085011600426343</v>
      </c>
      <c r="K146">
        <v>0.30086037247354858</v>
      </c>
      <c r="L146">
        <v>-0.2056169666602278</v>
      </c>
    </row>
    <row r="147" spans="1:12" x14ac:dyDescent="0.25">
      <c r="A147">
        <v>42</v>
      </c>
      <c r="B147">
        <v>46</v>
      </c>
      <c r="C147" t="s">
        <v>13</v>
      </c>
      <c r="D147">
        <v>6.28</v>
      </c>
      <c r="E147">
        <v>2.0299999999999998</v>
      </c>
      <c r="F147">
        <v>49</v>
      </c>
      <c r="G147">
        <v>7.5</v>
      </c>
      <c r="H147">
        <v>2</v>
      </c>
      <c r="I147">
        <v>9</v>
      </c>
      <c r="J147">
        <v>1.6781047802422231</v>
      </c>
      <c r="K147">
        <v>0.12086676560233579</v>
      </c>
      <c r="L147">
        <v>0.55267939598125893</v>
      </c>
    </row>
    <row r="148" spans="1:12" x14ac:dyDescent="0.25">
      <c r="A148">
        <v>42</v>
      </c>
      <c r="B148">
        <v>46</v>
      </c>
      <c r="C148" t="s">
        <v>14</v>
      </c>
      <c r="D148">
        <v>8.8699999999999992</v>
      </c>
      <c r="E148">
        <v>1.93</v>
      </c>
      <c r="F148">
        <v>49</v>
      </c>
      <c r="G148">
        <v>10.888888888888889</v>
      </c>
      <c r="H148">
        <v>1.576740660702042</v>
      </c>
      <c r="I148">
        <v>9</v>
      </c>
      <c r="J148">
        <v>3.4016146051339802</v>
      </c>
      <c r="K148">
        <v>4.8012131106737388E-3</v>
      </c>
      <c r="L148">
        <v>2.4851917286042791</v>
      </c>
    </row>
    <row r="149" spans="1:12" x14ac:dyDescent="0.25">
      <c r="A149">
        <v>42</v>
      </c>
      <c r="B149">
        <v>46</v>
      </c>
      <c r="C149" t="s">
        <v>15</v>
      </c>
      <c r="D149">
        <v>9.92</v>
      </c>
      <c r="E149">
        <v>1.64</v>
      </c>
      <c r="F149">
        <v>49</v>
      </c>
      <c r="G149">
        <v>11.77777777777778</v>
      </c>
      <c r="H149">
        <v>0.26352313834736502</v>
      </c>
      <c r="I149">
        <v>9</v>
      </c>
      <c r="J149">
        <v>7.4248267065383899</v>
      </c>
      <c r="K149">
        <v>6.9915892668437523E-10</v>
      </c>
      <c r="L149">
        <v>11.17813469256081</v>
      </c>
    </row>
    <row r="150" spans="1:12" x14ac:dyDescent="0.25">
      <c r="A150">
        <v>42</v>
      </c>
      <c r="B150">
        <v>46</v>
      </c>
      <c r="C150" t="s">
        <v>16</v>
      </c>
      <c r="D150">
        <v>25.09</v>
      </c>
      <c r="E150">
        <v>4.96</v>
      </c>
      <c r="F150">
        <v>49</v>
      </c>
      <c r="G150">
        <v>30.166666666666671</v>
      </c>
      <c r="H150">
        <v>3.2977264895682299</v>
      </c>
      <c r="I150">
        <v>9</v>
      </c>
      <c r="J150">
        <v>3.881762328787123</v>
      </c>
      <c r="K150">
        <v>1.383573182198367E-3</v>
      </c>
      <c r="L150">
        <v>3.0503380035420702</v>
      </c>
    </row>
    <row r="151" spans="1:12" x14ac:dyDescent="0.25">
      <c r="A151">
        <v>42</v>
      </c>
      <c r="B151">
        <v>46</v>
      </c>
      <c r="C151" t="s">
        <v>17</v>
      </c>
      <c r="D151">
        <v>3.7</v>
      </c>
      <c r="E151">
        <v>1.76</v>
      </c>
      <c r="F151">
        <v>49</v>
      </c>
      <c r="G151">
        <v>4.2777777777777777</v>
      </c>
      <c r="H151">
        <v>1.872683754520353</v>
      </c>
      <c r="I151">
        <v>9</v>
      </c>
      <c r="J151">
        <v>0.85856027053576467</v>
      </c>
      <c r="K151">
        <v>0.40930315519470861</v>
      </c>
      <c r="L151">
        <v>0.12617352471421031</v>
      </c>
    </row>
    <row r="152" spans="1:12" x14ac:dyDescent="0.25">
      <c r="A152">
        <v>42</v>
      </c>
      <c r="B152">
        <v>46</v>
      </c>
      <c r="C152" t="s">
        <v>18</v>
      </c>
      <c r="D152">
        <v>9.4700000000000006</v>
      </c>
      <c r="E152">
        <v>1.83</v>
      </c>
      <c r="F152">
        <v>49</v>
      </c>
      <c r="G152">
        <v>11.72222222222222</v>
      </c>
      <c r="H152">
        <v>0.36324157862838952</v>
      </c>
      <c r="I152">
        <v>9</v>
      </c>
      <c r="J152">
        <v>7.8173235515174309</v>
      </c>
      <c r="K152">
        <v>1.6387222331727241E-10</v>
      </c>
      <c r="L152">
        <v>12.96567346880998</v>
      </c>
    </row>
    <row r="153" spans="1:12" x14ac:dyDescent="0.25">
      <c r="A153">
        <v>42</v>
      </c>
      <c r="B153">
        <v>46</v>
      </c>
      <c r="C153" t="s">
        <v>19</v>
      </c>
      <c r="D153">
        <v>94.55</v>
      </c>
      <c r="E153">
        <v>6.42</v>
      </c>
      <c r="F153">
        <v>49</v>
      </c>
      <c r="G153">
        <v>99.516908212222219</v>
      </c>
      <c r="H153">
        <v>1.4492753633333331</v>
      </c>
      <c r="I153">
        <v>9</v>
      </c>
      <c r="J153">
        <v>4.7915621468944458</v>
      </c>
      <c r="K153">
        <v>1.3518225810363209E-5</v>
      </c>
      <c r="L153">
        <v>4.0516779007530914</v>
      </c>
    </row>
    <row r="154" spans="1:12" x14ac:dyDescent="0.25">
      <c r="A154">
        <v>42</v>
      </c>
      <c r="B154">
        <v>46</v>
      </c>
      <c r="C154" t="s">
        <v>20</v>
      </c>
      <c r="D154">
        <v>5.98</v>
      </c>
      <c r="E154">
        <v>0.14000000000000001</v>
      </c>
      <c r="F154">
        <v>49</v>
      </c>
      <c r="G154">
        <v>5.8888888888888893</v>
      </c>
      <c r="H154">
        <v>0.33333333333333343</v>
      </c>
      <c r="I154">
        <v>9</v>
      </c>
      <c r="J154">
        <v>-0.80703032565843036</v>
      </c>
      <c r="K154">
        <v>0.44158106963279359</v>
      </c>
      <c r="L154">
        <v>-0.17893376629410529</v>
      </c>
    </row>
    <row r="155" spans="1:12" x14ac:dyDescent="0.25">
      <c r="A155">
        <v>42</v>
      </c>
      <c r="B155">
        <v>46</v>
      </c>
      <c r="C155" t="s">
        <v>21</v>
      </c>
      <c r="D155">
        <v>0.04</v>
      </c>
      <c r="E155">
        <v>0.2</v>
      </c>
      <c r="F155">
        <v>49</v>
      </c>
      <c r="G155">
        <v>0</v>
      </c>
      <c r="H155">
        <v>0</v>
      </c>
      <c r="I155">
        <v>9</v>
      </c>
      <c r="J155">
        <v>-1.4</v>
      </c>
      <c r="K155">
        <v>0.16794388930402609</v>
      </c>
      <c r="L155">
        <v>-0.1673836620481183</v>
      </c>
    </row>
    <row r="156" spans="1:12" x14ac:dyDescent="0.25">
      <c r="A156">
        <v>42</v>
      </c>
      <c r="B156">
        <v>46</v>
      </c>
      <c r="C156" t="s">
        <v>22</v>
      </c>
      <c r="D156">
        <v>5.93</v>
      </c>
      <c r="E156">
        <v>0.24</v>
      </c>
      <c r="F156">
        <v>49</v>
      </c>
      <c r="G156">
        <v>5.8888888888888893</v>
      </c>
      <c r="H156">
        <v>0.33333333333333343</v>
      </c>
      <c r="I156">
        <v>9</v>
      </c>
      <c r="J156">
        <v>-0.35355075535051861</v>
      </c>
      <c r="K156">
        <v>0.73133071285342166</v>
      </c>
      <c r="L156">
        <v>-2.187070387187947E-2</v>
      </c>
    </row>
    <row r="157" spans="1:12" x14ac:dyDescent="0.25">
      <c r="A157">
        <v>42</v>
      </c>
      <c r="B157">
        <v>46</v>
      </c>
      <c r="C157" t="s">
        <v>23</v>
      </c>
      <c r="D157">
        <v>0.5</v>
      </c>
      <c r="E157">
        <v>0.06</v>
      </c>
      <c r="F157">
        <v>49</v>
      </c>
      <c r="G157">
        <v>0.47222222222222221</v>
      </c>
      <c r="H157">
        <v>8.3333333333333343E-2</v>
      </c>
      <c r="I157">
        <v>9</v>
      </c>
      <c r="J157">
        <v>-0.95554258202844478</v>
      </c>
      <c r="K157">
        <v>0.36278963338398462</v>
      </c>
      <c r="L157">
        <v>-0.19154857290882199</v>
      </c>
    </row>
    <row r="158" spans="1:12" x14ac:dyDescent="0.25">
      <c r="A158">
        <v>44</v>
      </c>
      <c r="B158">
        <v>48</v>
      </c>
      <c r="C158" t="s">
        <v>12</v>
      </c>
      <c r="D158">
        <v>46</v>
      </c>
      <c r="E158">
        <v>1.45</v>
      </c>
      <c r="F158">
        <v>48</v>
      </c>
      <c r="G158">
        <v>46.454545454545453</v>
      </c>
      <c r="H158">
        <v>1.507556722888818</v>
      </c>
      <c r="I158">
        <v>11</v>
      </c>
      <c r="J158">
        <v>0.90833974370874682</v>
      </c>
      <c r="K158">
        <v>0.37849816412722198</v>
      </c>
      <c r="L158">
        <v>0.13133891210561319</v>
      </c>
    </row>
    <row r="159" spans="1:12" x14ac:dyDescent="0.25">
      <c r="A159">
        <v>44</v>
      </c>
      <c r="B159">
        <v>48</v>
      </c>
      <c r="C159" t="s">
        <v>13</v>
      </c>
      <c r="D159">
        <v>6.18</v>
      </c>
      <c r="E159">
        <v>2.0299999999999998</v>
      </c>
      <c r="F159">
        <v>48</v>
      </c>
      <c r="G159">
        <v>6.2272727272727284</v>
      </c>
      <c r="H159">
        <v>1.7082686610079281</v>
      </c>
      <c r="I159">
        <v>11</v>
      </c>
      <c r="J159">
        <v>7.9775526240154382E-2</v>
      </c>
      <c r="K159">
        <v>0.93733995370709045</v>
      </c>
      <c r="L159">
        <v>6.7185986752759481E-4</v>
      </c>
    </row>
    <row r="160" spans="1:12" x14ac:dyDescent="0.25">
      <c r="A160">
        <v>44</v>
      </c>
      <c r="B160">
        <v>48</v>
      </c>
      <c r="C160" t="s">
        <v>14</v>
      </c>
      <c r="D160">
        <v>8.77</v>
      </c>
      <c r="E160">
        <v>1.94</v>
      </c>
      <c r="F160">
        <v>48</v>
      </c>
      <c r="G160">
        <v>9.7727272727272734</v>
      </c>
      <c r="H160">
        <v>2.338414381195475</v>
      </c>
      <c r="I160">
        <v>11</v>
      </c>
      <c r="J160">
        <v>1.3217648930728561</v>
      </c>
      <c r="K160">
        <v>0.20847758075721221</v>
      </c>
      <c r="L160">
        <v>0.33875632122674398</v>
      </c>
    </row>
    <row r="161" spans="1:12" x14ac:dyDescent="0.25">
      <c r="A161">
        <v>44</v>
      </c>
      <c r="B161">
        <v>48</v>
      </c>
      <c r="C161" t="s">
        <v>15</v>
      </c>
      <c r="D161">
        <v>9.83</v>
      </c>
      <c r="E161">
        <v>1.68</v>
      </c>
      <c r="F161">
        <v>48</v>
      </c>
      <c r="G161">
        <v>11.18181818181818</v>
      </c>
      <c r="H161">
        <v>0.98164981721404287</v>
      </c>
      <c r="I161">
        <v>11</v>
      </c>
      <c r="J161">
        <v>3.5329935272032551</v>
      </c>
      <c r="K161">
        <v>1.5924738633651609E-3</v>
      </c>
      <c r="L161">
        <v>2.3939015378677411</v>
      </c>
    </row>
    <row r="162" spans="1:12" x14ac:dyDescent="0.25">
      <c r="A162">
        <v>44</v>
      </c>
      <c r="B162">
        <v>48</v>
      </c>
      <c r="C162" t="s">
        <v>16</v>
      </c>
      <c r="D162">
        <v>24.79</v>
      </c>
      <c r="E162">
        <v>5.0199999999999996</v>
      </c>
      <c r="F162">
        <v>48</v>
      </c>
      <c r="G162">
        <v>27.18181818181818</v>
      </c>
      <c r="H162">
        <v>4.2442474437332658</v>
      </c>
      <c r="I162">
        <v>11</v>
      </c>
      <c r="J162">
        <v>1.626443176879351</v>
      </c>
      <c r="K162">
        <v>0.122176517959521</v>
      </c>
      <c r="L162">
        <v>0.44632030973910058</v>
      </c>
    </row>
    <row r="163" spans="1:12" x14ac:dyDescent="0.25">
      <c r="A163">
        <v>44</v>
      </c>
      <c r="B163">
        <v>48</v>
      </c>
      <c r="C163" t="s">
        <v>17</v>
      </c>
      <c r="D163">
        <v>3.71</v>
      </c>
      <c r="E163">
        <v>1.77</v>
      </c>
      <c r="F163">
        <v>48</v>
      </c>
      <c r="G163">
        <v>4.9545454545454541</v>
      </c>
      <c r="H163">
        <v>1.55651125043389</v>
      </c>
      <c r="I163">
        <v>11</v>
      </c>
      <c r="J163">
        <v>2.3291369088971789</v>
      </c>
      <c r="K163">
        <v>3.2849281320309412E-2</v>
      </c>
      <c r="L163">
        <v>1.064460545666603</v>
      </c>
    </row>
    <row r="164" spans="1:12" x14ac:dyDescent="0.25">
      <c r="A164">
        <v>44</v>
      </c>
      <c r="B164">
        <v>48</v>
      </c>
      <c r="C164" t="s">
        <v>18</v>
      </c>
      <c r="D164">
        <v>9.36</v>
      </c>
      <c r="E164">
        <v>1.86</v>
      </c>
      <c r="F164">
        <v>48</v>
      </c>
      <c r="G164">
        <v>11.13636363636364</v>
      </c>
      <c r="H164">
        <v>0.97700842091839435</v>
      </c>
      <c r="I164">
        <v>11</v>
      </c>
      <c r="J164">
        <v>4.4569290718682666</v>
      </c>
      <c r="K164">
        <v>1.127536491469479E-4</v>
      </c>
      <c r="L164">
        <v>4.0353646485400256</v>
      </c>
    </row>
    <row r="165" spans="1:12" x14ac:dyDescent="0.25">
      <c r="A165">
        <v>44</v>
      </c>
      <c r="B165">
        <v>48</v>
      </c>
      <c r="C165" t="s">
        <v>19</v>
      </c>
      <c r="D165">
        <v>93.26</v>
      </c>
      <c r="E165">
        <v>8.4600000000000009</v>
      </c>
      <c r="F165">
        <v>48</v>
      </c>
      <c r="G165">
        <v>99.604743082727268</v>
      </c>
      <c r="H165">
        <v>1.3109188903861799</v>
      </c>
      <c r="I165">
        <v>11</v>
      </c>
      <c r="J165">
        <v>4.9434175175322839</v>
      </c>
      <c r="K165">
        <v>7.6866003241454044E-6</v>
      </c>
      <c r="L165">
        <v>4.2131695912459071</v>
      </c>
    </row>
    <row r="166" spans="1:12" x14ac:dyDescent="0.25">
      <c r="A166">
        <v>44</v>
      </c>
      <c r="B166">
        <v>48</v>
      </c>
      <c r="C166" t="s">
        <v>20</v>
      </c>
      <c r="D166">
        <v>5.89</v>
      </c>
      <c r="E166">
        <v>0.3</v>
      </c>
      <c r="F166">
        <v>48</v>
      </c>
      <c r="G166">
        <v>5.9090909090909092</v>
      </c>
      <c r="H166">
        <v>0.30151134457776357</v>
      </c>
      <c r="I166">
        <v>11</v>
      </c>
      <c r="J166">
        <v>0.18959161946180331</v>
      </c>
      <c r="K166">
        <v>0.85218956855878381</v>
      </c>
      <c r="L166">
        <v>4.4165112246471964E-3</v>
      </c>
    </row>
    <row r="167" spans="1:12" x14ac:dyDescent="0.25">
      <c r="A167">
        <v>44</v>
      </c>
      <c r="B167">
        <v>48</v>
      </c>
      <c r="C167" t="s">
        <v>21</v>
      </c>
      <c r="D167">
        <v>0.02</v>
      </c>
      <c r="E167">
        <v>0.14000000000000001</v>
      </c>
      <c r="F167">
        <v>48</v>
      </c>
      <c r="G167">
        <v>0</v>
      </c>
      <c r="H167">
        <v>0</v>
      </c>
      <c r="I167">
        <v>11</v>
      </c>
      <c r="J167">
        <v>-0.9897433186107869</v>
      </c>
      <c r="K167">
        <v>0.32736782377309143</v>
      </c>
      <c r="L167">
        <v>-7.6295683440827891E-2</v>
      </c>
    </row>
    <row r="168" spans="1:12" x14ac:dyDescent="0.25">
      <c r="A168">
        <v>44</v>
      </c>
      <c r="B168">
        <v>48</v>
      </c>
      <c r="C168" t="s">
        <v>22</v>
      </c>
      <c r="D168">
        <v>5.87</v>
      </c>
      <c r="E168">
        <v>0.33</v>
      </c>
      <c r="F168">
        <v>48</v>
      </c>
      <c r="G168">
        <v>5.9090909090909092</v>
      </c>
      <c r="H168">
        <v>0.30151134457776357</v>
      </c>
      <c r="I168">
        <v>11</v>
      </c>
      <c r="J168">
        <v>0.38088629051848089</v>
      </c>
      <c r="K168">
        <v>0.70830127504467866</v>
      </c>
      <c r="L168">
        <v>1.8005619811953019E-2</v>
      </c>
    </row>
    <row r="169" spans="1:12" x14ac:dyDescent="0.25">
      <c r="A169">
        <v>44</v>
      </c>
      <c r="B169">
        <v>48</v>
      </c>
      <c r="C169" t="s">
        <v>23</v>
      </c>
      <c r="D169">
        <v>0.47</v>
      </c>
      <c r="E169">
        <v>0.08</v>
      </c>
      <c r="F169">
        <v>48</v>
      </c>
      <c r="G169">
        <v>0.47727272727272729</v>
      </c>
      <c r="H169">
        <v>7.5377836144440907E-2</v>
      </c>
      <c r="I169">
        <v>11</v>
      </c>
      <c r="J169">
        <v>0.28529006233893328</v>
      </c>
      <c r="K169">
        <v>0.77917305634150402</v>
      </c>
      <c r="L169">
        <v>9.9498898423489215E-3</v>
      </c>
    </row>
    <row r="170" spans="1:12" x14ac:dyDescent="0.25">
      <c r="A170">
        <v>46</v>
      </c>
      <c r="B170">
        <v>50</v>
      </c>
      <c r="C170" t="s">
        <v>12</v>
      </c>
      <c r="D170">
        <v>47.61</v>
      </c>
      <c r="E170">
        <v>1.32</v>
      </c>
      <c r="F170">
        <v>41</v>
      </c>
      <c r="G170">
        <v>48.230769230769234</v>
      </c>
      <c r="H170">
        <v>1.423250162705427</v>
      </c>
      <c r="I170">
        <v>13</v>
      </c>
      <c r="J170">
        <v>1.3939628326168449</v>
      </c>
      <c r="K170">
        <v>0.17940734110795181</v>
      </c>
      <c r="L170">
        <v>0.3445015971720502</v>
      </c>
    </row>
    <row r="171" spans="1:12" x14ac:dyDescent="0.25">
      <c r="A171">
        <v>46</v>
      </c>
      <c r="B171">
        <v>50</v>
      </c>
      <c r="C171" t="s">
        <v>13</v>
      </c>
      <c r="D171">
        <v>6.08</v>
      </c>
      <c r="E171">
        <v>2.0299999999999998</v>
      </c>
      <c r="F171">
        <v>41</v>
      </c>
      <c r="G171">
        <v>6.7692307692307692</v>
      </c>
      <c r="H171">
        <v>2.2695023740108811</v>
      </c>
      <c r="I171">
        <v>13</v>
      </c>
      <c r="J171">
        <v>0.97793937504790551</v>
      </c>
      <c r="K171">
        <v>0.34071804444195569</v>
      </c>
      <c r="L171">
        <v>0.15437377780817829</v>
      </c>
    </row>
    <row r="172" spans="1:12" x14ac:dyDescent="0.25">
      <c r="A172">
        <v>46</v>
      </c>
      <c r="B172">
        <v>50</v>
      </c>
      <c r="C172" t="s">
        <v>14</v>
      </c>
      <c r="D172">
        <v>8.66</v>
      </c>
      <c r="E172">
        <v>1.96</v>
      </c>
      <c r="F172">
        <v>41</v>
      </c>
      <c r="G172">
        <v>9.9615384615384617</v>
      </c>
      <c r="H172">
        <v>2.3757589880353538</v>
      </c>
      <c r="I172">
        <v>13</v>
      </c>
      <c r="J172">
        <v>1.7914053302874531</v>
      </c>
      <c r="K172">
        <v>9.0544691502419575E-2</v>
      </c>
      <c r="L172">
        <v>0.65798554536075182</v>
      </c>
    </row>
    <row r="173" spans="1:12" x14ac:dyDescent="0.25">
      <c r="A173">
        <v>46</v>
      </c>
      <c r="B173">
        <v>50</v>
      </c>
      <c r="C173" t="s">
        <v>15</v>
      </c>
      <c r="D173">
        <v>9.73</v>
      </c>
      <c r="E173">
        <v>1.72</v>
      </c>
      <c r="F173">
        <v>41</v>
      </c>
      <c r="G173">
        <v>11.30769230769231</v>
      </c>
      <c r="H173">
        <v>0.96907304373951308</v>
      </c>
      <c r="I173">
        <v>13</v>
      </c>
      <c r="J173">
        <v>4.1518972478851532</v>
      </c>
      <c r="K173">
        <v>1.8667812170521699E-4</v>
      </c>
      <c r="L173">
        <v>3.726440728638611</v>
      </c>
    </row>
    <row r="174" spans="1:12" x14ac:dyDescent="0.25">
      <c r="A174">
        <v>46</v>
      </c>
      <c r="B174">
        <v>50</v>
      </c>
      <c r="C174" t="s">
        <v>16</v>
      </c>
      <c r="D174">
        <v>24.48</v>
      </c>
      <c r="E174">
        <v>5.07</v>
      </c>
      <c r="F174">
        <v>41</v>
      </c>
      <c r="G174">
        <v>28.03846153846154</v>
      </c>
      <c r="H174">
        <v>4.9390516062530434</v>
      </c>
      <c r="I174">
        <v>13</v>
      </c>
      <c r="J174">
        <v>2.249027249002244</v>
      </c>
      <c r="K174">
        <v>3.5551650183672193E-2</v>
      </c>
      <c r="L174">
        <v>1.0231398311542079</v>
      </c>
    </row>
    <row r="175" spans="1:12" x14ac:dyDescent="0.25">
      <c r="A175">
        <v>46</v>
      </c>
      <c r="B175">
        <v>50</v>
      </c>
      <c r="C175" t="s">
        <v>17</v>
      </c>
      <c r="D175">
        <v>3.71</v>
      </c>
      <c r="E175">
        <v>1.77</v>
      </c>
      <c r="F175">
        <v>41</v>
      </c>
      <c r="G175">
        <v>4.5769230769230766</v>
      </c>
      <c r="H175">
        <v>1.913179659691272</v>
      </c>
      <c r="I175">
        <v>13</v>
      </c>
      <c r="J175">
        <v>1.4489620703621671</v>
      </c>
      <c r="K175">
        <v>0.16367125109814759</v>
      </c>
      <c r="L175">
        <v>0.37771976100084242</v>
      </c>
    </row>
    <row r="176" spans="1:12" x14ac:dyDescent="0.25">
      <c r="A176">
        <v>46</v>
      </c>
      <c r="B176">
        <v>50</v>
      </c>
      <c r="C176" t="s">
        <v>18</v>
      </c>
      <c r="D176">
        <v>9.25</v>
      </c>
      <c r="E176">
        <v>1.9</v>
      </c>
      <c r="F176">
        <v>41</v>
      </c>
      <c r="G176">
        <v>11.03846153846154</v>
      </c>
      <c r="H176">
        <v>1.3301243435223531</v>
      </c>
      <c r="I176">
        <v>13</v>
      </c>
      <c r="J176">
        <v>3.777605255123142</v>
      </c>
      <c r="K176">
        <v>7.3163365389045793E-4</v>
      </c>
      <c r="L176">
        <v>3.1422891761330609</v>
      </c>
    </row>
    <row r="177" spans="1:12" x14ac:dyDescent="0.25">
      <c r="A177">
        <v>46</v>
      </c>
      <c r="B177">
        <v>50</v>
      </c>
      <c r="C177" t="s">
        <v>19</v>
      </c>
      <c r="D177">
        <v>93.38</v>
      </c>
      <c r="E177">
        <v>8.5299999999999994</v>
      </c>
      <c r="F177">
        <v>41</v>
      </c>
      <c r="G177">
        <v>97.435897436153851</v>
      </c>
      <c r="H177">
        <v>9.2450032694959852</v>
      </c>
      <c r="I177">
        <v>13</v>
      </c>
      <c r="J177">
        <v>1.4036618677649719</v>
      </c>
      <c r="K177">
        <v>0.17660472375171529</v>
      </c>
      <c r="L177">
        <v>0.35103505035670551</v>
      </c>
    </row>
    <row r="178" spans="1:12" x14ac:dyDescent="0.25">
      <c r="A178">
        <v>46</v>
      </c>
      <c r="B178">
        <v>50</v>
      </c>
      <c r="C178" t="s">
        <v>20</v>
      </c>
      <c r="D178">
        <v>5.87</v>
      </c>
      <c r="E178">
        <v>0.33</v>
      </c>
      <c r="F178">
        <v>41</v>
      </c>
      <c r="G178">
        <v>6</v>
      </c>
      <c r="H178">
        <v>0</v>
      </c>
      <c r="I178">
        <v>13</v>
      </c>
      <c r="J178">
        <v>2.522442881412938</v>
      </c>
      <c r="K178">
        <v>1.5735308911465951E-2</v>
      </c>
      <c r="L178">
        <v>0.80989153100622036</v>
      </c>
    </row>
    <row r="179" spans="1:12" x14ac:dyDescent="0.25">
      <c r="A179">
        <v>46</v>
      </c>
      <c r="B179">
        <v>50</v>
      </c>
      <c r="C179" t="s">
        <v>21</v>
      </c>
      <c r="D179">
        <v>0.02</v>
      </c>
      <c r="E179">
        <v>0.15</v>
      </c>
      <c r="F179">
        <v>41</v>
      </c>
      <c r="G179">
        <v>0</v>
      </c>
      <c r="H179">
        <v>0</v>
      </c>
      <c r="I179">
        <v>13</v>
      </c>
      <c r="J179">
        <v>-0.85374989832437986</v>
      </c>
      <c r="K179">
        <v>0.39832761437286551</v>
      </c>
      <c r="L179">
        <v>-6.0772807262901497E-2</v>
      </c>
    </row>
    <row r="180" spans="1:12" x14ac:dyDescent="0.25">
      <c r="A180">
        <v>46</v>
      </c>
      <c r="B180">
        <v>50</v>
      </c>
      <c r="C180" t="s">
        <v>22</v>
      </c>
      <c r="D180">
        <v>5.85</v>
      </c>
      <c r="E180">
        <v>0.35</v>
      </c>
      <c r="F180">
        <v>41</v>
      </c>
      <c r="G180">
        <v>6</v>
      </c>
      <c r="H180">
        <v>0</v>
      </c>
      <c r="I180">
        <v>13</v>
      </c>
      <c r="J180">
        <v>2.7441961017569421</v>
      </c>
      <c r="K180">
        <v>9.0379212409564622E-3</v>
      </c>
      <c r="L180">
        <v>0.99876017446707355</v>
      </c>
    </row>
    <row r="181" spans="1:12" x14ac:dyDescent="0.25">
      <c r="A181">
        <v>46</v>
      </c>
      <c r="B181">
        <v>50</v>
      </c>
      <c r="C181" t="s">
        <v>23</v>
      </c>
      <c r="D181">
        <v>0.47</v>
      </c>
      <c r="E181">
        <v>0.09</v>
      </c>
      <c r="F181">
        <v>41</v>
      </c>
      <c r="G181">
        <v>0.5</v>
      </c>
      <c r="H181">
        <v>0</v>
      </c>
      <c r="I181">
        <v>13</v>
      </c>
      <c r="J181">
        <v>2.134374745810951</v>
      </c>
      <c r="K181">
        <v>3.8992533267619471E-2</v>
      </c>
      <c r="L181">
        <v>0.53550944089073671</v>
      </c>
    </row>
    <row r="182" spans="1:12" x14ac:dyDescent="0.25">
      <c r="A182">
        <v>48</v>
      </c>
      <c r="B182">
        <v>52</v>
      </c>
      <c r="C182" t="s">
        <v>12</v>
      </c>
      <c r="D182">
        <v>50.07</v>
      </c>
      <c r="E182">
        <v>1.62</v>
      </c>
      <c r="F182">
        <v>39</v>
      </c>
      <c r="G182">
        <v>49.81818181818182</v>
      </c>
      <c r="H182">
        <v>1.4709304414677</v>
      </c>
      <c r="I182">
        <v>11</v>
      </c>
      <c r="J182">
        <v>-0.49011298217389582</v>
      </c>
      <c r="K182">
        <v>0.63015070567999931</v>
      </c>
      <c r="L182">
        <v>-3.1761300528156483E-2</v>
      </c>
    </row>
    <row r="183" spans="1:12" x14ac:dyDescent="0.25">
      <c r="A183">
        <v>48</v>
      </c>
      <c r="B183">
        <v>52</v>
      </c>
      <c r="C183" t="s">
        <v>13</v>
      </c>
      <c r="D183">
        <v>5.98</v>
      </c>
      <c r="E183">
        <v>2.0299999999999998</v>
      </c>
      <c r="F183">
        <v>39</v>
      </c>
      <c r="G183">
        <v>7.6818181818181817</v>
      </c>
      <c r="H183">
        <v>2.0404990476930789</v>
      </c>
      <c r="I183">
        <v>11</v>
      </c>
      <c r="J183">
        <v>2.4457457427391929</v>
      </c>
      <c r="K183">
        <v>2.636922058944784E-2</v>
      </c>
      <c r="L183">
        <v>1.3222203568984749</v>
      </c>
    </row>
    <row r="184" spans="1:12" x14ac:dyDescent="0.25">
      <c r="A184">
        <v>48</v>
      </c>
      <c r="B184">
        <v>52</v>
      </c>
      <c r="C184" t="s">
        <v>14</v>
      </c>
      <c r="D184">
        <v>8.56</v>
      </c>
      <c r="E184">
        <v>1.97</v>
      </c>
      <c r="F184">
        <v>39</v>
      </c>
      <c r="G184">
        <v>10.36363636363636</v>
      </c>
      <c r="H184">
        <v>2.0011360409890822</v>
      </c>
      <c r="I184">
        <v>11</v>
      </c>
      <c r="J184">
        <v>2.649086131426547</v>
      </c>
      <c r="K184">
        <v>1.756861031733192E-2</v>
      </c>
      <c r="L184">
        <v>1.601726279123094</v>
      </c>
    </row>
    <row r="185" spans="1:12" x14ac:dyDescent="0.25">
      <c r="A185">
        <v>48</v>
      </c>
      <c r="B185">
        <v>52</v>
      </c>
      <c r="C185" t="s">
        <v>15</v>
      </c>
      <c r="D185">
        <v>9.6300000000000008</v>
      </c>
      <c r="E185">
        <v>1.76</v>
      </c>
      <c r="F185">
        <v>39</v>
      </c>
      <c r="G185">
        <v>11.59090909090909</v>
      </c>
      <c r="H185">
        <v>0.4369314487526515</v>
      </c>
      <c r="I185">
        <v>11</v>
      </c>
      <c r="J185">
        <v>6.3032187353430666</v>
      </c>
      <c r="K185">
        <v>8.7852992463858731E-8</v>
      </c>
      <c r="L185">
        <v>8.7650331678701825</v>
      </c>
    </row>
    <row r="186" spans="1:12" x14ac:dyDescent="0.25">
      <c r="A186">
        <v>48</v>
      </c>
      <c r="B186">
        <v>52</v>
      </c>
      <c r="C186" t="s">
        <v>16</v>
      </c>
      <c r="D186">
        <v>24.18</v>
      </c>
      <c r="E186">
        <v>5.12</v>
      </c>
      <c r="F186">
        <v>39</v>
      </c>
      <c r="G186">
        <v>29.63636363636364</v>
      </c>
      <c r="H186">
        <v>4.1957770978145934</v>
      </c>
      <c r="I186">
        <v>11</v>
      </c>
      <c r="J186">
        <v>3.6194615823282952</v>
      </c>
      <c r="K186">
        <v>1.792752864443943E-3</v>
      </c>
      <c r="L186">
        <v>3.0324999363658649</v>
      </c>
    </row>
    <row r="187" spans="1:12" x14ac:dyDescent="0.25">
      <c r="A187">
        <v>48</v>
      </c>
      <c r="B187">
        <v>52</v>
      </c>
      <c r="C187" t="s">
        <v>17</v>
      </c>
      <c r="D187">
        <v>3.72</v>
      </c>
      <c r="E187">
        <v>1.78</v>
      </c>
      <c r="F187">
        <v>39</v>
      </c>
      <c r="G187">
        <v>3.954545454545455</v>
      </c>
      <c r="H187">
        <v>1.781215111301067</v>
      </c>
      <c r="I187">
        <v>11</v>
      </c>
      <c r="J187">
        <v>0.38576201382512348</v>
      </c>
      <c r="K187">
        <v>0.70472541610714645</v>
      </c>
      <c r="L187">
        <v>2.0023125452000509E-2</v>
      </c>
    </row>
    <row r="188" spans="1:12" x14ac:dyDescent="0.25">
      <c r="A188">
        <v>48</v>
      </c>
      <c r="B188">
        <v>52</v>
      </c>
      <c r="C188" t="s">
        <v>18</v>
      </c>
      <c r="D188">
        <v>9.14</v>
      </c>
      <c r="E188">
        <v>1.94</v>
      </c>
      <c r="F188">
        <v>39</v>
      </c>
      <c r="G188">
        <v>11.18181818181818</v>
      </c>
      <c r="H188">
        <v>1.2302992983970871</v>
      </c>
      <c r="I188">
        <v>11</v>
      </c>
      <c r="J188">
        <v>4.2199850769522582</v>
      </c>
      <c r="K188">
        <v>2.6941583933786148E-4</v>
      </c>
      <c r="L188">
        <v>4.0152767400355591</v>
      </c>
    </row>
    <row r="189" spans="1:12" x14ac:dyDescent="0.25">
      <c r="A189">
        <v>48</v>
      </c>
      <c r="B189">
        <v>52</v>
      </c>
      <c r="C189" t="s">
        <v>19</v>
      </c>
      <c r="D189">
        <v>94.16</v>
      </c>
      <c r="E189">
        <v>8.42</v>
      </c>
      <c r="F189">
        <v>39</v>
      </c>
      <c r="G189">
        <v>96.14325068909092</v>
      </c>
      <c r="H189">
        <v>10.149561917897531</v>
      </c>
      <c r="I189">
        <v>11</v>
      </c>
      <c r="J189">
        <v>0.59306691686224822</v>
      </c>
      <c r="K189">
        <v>0.56251639331842807</v>
      </c>
      <c r="L189">
        <v>5.6258336249161732E-2</v>
      </c>
    </row>
    <row r="190" spans="1:12" x14ac:dyDescent="0.25">
      <c r="A190">
        <v>48</v>
      </c>
      <c r="B190">
        <v>52</v>
      </c>
      <c r="C190" t="s">
        <v>20</v>
      </c>
      <c r="D190">
        <v>5.76</v>
      </c>
      <c r="E190">
        <v>0.42</v>
      </c>
      <c r="F190">
        <v>39</v>
      </c>
      <c r="G190">
        <v>5.9090909090909092</v>
      </c>
      <c r="H190">
        <v>0.30151134457776357</v>
      </c>
      <c r="I190">
        <v>11</v>
      </c>
      <c r="J190">
        <v>1.318431785862811</v>
      </c>
      <c r="K190">
        <v>0.2008053379222646</v>
      </c>
      <c r="L190">
        <v>0.26102787411376421</v>
      </c>
    </row>
    <row r="191" spans="1:12" x14ac:dyDescent="0.25">
      <c r="A191">
        <v>48</v>
      </c>
      <c r="B191">
        <v>52</v>
      </c>
      <c r="C191" t="s">
        <v>21</v>
      </c>
      <c r="D191">
        <v>0.02</v>
      </c>
      <c r="E191">
        <v>0.16</v>
      </c>
      <c r="F191">
        <v>39</v>
      </c>
      <c r="G191">
        <v>0</v>
      </c>
      <c r="H191">
        <v>0</v>
      </c>
      <c r="I191">
        <v>11</v>
      </c>
      <c r="J191">
        <v>-0.78062474979979979</v>
      </c>
      <c r="K191">
        <v>0.43985919544633478</v>
      </c>
      <c r="L191">
        <v>-5.0110102604639141E-2</v>
      </c>
    </row>
    <row r="192" spans="1:12" x14ac:dyDescent="0.25">
      <c r="A192">
        <v>48</v>
      </c>
      <c r="B192">
        <v>52</v>
      </c>
      <c r="C192" t="s">
        <v>22</v>
      </c>
      <c r="D192">
        <v>5.74</v>
      </c>
      <c r="E192">
        <v>0.49</v>
      </c>
      <c r="F192">
        <v>39</v>
      </c>
      <c r="G192">
        <v>5.9090909090909092</v>
      </c>
      <c r="H192">
        <v>0.30151134457776357</v>
      </c>
      <c r="I192">
        <v>11</v>
      </c>
      <c r="J192">
        <v>1.4080707663269809</v>
      </c>
      <c r="K192">
        <v>0.17070465470477331</v>
      </c>
      <c r="L192">
        <v>0.28395549709092749</v>
      </c>
    </row>
    <row r="193" spans="1:12" x14ac:dyDescent="0.25">
      <c r="A193">
        <v>48</v>
      </c>
      <c r="B193">
        <v>52</v>
      </c>
      <c r="C193" t="s">
        <v>23</v>
      </c>
      <c r="D193">
        <v>0.44</v>
      </c>
      <c r="E193">
        <v>0.1</v>
      </c>
      <c r="F193">
        <v>39</v>
      </c>
      <c r="G193">
        <v>0.47727272727272729</v>
      </c>
      <c r="H193">
        <v>7.5377836144440907E-2</v>
      </c>
      <c r="I193">
        <v>11</v>
      </c>
      <c r="J193">
        <v>1.340659561676746</v>
      </c>
      <c r="K193">
        <v>0.19433536048441519</v>
      </c>
      <c r="L193">
        <v>0.27797433713039738</v>
      </c>
    </row>
    <row r="194" spans="1:12" x14ac:dyDescent="0.25">
      <c r="A194">
        <v>50</v>
      </c>
      <c r="B194">
        <v>54</v>
      </c>
      <c r="C194" t="s">
        <v>12</v>
      </c>
      <c r="D194">
        <v>52.16</v>
      </c>
      <c r="E194">
        <v>1.23</v>
      </c>
      <c r="F194">
        <v>36</v>
      </c>
      <c r="G194">
        <v>51.5</v>
      </c>
      <c r="H194">
        <v>1.509230856356236</v>
      </c>
      <c r="I194">
        <v>10</v>
      </c>
      <c r="J194">
        <v>-1.2706347462679111</v>
      </c>
      <c r="K194">
        <v>0.2269661123620873</v>
      </c>
      <c r="L194">
        <v>-0.32898954259453672</v>
      </c>
    </row>
    <row r="195" spans="1:12" x14ac:dyDescent="0.25">
      <c r="A195">
        <v>50</v>
      </c>
      <c r="B195">
        <v>54</v>
      </c>
      <c r="C195" t="s">
        <v>13</v>
      </c>
      <c r="D195">
        <v>5.88</v>
      </c>
      <c r="E195">
        <v>2.02</v>
      </c>
      <c r="F195">
        <v>36</v>
      </c>
      <c r="G195">
        <v>7.35</v>
      </c>
      <c r="H195">
        <v>2.4272755646334572</v>
      </c>
      <c r="I195">
        <v>10</v>
      </c>
      <c r="J195">
        <v>1.7538430898398021</v>
      </c>
      <c r="K195">
        <v>0.10358547999110861</v>
      </c>
      <c r="L195">
        <v>0.68611752480114285</v>
      </c>
    </row>
    <row r="196" spans="1:12" x14ac:dyDescent="0.25">
      <c r="A196">
        <v>50</v>
      </c>
      <c r="B196">
        <v>54</v>
      </c>
      <c r="C196" t="s">
        <v>14</v>
      </c>
      <c r="D196">
        <v>8.4499999999999993</v>
      </c>
      <c r="E196">
        <v>1.99</v>
      </c>
      <c r="F196">
        <v>36</v>
      </c>
      <c r="G196">
        <v>10.050000000000001</v>
      </c>
      <c r="H196">
        <v>2.0743138088962758</v>
      </c>
      <c r="I196">
        <v>10</v>
      </c>
      <c r="J196">
        <v>2.176758824622242</v>
      </c>
      <c r="K196">
        <v>4.7164115361177102E-2</v>
      </c>
      <c r="L196">
        <v>1.0571283876178841</v>
      </c>
    </row>
    <row r="197" spans="1:12" x14ac:dyDescent="0.25">
      <c r="A197">
        <v>50</v>
      </c>
      <c r="B197">
        <v>54</v>
      </c>
      <c r="C197" t="s">
        <v>15</v>
      </c>
      <c r="D197">
        <v>9.5299999999999994</v>
      </c>
      <c r="E197">
        <v>1.8</v>
      </c>
      <c r="F197">
        <v>36</v>
      </c>
      <c r="G197">
        <v>11.4</v>
      </c>
      <c r="H197">
        <v>0.7745966692414834</v>
      </c>
      <c r="I197">
        <v>10</v>
      </c>
      <c r="J197">
        <v>4.8283192382719156</v>
      </c>
      <c r="K197">
        <v>2.5912345444751721E-5</v>
      </c>
      <c r="L197">
        <v>5.2196392177079352</v>
      </c>
    </row>
    <row r="198" spans="1:12" x14ac:dyDescent="0.25">
      <c r="A198">
        <v>50</v>
      </c>
      <c r="B198">
        <v>54</v>
      </c>
      <c r="C198" t="s">
        <v>16</v>
      </c>
      <c r="D198">
        <v>23.87</v>
      </c>
      <c r="E198">
        <v>5.18</v>
      </c>
      <c r="F198">
        <v>36</v>
      </c>
      <c r="G198">
        <v>28.8</v>
      </c>
      <c r="H198">
        <v>4.967673276069771</v>
      </c>
      <c r="I198">
        <v>10</v>
      </c>
      <c r="J198">
        <v>2.75032043964063</v>
      </c>
      <c r="K198">
        <v>1.494169322114682E-2</v>
      </c>
      <c r="L198">
        <v>1.75193930806321</v>
      </c>
    </row>
    <row r="199" spans="1:12" x14ac:dyDescent="0.25">
      <c r="A199">
        <v>50</v>
      </c>
      <c r="B199">
        <v>54</v>
      </c>
      <c r="C199" t="s">
        <v>17</v>
      </c>
      <c r="D199">
        <v>3.73</v>
      </c>
      <c r="E199">
        <v>1.79</v>
      </c>
      <c r="F199">
        <v>36</v>
      </c>
      <c r="G199">
        <v>4.0999999999999996</v>
      </c>
      <c r="H199">
        <v>1.86785676348292</v>
      </c>
      <c r="I199">
        <v>10</v>
      </c>
      <c r="J199">
        <v>0.55913719558477071</v>
      </c>
      <c r="K199">
        <v>0.58493703108869655</v>
      </c>
      <c r="L199">
        <v>4.7707733559343393E-2</v>
      </c>
    </row>
    <row r="200" spans="1:12" x14ac:dyDescent="0.25">
      <c r="A200">
        <v>50</v>
      </c>
      <c r="B200">
        <v>54</v>
      </c>
      <c r="C200" t="s">
        <v>18</v>
      </c>
      <c r="D200">
        <v>9.0299999999999994</v>
      </c>
      <c r="E200">
        <v>1.98</v>
      </c>
      <c r="F200">
        <v>36</v>
      </c>
      <c r="G200">
        <v>10.7</v>
      </c>
      <c r="H200">
        <v>1.8135294011647261</v>
      </c>
      <c r="I200">
        <v>10</v>
      </c>
      <c r="J200">
        <v>2.5239695066513428</v>
      </c>
      <c r="K200">
        <v>2.2943282393734901E-2</v>
      </c>
      <c r="L200">
        <v>1.4060370855975211</v>
      </c>
    </row>
    <row r="201" spans="1:12" x14ac:dyDescent="0.25">
      <c r="A201">
        <v>50</v>
      </c>
      <c r="B201">
        <v>54</v>
      </c>
      <c r="C201" t="s">
        <v>19</v>
      </c>
      <c r="D201">
        <v>95.96</v>
      </c>
      <c r="E201">
        <v>7.31</v>
      </c>
      <c r="F201">
        <v>36</v>
      </c>
      <c r="G201">
        <v>93.125996811000007</v>
      </c>
      <c r="H201">
        <v>12.53332143606295</v>
      </c>
      <c r="I201">
        <v>10</v>
      </c>
      <c r="J201">
        <v>-0.68348289656013328</v>
      </c>
      <c r="K201">
        <v>0.50875672213802825</v>
      </c>
      <c r="L201">
        <v>-9.6275723924807516E-2</v>
      </c>
    </row>
    <row r="202" spans="1:12" x14ac:dyDescent="0.25">
      <c r="A202">
        <v>50</v>
      </c>
      <c r="B202">
        <v>54</v>
      </c>
      <c r="C202" t="s">
        <v>20</v>
      </c>
      <c r="D202">
        <v>5.86</v>
      </c>
      <c r="E202">
        <v>0.35</v>
      </c>
      <c r="F202">
        <v>36</v>
      </c>
      <c r="G202">
        <v>5.9</v>
      </c>
      <c r="H202">
        <v>0.31622776601683789</v>
      </c>
      <c r="I202">
        <v>10</v>
      </c>
      <c r="J202">
        <v>0.34551156035937369</v>
      </c>
      <c r="K202">
        <v>0.7342959091668424</v>
      </c>
      <c r="L202">
        <v>1.562534479400169E-2</v>
      </c>
    </row>
    <row r="203" spans="1:12" x14ac:dyDescent="0.25">
      <c r="A203">
        <v>50</v>
      </c>
      <c r="B203">
        <v>54</v>
      </c>
      <c r="C203" t="s">
        <v>21</v>
      </c>
      <c r="D203">
        <v>0.02</v>
      </c>
      <c r="E203">
        <v>0.16</v>
      </c>
      <c r="F203">
        <v>36</v>
      </c>
      <c r="G203">
        <v>0</v>
      </c>
      <c r="H203">
        <v>0</v>
      </c>
      <c r="I203">
        <v>10</v>
      </c>
      <c r="J203">
        <v>-0.75</v>
      </c>
      <c r="K203">
        <v>0.4582669236562269</v>
      </c>
      <c r="L203">
        <v>-4.7495249571196302E-2</v>
      </c>
    </row>
    <row r="204" spans="1:12" x14ac:dyDescent="0.25">
      <c r="A204">
        <v>50</v>
      </c>
      <c r="B204">
        <v>54</v>
      </c>
      <c r="C204" t="s">
        <v>22</v>
      </c>
      <c r="D204">
        <v>5.83</v>
      </c>
      <c r="E204">
        <v>0.44</v>
      </c>
      <c r="F204">
        <v>36</v>
      </c>
      <c r="G204">
        <v>5.9</v>
      </c>
      <c r="H204">
        <v>0.31622776601683789</v>
      </c>
      <c r="I204">
        <v>10</v>
      </c>
      <c r="J204">
        <v>0.56448349709899615</v>
      </c>
      <c r="K204">
        <v>0.57876144964118315</v>
      </c>
      <c r="L204">
        <v>3.9803498740702603E-2</v>
      </c>
    </row>
    <row r="205" spans="1:12" x14ac:dyDescent="0.25">
      <c r="A205">
        <v>50</v>
      </c>
      <c r="B205">
        <v>54</v>
      </c>
      <c r="C205" t="s">
        <v>23</v>
      </c>
      <c r="D205">
        <v>0.47</v>
      </c>
      <c r="E205">
        <v>0.08</v>
      </c>
      <c r="F205">
        <v>36</v>
      </c>
      <c r="G205">
        <v>0.47499999999999998</v>
      </c>
      <c r="H205">
        <v>7.9056941504209485E-2</v>
      </c>
      <c r="I205">
        <v>10</v>
      </c>
      <c r="J205">
        <v>0.1764705882352943</v>
      </c>
      <c r="K205">
        <v>0.86235778904938809</v>
      </c>
      <c r="L205">
        <v>4.0292015187665068E-3</v>
      </c>
    </row>
    <row r="206" spans="1:12" x14ac:dyDescent="0.25">
      <c r="A206">
        <v>52</v>
      </c>
      <c r="B206">
        <v>56</v>
      </c>
      <c r="C206" t="s">
        <v>12</v>
      </c>
      <c r="D206">
        <v>53.6</v>
      </c>
      <c r="E206">
        <v>1.44</v>
      </c>
      <c r="F206">
        <v>38</v>
      </c>
      <c r="G206">
        <v>54.111111111111107</v>
      </c>
      <c r="H206">
        <v>1.6914819275153701</v>
      </c>
      <c r="I206">
        <v>9</v>
      </c>
      <c r="J206">
        <v>0.83747118579964563</v>
      </c>
      <c r="K206">
        <v>0.42029100678614228</v>
      </c>
      <c r="L206">
        <v>0.12932209892479329</v>
      </c>
    </row>
    <row r="207" spans="1:12" x14ac:dyDescent="0.25">
      <c r="A207">
        <v>52</v>
      </c>
      <c r="B207">
        <v>56</v>
      </c>
      <c r="C207" t="s">
        <v>13</v>
      </c>
      <c r="D207">
        <v>5.78</v>
      </c>
      <c r="E207">
        <v>2.02</v>
      </c>
      <c r="F207">
        <v>38</v>
      </c>
      <c r="G207">
        <v>6.4444444444444446</v>
      </c>
      <c r="H207">
        <v>2.429563289518875</v>
      </c>
      <c r="I207">
        <v>9</v>
      </c>
      <c r="J207">
        <v>0.7605490327980341</v>
      </c>
      <c r="K207">
        <v>0.46324986248764932</v>
      </c>
      <c r="L207">
        <v>0.10580420607416061</v>
      </c>
    </row>
    <row r="208" spans="1:12" x14ac:dyDescent="0.25">
      <c r="A208">
        <v>52</v>
      </c>
      <c r="B208">
        <v>56</v>
      </c>
      <c r="C208" t="s">
        <v>14</v>
      </c>
      <c r="D208">
        <v>8.35</v>
      </c>
      <c r="E208">
        <v>2</v>
      </c>
      <c r="F208">
        <v>38</v>
      </c>
      <c r="G208">
        <v>10.22222222222222</v>
      </c>
      <c r="H208">
        <v>1.3488678380198871</v>
      </c>
      <c r="I208">
        <v>9</v>
      </c>
      <c r="J208">
        <v>3.3766710721837541</v>
      </c>
      <c r="K208">
        <v>3.4737499925868538E-3</v>
      </c>
      <c r="L208">
        <v>2.4224613070367749</v>
      </c>
    </row>
    <row r="209" spans="1:12" x14ac:dyDescent="0.25">
      <c r="A209">
        <v>52</v>
      </c>
      <c r="B209">
        <v>56</v>
      </c>
      <c r="C209" t="s">
        <v>15</v>
      </c>
      <c r="D209">
        <v>9.43</v>
      </c>
      <c r="E209">
        <v>1.84</v>
      </c>
      <c r="F209">
        <v>38</v>
      </c>
      <c r="G209">
        <v>11.555555555555561</v>
      </c>
      <c r="H209">
        <v>0.80794664290272145</v>
      </c>
      <c r="I209">
        <v>9</v>
      </c>
      <c r="J209">
        <v>5.2870982886040121</v>
      </c>
      <c r="K209">
        <v>1.040179033729853E-5</v>
      </c>
      <c r="L209">
        <v>6.219744279667923</v>
      </c>
    </row>
    <row r="210" spans="1:12" x14ac:dyDescent="0.25">
      <c r="A210">
        <v>52</v>
      </c>
      <c r="B210">
        <v>56</v>
      </c>
      <c r="C210" t="s">
        <v>16</v>
      </c>
      <c r="D210">
        <v>23.57</v>
      </c>
      <c r="E210">
        <v>5.23</v>
      </c>
      <c r="F210">
        <v>38</v>
      </c>
      <c r="G210">
        <v>28.222222222222221</v>
      </c>
      <c r="H210">
        <v>3.8169941635329292</v>
      </c>
      <c r="I210">
        <v>9</v>
      </c>
      <c r="J210">
        <v>3.0421367679640499</v>
      </c>
      <c r="K210">
        <v>7.7602917062539857E-3</v>
      </c>
      <c r="L210">
        <v>1.9602062418986981</v>
      </c>
    </row>
    <row r="211" spans="1:12" x14ac:dyDescent="0.25">
      <c r="A211">
        <v>52</v>
      </c>
      <c r="B211">
        <v>56</v>
      </c>
      <c r="C211" t="s">
        <v>17</v>
      </c>
      <c r="D211">
        <v>3.73</v>
      </c>
      <c r="E211">
        <v>1.8</v>
      </c>
      <c r="F211">
        <v>38</v>
      </c>
      <c r="G211">
        <v>5.1111111111111107</v>
      </c>
      <c r="H211">
        <v>2.2607766610417559</v>
      </c>
      <c r="I211">
        <v>9</v>
      </c>
      <c r="J211">
        <v>1.708902828967285</v>
      </c>
      <c r="K211">
        <v>0.11672898749969279</v>
      </c>
      <c r="L211">
        <v>0.68160429208849282</v>
      </c>
    </row>
    <row r="212" spans="1:12" x14ac:dyDescent="0.25">
      <c r="A212">
        <v>52</v>
      </c>
      <c r="B212">
        <v>56</v>
      </c>
      <c r="C212" t="s">
        <v>18</v>
      </c>
      <c r="D212">
        <v>8.92</v>
      </c>
      <c r="E212">
        <v>2.0099999999999998</v>
      </c>
      <c r="F212">
        <v>38</v>
      </c>
      <c r="G212">
        <v>11.055555555555561</v>
      </c>
      <c r="H212">
        <v>1.6478099944404321</v>
      </c>
      <c r="I212">
        <v>9</v>
      </c>
      <c r="J212">
        <v>3.343276552827525</v>
      </c>
      <c r="K212">
        <v>4.7263507490856397E-3</v>
      </c>
      <c r="L212">
        <v>2.546063535563674</v>
      </c>
    </row>
    <row r="213" spans="1:12" x14ac:dyDescent="0.25">
      <c r="A213">
        <v>52</v>
      </c>
      <c r="B213">
        <v>56</v>
      </c>
      <c r="C213" t="s">
        <v>19</v>
      </c>
      <c r="D213">
        <v>94.54</v>
      </c>
      <c r="E213">
        <v>8.5500000000000007</v>
      </c>
      <c r="F213">
        <v>38</v>
      </c>
      <c r="G213">
        <v>95.224171539999986</v>
      </c>
      <c r="H213">
        <v>9.7789424019429241</v>
      </c>
      <c r="I213">
        <v>9</v>
      </c>
      <c r="J213">
        <v>0.19313436313094479</v>
      </c>
      <c r="K213">
        <v>0.85034833612585758</v>
      </c>
      <c r="L213">
        <v>5.4854232255580884E-3</v>
      </c>
    </row>
    <row r="214" spans="1:12" x14ac:dyDescent="0.25">
      <c r="A214">
        <v>52</v>
      </c>
      <c r="B214">
        <v>56</v>
      </c>
      <c r="C214" t="s">
        <v>20</v>
      </c>
      <c r="D214">
        <v>5.89</v>
      </c>
      <c r="E214">
        <v>0.31</v>
      </c>
      <c r="F214">
        <v>38</v>
      </c>
      <c r="G214">
        <v>5.7777777777777777</v>
      </c>
      <c r="H214">
        <v>0.44095855184409838</v>
      </c>
      <c r="I214">
        <v>9</v>
      </c>
      <c r="J214">
        <v>-0.72237921095513491</v>
      </c>
      <c r="K214">
        <v>0.48668753386880742</v>
      </c>
      <c r="L214">
        <v>-0.1041401821961702</v>
      </c>
    </row>
    <row r="215" spans="1:12" x14ac:dyDescent="0.25">
      <c r="A215">
        <v>52</v>
      </c>
      <c r="B215">
        <v>56</v>
      </c>
      <c r="C215" t="s">
        <v>21</v>
      </c>
      <c r="D215">
        <v>7.0000000000000007E-2</v>
      </c>
      <c r="E215">
        <v>0.27</v>
      </c>
      <c r="F215">
        <v>38</v>
      </c>
      <c r="G215">
        <v>0</v>
      </c>
      <c r="H215">
        <v>0</v>
      </c>
      <c r="I215">
        <v>9</v>
      </c>
      <c r="J215">
        <v>-1.5981814081771419</v>
      </c>
      <c r="K215">
        <v>0.1185087816973589</v>
      </c>
      <c r="L215">
        <v>-0.26483028113573981</v>
      </c>
    </row>
    <row r="216" spans="1:12" x14ac:dyDescent="0.25">
      <c r="A216">
        <v>52</v>
      </c>
      <c r="B216">
        <v>56</v>
      </c>
      <c r="C216" t="s">
        <v>22</v>
      </c>
      <c r="D216">
        <v>5.81</v>
      </c>
      <c r="E216">
        <v>0.45</v>
      </c>
      <c r="F216">
        <v>38</v>
      </c>
      <c r="G216">
        <v>5.7777777777777777</v>
      </c>
      <c r="H216">
        <v>0.44095855184409838</v>
      </c>
      <c r="I216">
        <v>9</v>
      </c>
      <c r="J216">
        <v>-0.19633873230117829</v>
      </c>
      <c r="K216">
        <v>0.84755897127513358</v>
      </c>
      <c r="L216">
        <v>-5.1616723710391048E-3</v>
      </c>
    </row>
    <row r="217" spans="1:12" x14ac:dyDescent="0.25">
      <c r="A217">
        <v>52</v>
      </c>
      <c r="B217">
        <v>56</v>
      </c>
      <c r="C217" t="s">
        <v>23</v>
      </c>
      <c r="D217">
        <v>0.49</v>
      </c>
      <c r="E217">
        <v>0.09</v>
      </c>
      <c r="F217">
        <v>38</v>
      </c>
      <c r="G217">
        <v>0.44444444444444442</v>
      </c>
      <c r="H217">
        <v>0.11023963796102459</v>
      </c>
      <c r="I217">
        <v>9</v>
      </c>
      <c r="J217">
        <v>-1.152118239464661</v>
      </c>
      <c r="K217">
        <v>0.27443811778974919</v>
      </c>
      <c r="L217">
        <v>-0.27238778919177847</v>
      </c>
    </row>
    <row r="218" spans="1:12" x14ac:dyDescent="0.25">
      <c r="A218">
        <v>54</v>
      </c>
      <c r="B218">
        <v>58</v>
      </c>
      <c r="C218" t="s">
        <v>12</v>
      </c>
      <c r="D218">
        <v>56.06</v>
      </c>
      <c r="E218">
        <v>1.45</v>
      </c>
      <c r="F218">
        <v>32</v>
      </c>
      <c r="G218">
        <v>56.555555555555557</v>
      </c>
      <c r="H218">
        <v>1.509230856356236</v>
      </c>
      <c r="I218">
        <v>9</v>
      </c>
      <c r="J218">
        <v>0.87768831104201883</v>
      </c>
      <c r="K218">
        <v>0.39670058716606199</v>
      </c>
      <c r="L218">
        <v>0.13607178757202121</v>
      </c>
    </row>
    <row r="219" spans="1:12" x14ac:dyDescent="0.25">
      <c r="A219">
        <v>54</v>
      </c>
      <c r="B219">
        <v>58</v>
      </c>
      <c r="C219" t="s">
        <v>13</v>
      </c>
      <c r="D219">
        <v>5.68</v>
      </c>
      <c r="E219">
        <v>2.02</v>
      </c>
      <c r="F219">
        <v>32</v>
      </c>
      <c r="G219">
        <v>5.6111111111111107</v>
      </c>
      <c r="H219">
        <v>2.0883273476902779</v>
      </c>
      <c r="I219">
        <v>9</v>
      </c>
      <c r="J219">
        <v>-8.8053159381099783E-2</v>
      </c>
      <c r="K219">
        <v>0.93122500380371509</v>
      </c>
      <c r="L219">
        <v>-1.0479742099705491E-3</v>
      </c>
    </row>
    <row r="220" spans="1:12" x14ac:dyDescent="0.25">
      <c r="A220">
        <v>54</v>
      </c>
      <c r="B220">
        <v>58</v>
      </c>
      <c r="C220" t="s">
        <v>14</v>
      </c>
      <c r="D220">
        <v>8.24</v>
      </c>
      <c r="E220">
        <v>2.02</v>
      </c>
      <c r="F220">
        <v>32</v>
      </c>
      <c r="G220">
        <v>10.055555555555561</v>
      </c>
      <c r="H220">
        <v>1.4457792977414561</v>
      </c>
      <c r="I220">
        <v>9</v>
      </c>
      <c r="J220">
        <v>3.0269115713727128</v>
      </c>
      <c r="K220">
        <v>7.3122360961611656E-3</v>
      </c>
      <c r="L220">
        <v>2.0236677274959951</v>
      </c>
    </row>
    <row r="221" spans="1:12" x14ac:dyDescent="0.25">
      <c r="A221">
        <v>54</v>
      </c>
      <c r="B221">
        <v>58</v>
      </c>
      <c r="C221" t="s">
        <v>15</v>
      </c>
      <c r="D221">
        <v>9.33</v>
      </c>
      <c r="E221">
        <v>1.88</v>
      </c>
      <c r="F221">
        <v>32</v>
      </c>
      <c r="G221">
        <v>11.388888888888889</v>
      </c>
      <c r="H221">
        <v>0.96104688288923301</v>
      </c>
      <c r="I221">
        <v>9</v>
      </c>
      <c r="J221">
        <v>4.4603427619955651</v>
      </c>
      <c r="K221">
        <v>1.340700232321142E-4</v>
      </c>
      <c r="L221">
        <v>4.6043208825361273</v>
      </c>
    </row>
    <row r="222" spans="1:12" x14ac:dyDescent="0.25">
      <c r="A222">
        <v>54</v>
      </c>
      <c r="B222">
        <v>58</v>
      </c>
      <c r="C222" t="s">
        <v>16</v>
      </c>
      <c r="D222">
        <v>23.27</v>
      </c>
      <c r="E222">
        <v>5.28</v>
      </c>
      <c r="F222">
        <v>32</v>
      </c>
      <c r="G222">
        <v>27.055555555555561</v>
      </c>
      <c r="H222">
        <v>3.6094013046179532</v>
      </c>
      <c r="I222">
        <v>9</v>
      </c>
      <c r="J222">
        <v>2.4860190525208292</v>
      </c>
      <c r="K222">
        <v>2.2515110542548181E-2</v>
      </c>
      <c r="L222">
        <v>1.2515695629096939</v>
      </c>
    </row>
    <row r="223" spans="1:12" x14ac:dyDescent="0.25">
      <c r="A223">
        <v>54</v>
      </c>
      <c r="B223">
        <v>58</v>
      </c>
      <c r="C223" t="s">
        <v>17</v>
      </c>
      <c r="D223">
        <v>3.74</v>
      </c>
      <c r="E223">
        <v>1.8</v>
      </c>
      <c r="F223">
        <v>32</v>
      </c>
      <c r="G223">
        <v>5.833333333333333</v>
      </c>
      <c r="H223">
        <v>1.984313483298443</v>
      </c>
      <c r="I223">
        <v>9</v>
      </c>
      <c r="J223">
        <v>2.8519686511081841</v>
      </c>
      <c r="K223">
        <v>1.4605596583857849E-2</v>
      </c>
      <c r="L223">
        <v>2.0889703446166039</v>
      </c>
    </row>
    <row r="224" spans="1:12" x14ac:dyDescent="0.25">
      <c r="A224">
        <v>54</v>
      </c>
      <c r="B224">
        <v>58</v>
      </c>
      <c r="C224" t="s">
        <v>18</v>
      </c>
      <c r="D224">
        <v>8.81</v>
      </c>
      <c r="E224">
        <v>2.0499999999999998</v>
      </c>
      <c r="F224">
        <v>32</v>
      </c>
      <c r="G224">
        <v>10.83333333333333</v>
      </c>
      <c r="H224">
        <v>1.6393596310755001</v>
      </c>
      <c r="I224">
        <v>9</v>
      </c>
      <c r="J224">
        <v>3.0857724414641972</v>
      </c>
      <c r="K224">
        <v>7.1733074317251039E-3</v>
      </c>
      <c r="L224">
        <v>2.19926544085591</v>
      </c>
    </row>
    <row r="225" spans="1:12" x14ac:dyDescent="0.25">
      <c r="A225">
        <v>54</v>
      </c>
      <c r="B225">
        <v>58</v>
      </c>
      <c r="C225" t="s">
        <v>19</v>
      </c>
      <c r="D225">
        <v>93.99</v>
      </c>
      <c r="E225">
        <v>8.43</v>
      </c>
      <c r="F225">
        <v>32</v>
      </c>
      <c r="G225">
        <v>94.298245613333322</v>
      </c>
      <c r="H225">
        <v>9.4368343991985491</v>
      </c>
      <c r="I225">
        <v>9</v>
      </c>
      <c r="J225">
        <v>8.8557133853674211E-2</v>
      </c>
      <c r="K225">
        <v>0.93091412201332879</v>
      </c>
      <c r="L225">
        <v>1.1084165624199989E-3</v>
      </c>
    </row>
    <row r="226" spans="1:12" x14ac:dyDescent="0.25">
      <c r="A226">
        <v>54</v>
      </c>
      <c r="B226">
        <v>58</v>
      </c>
      <c r="C226" t="s">
        <v>20</v>
      </c>
      <c r="D226">
        <v>5.81</v>
      </c>
      <c r="E226">
        <v>0.47</v>
      </c>
      <c r="F226">
        <v>32</v>
      </c>
      <c r="G226">
        <v>5.8888888888888893</v>
      </c>
      <c r="H226">
        <v>0.33333333333333343</v>
      </c>
      <c r="I226">
        <v>9</v>
      </c>
      <c r="J226">
        <v>0.56860930702665635</v>
      </c>
      <c r="K226">
        <v>0.576649122017039</v>
      </c>
      <c r="L226">
        <v>4.2347347370210363E-2</v>
      </c>
    </row>
    <row r="227" spans="1:12" x14ac:dyDescent="0.25">
      <c r="A227">
        <v>54</v>
      </c>
      <c r="B227">
        <v>58</v>
      </c>
      <c r="C227" t="s">
        <v>21</v>
      </c>
      <c r="D227">
        <v>0.09</v>
      </c>
      <c r="E227">
        <v>0.28999999999999998</v>
      </c>
      <c r="F227">
        <v>32</v>
      </c>
      <c r="G227">
        <v>0</v>
      </c>
      <c r="H227">
        <v>0</v>
      </c>
      <c r="I227">
        <v>9</v>
      </c>
      <c r="J227">
        <v>-1.7555754567390141</v>
      </c>
      <c r="K227">
        <v>8.9039182458369004E-2</v>
      </c>
      <c r="L227">
        <v>-0.36564401500001642</v>
      </c>
    </row>
    <row r="228" spans="1:12" x14ac:dyDescent="0.25">
      <c r="A228">
        <v>54</v>
      </c>
      <c r="B228">
        <v>58</v>
      </c>
      <c r="C228" t="s">
        <v>22</v>
      </c>
      <c r="D228">
        <v>5.71</v>
      </c>
      <c r="E228">
        <v>0.57999999999999996</v>
      </c>
      <c r="F228">
        <v>32</v>
      </c>
      <c r="G228">
        <v>5.8888888888888893</v>
      </c>
      <c r="H228">
        <v>0.33333333333333343</v>
      </c>
      <c r="I228">
        <v>9</v>
      </c>
      <c r="J228">
        <v>1.1832119625274149</v>
      </c>
      <c r="K228">
        <v>0.24875867320270739</v>
      </c>
      <c r="L228">
        <v>0.20065077274307069</v>
      </c>
    </row>
    <row r="229" spans="1:12" x14ac:dyDescent="0.25">
      <c r="A229">
        <v>54</v>
      </c>
      <c r="B229">
        <v>58</v>
      </c>
      <c r="C229" t="s">
        <v>23</v>
      </c>
      <c r="D229">
        <v>0.48</v>
      </c>
      <c r="E229">
        <v>0.11</v>
      </c>
      <c r="F229">
        <v>32</v>
      </c>
      <c r="G229">
        <v>0.47222222222222221</v>
      </c>
      <c r="H229">
        <v>8.3333333333333343E-2</v>
      </c>
      <c r="I229">
        <v>9</v>
      </c>
      <c r="J229">
        <v>-0.2293810891016265</v>
      </c>
      <c r="K229">
        <v>0.8213542913984706</v>
      </c>
      <c r="L229">
        <v>-6.3260674040246769E-3</v>
      </c>
    </row>
    <row r="230" spans="1:12" x14ac:dyDescent="0.25">
      <c r="A230">
        <v>56</v>
      </c>
      <c r="B230">
        <v>60</v>
      </c>
      <c r="C230" t="s">
        <v>12</v>
      </c>
      <c r="D230">
        <v>58.11</v>
      </c>
      <c r="E230">
        <v>1.34</v>
      </c>
      <c r="F230">
        <v>34</v>
      </c>
      <c r="G230">
        <v>58.307692307692307</v>
      </c>
      <c r="H230">
        <v>1.5483655567842809</v>
      </c>
      <c r="I230">
        <v>13</v>
      </c>
      <c r="J230">
        <v>0.40588691278941053</v>
      </c>
      <c r="K230">
        <v>0.68929456542282519</v>
      </c>
      <c r="L230">
        <v>2.2841452222645789E-2</v>
      </c>
    </row>
    <row r="231" spans="1:12" x14ac:dyDescent="0.25">
      <c r="A231">
        <v>56</v>
      </c>
      <c r="B231">
        <v>60</v>
      </c>
      <c r="C231" t="s">
        <v>13</v>
      </c>
      <c r="D231">
        <v>5.58</v>
      </c>
      <c r="E231">
        <v>2.02</v>
      </c>
      <c r="F231">
        <v>34</v>
      </c>
      <c r="G231">
        <v>5.6923076923076934</v>
      </c>
      <c r="H231">
        <v>1.785805858457902</v>
      </c>
      <c r="I231">
        <v>13</v>
      </c>
      <c r="J231">
        <v>0.185809712870111</v>
      </c>
      <c r="K231">
        <v>0.85412490045084744</v>
      </c>
      <c r="L231">
        <v>3.9232417888815166E-3</v>
      </c>
    </row>
    <row r="232" spans="1:12" x14ac:dyDescent="0.25">
      <c r="A232">
        <v>56</v>
      </c>
      <c r="B232">
        <v>60</v>
      </c>
      <c r="C232" t="s">
        <v>14</v>
      </c>
      <c r="D232">
        <v>8.14</v>
      </c>
      <c r="E232">
        <v>2.04</v>
      </c>
      <c r="F232">
        <v>34</v>
      </c>
      <c r="G232">
        <v>9.8461538461538467</v>
      </c>
      <c r="H232">
        <v>1.573009527739414</v>
      </c>
      <c r="I232">
        <v>13</v>
      </c>
      <c r="J232">
        <v>3.0509123647925298</v>
      </c>
      <c r="K232">
        <v>4.9323884455507866E-3</v>
      </c>
      <c r="L232">
        <v>2.043009467104365</v>
      </c>
    </row>
    <row r="233" spans="1:12" x14ac:dyDescent="0.25">
      <c r="A233">
        <v>56</v>
      </c>
      <c r="B233">
        <v>60</v>
      </c>
      <c r="C233" t="s">
        <v>15</v>
      </c>
      <c r="D233">
        <v>9.24</v>
      </c>
      <c r="E233">
        <v>1.92</v>
      </c>
      <c r="F233">
        <v>34</v>
      </c>
      <c r="G233">
        <v>11.19230769230769</v>
      </c>
      <c r="H233">
        <v>1.031553471276484</v>
      </c>
      <c r="I233">
        <v>13</v>
      </c>
      <c r="J233">
        <v>4.4756329655160476</v>
      </c>
      <c r="K233">
        <v>6.2911126064371854E-5</v>
      </c>
      <c r="L233">
        <v>4.7457268352047102</v>
      </c>
    </row>
    <row r="234" spans="1:12" x14ac:dyDescent="0.25">
      <c r="A234">
        <v>56</v>
      </c>
      <c r="B234">
        <v>60</v>
      </c>
      <c r="C234" t="s">
        <v>16</v>
      </c>
      <c r="D234">
        <v>22.96</v>
      </c>
      <c r="E234">
        <v>5.34</v>
      </c>
      <c r="F234">
        <v>34</v>
      </c>
      <c r="G234">
        <v>26.73076923076923</v>
      </c>
      <c r="H234">
        <v>3.3330128051020691</v>
      </c>
      <c r="I234">
        <v>13</v>
      </c>
      <c r="J234">
        <v>2.8978232964670751</v>
      </c>
      <c r="K234">
        <v>6.4526068146271076E-3</v>
      </c>
      <c r="L234">
        <v>1.690306651519687</v>
      </c>
    </row>
    <row r="235" spans="1:12" x14ac:dyDescent="0.25">
      <c r="A235">
        <v>56</v>
      </c>
      <c r="B235">
        <v>60</v>
      </c>
      <c r="C235" t="s">
        <v>17</v>
      </c>
      <c r="D235">
        <v>3.74</v>
      </c>
      <c r="E235">
        <v>1.81</v>
      </c>
      <c r="F235">
        <v>34</v>
      </c>
      <c r="G235">
        <v>5.5384615384615383</v>
      </c>
      <c r="H235">
        <v>1.9627949721160649</v>
      </c>
      <c r="I235">
        <v>13</v>
      </c>
      <c r="J235">
        <v>2.8699005755621738</v>
      </c>
      <c r="K235">
        <v>9.3772779955766435E-3</v>
      </c>
      <c r="L235">
        <v>1.9693221142131729</v>
      </c>
    </row>
    <row r="236" spans="1:12" x14ac:dyDescent="0.25">
      <c r="A236">
        <v>56</v>
      </c>
      <c r="B236">
        <v>60</v>
      </c>
      <c r="C236" t="s">
        <v>18</v>
      </c>
      <c r="D236">
        <v>8.6999999999999993</v>
      </c>
      <c r="E236">
        <v>2.09</v>
      </c>
      <c r="F236">
        <v>34</v>
      </c>
      <c r="G236">
        <v>10.5</v>
      </c>
      <c r="H236">
        <v>1.607275126832159</v>
      </c>
      <c r="I236">
        <v>13</v>
      </c>
      <c r="J236">
        <v>3.1468171851731261</v>
      </c>
      <c r="K236">
        <v>3.8708434644477972E-3</v>
      </c>
      <c r="L236">
        <v>2.2008444147808892</v>
      </c>
    </row>
    <row r="237" spans="1:12" x14ac:dyDescent="0.25">
      <c r="A237">
        <v>56</v>
      </c>
      <c r="B237">
        <v>60</v>
      </c>
      <c r="C237" t="s">
        <v>19</v>
      </c>
      <c r="D237">
        <v>93.88</v>
      </c>
      <c r="E237">
        <v>8.86</v>
      </c>
      <c r="F237">
        <v>34</v>
      </c>
      <c r="G237">
        <v>93.250643217692314</v>
      </c>
      <c r="H237">
        <v>9.5875622493041828</v>
      </c>
      <c r="I237">
        <v>13</v>
      </c>
      <c r="J237">
        <v>-0.20549572608916691</v>
      </c>
      <c r="K237">
        <v>0.83922876075609398</v>
      </c>
      <c r="L237">
        <v>-5.2878402453228786E-3</v>
      </c>
    </row>
    <row r="238" spans="1:12" x14ac:dyDescent="0.25">
      <c r="A238">
        <v>56</v>
      </c>
      <c r="B238">
        <v>60</v>
      </c>
      <c r="C238" t="s">
        <v>20</v>
      </c>
      <c r="D238">
        <v>5.82</v>
      </c>
      <c r="E238">
        <v>0.45</v>
      </c>
      <c r="F238">
        <v>34</v>
      </c>
      <c r="G238">
        <v>5.9230769230769234</v>
      </c>
      <c r="H238">
        <v>0.27735009811261452</v>
      </c>
      <c r="I238">
        <v>13</v>
      </c>
      <c r="J238">
        <v>0.9459767050077067</v>
      </c>
      <c r="K238">
        <v>0.35058993723008552</v>
      </c>
      <c r="L238">
        <v>0.1141312050288126</v>
      </c>
    </row>
    <row r="239" spans="1:12" x14ac:dyDescent="0.25">
      <c r="A239">
        <v>56</v>
      </c>
      <c r="B239">
        <v>60</v>
      </c>
      <c r="C239" t="s">
        <v>21</v>
      </c>
      <c r="D239">
        <v>0.05</v>
      </c>
      <c r="E239">
        <v>0.23</v>
      </c>
      <c r="F239">
        <v>34</v>
      </c>
      <c r="G239">
        <v>0</v>
      </c>
      <c r="H239">
        <v>0</v>
      </c>
      <c r="I239">
        <v>13</v>
      </c>
      <c r="J239">
        <v>-1.2675982380098481</v>
      </c>
      <c r="K239">
        <v>0.2138132284189771</v>
      </c>
      <c r="L239">
        <v>-0.17007631925024419</v>
      </c>
    </row>
    <row r="240" spans="1:12" x14ac:dyDescent="0.25">
      <c r="A240">
        <v>56</v>
      </c>
      <c r="B240">
        <v>60</v>
      </c>
      <c r="C240" t="s">
        <v>22</v>
      </c>
      <c r="D240">
        <v>5.76</v>
      </c>
      <c r="E240">
        <v>0.55000000000000004</v>
      </c>
      <c r="F240">
        <v>34</v>
      </c>
      <c r="G240">
        <v>5.9230769230769234</v>
      </c>
      <c r="H240">
        <v>0.27735009811261452</v>
      </c>
      <c r="I240">
        <v>13</v>
      </c>
      <c r="J240">
        <v>1.3398406021402689</v>
      </c>
      <c r="K240">
        <v>0.18762663372409921</v>
      </c>
      <c r="L240">
        <v>0.2407314866238322</v>
      </c>
    </row>
    <row r="241" spans="1:12" x14ac:dyDescent="0.25">
      <c r="A241">
        <v>56</v>
      </c>
      <c r="B241">
        <v>60</v>
      </c>
      <c r="C241" t="s">
        <v>23</v>
      </c>
      <c r="D241">
        <v>0.47</v>
      </c>
      <c r="E241">
        <v>0.1</v>
      </c>
      <c r="F241">
        <v>34</v>
      </c>
      <c r="G241">
        <v>0.48076923076923078</v>
      </c>
      <c r="H241">
        <v>6.9337524528153643E-2</v>
      </c>
      <c r="I241">
        <v>13</v>
      </c>
      <c r="J241">
        <v>0.41794604805234142</v>
      </c>
      <c r="K241">
        <v>0.67882698053589652</v>
      </c>
      <c r="L241">
        <v>1.9519960883891459E-2</v>
      </c>
    </row>
    <row r="242" spans="1:12" x14ac:dyDescent="0.25">
      <c r="A242">
        <v>58</v>
      </c>
      <c r="B242">
        <v>62</v>
      </c>
      <c r="C242" t="s">
        <v>12</v>
      </c>
      <c r="D242">
        <v>59.65</v>
      </c>
      <c r="E242">
        <v>1.44</v>
      </c>
      <c r="F242">
        <v>29</v>
      </c>
      <c r="G242">
        <v>59.333333333333343</v>
      </c>
      <c r="H242">
        <v>1.154700538379251</v>
      </c>
      <c r="I242">
        <v>12</v>
      </c>
      <c r="J242">
        <v>-0.74102805534220062</v>
      </c>
      <c r="K242">
        <v>0.46543166412548048</v>
      </c>
      <c r="L242">
        <v>-7.7021492984021181E-2</v>
      </c>
    </row>
    <row r="243" spans="1:12" x14ac:dyDescent="0.25">
      <c r="A243">
        <v>58</v>
      </c>
      <c r="B243">
        <v>62</v>
      </c>
      <c r="C243" t="s">
        <v>13</v>
      </c>
      <c r="D243">
        <v>5.48</v>
      </c>
      <c r="E243">
        <v>2.02</v>
      </c>
      <c r="F243">
        <v>29</v>
      </c>
      <c r="G243">
        <v>5.791666666666667</v>
      </c>
      <c r="H243">
        <v>1.789595349555736</v>
      </c>
      <c r="I243">
        <v>12</v>
      </c>
      <c r="J243">
        <v>0.48817779736322731</v>
      </c>
      <c r="K243">
        <v>0.63001985843392028</v>
      </c>
      <c r="L243">
        <v>3.1941887211748517E-2</v>
      </c>
    </row>
    <row r="244" spans="1:12" x14ac:dyDescent="0.25">
      <c r="A244">
        <v>58</v>
      </c>
      <c r="B244">
        <v>62</v>
      </c>
      <c r="C244" t="s">
        <v>14</v>
      </c>
      <c r="D244">
        <v>8.0299999999999994</v>
      </c>
      <c r="E244">
        <v>2.0499999999999998</v>
      </c>
      <c r="F244">
        <v>29</v>
      </c>
      <c r="G244">
        <v>9.8333333333333339</v>
      </c>
      <c r="H244">
        <v>1.6422453217986941</v>
      </c>
      <c r="I244">
        <v>12</v>
      </c>
      <c r="J244">
        <v>2.9660197327253708</v>
      </c>
      <c r="K244">
        <v>6.4560429084401204E-3</v>
      </c>
      <c r="L244">
        <v>2.0319062684392142</v>
      </c>
    </row>
    <row r="245" spans="1:12" x14ac:dyDescent="0.25">
      <c r="A245">
        <v>58</v>
      </c>
      <c r="B245">
        <v>62</v>
      </c>
      <c r="C245" t="s">
        <v>15</v>
      </c>
      <c r="D245">
        <v>9.14</v>
      </c>
      <c r="E245">
        <v>1.96</v>
      </c>
      <c r="F245">
        <v>29</v>
      </c>
      <c r="G245">
        <v>11.04166666666667</v>
      </c>
      <c r="H245">
        <v>1.0103629710818449</v>
      </c>
      <c r="I245">
        <v>12</v>
      </c>
      <c r="J245">
        <v>4.0772413413612894</v>
      </c>
      <c r="K245">
        <v>2.334357008679451E-4</v>
      </c>
      <c r="L245">
        <v>3.957266903617024</v>
      </c>
    </row>
    <row r="246" spans="1:12" x14ac:dyDescent="0.25">
      <c r="A246">
        <v>58</v>
      </c>
      <c r="B246">
        <v>62</v>
      </c>
      <c r="C246" t="s">
        <v>16</v>
      </c>
      <c r="D246">
        <v>22.66</v>
      </c>
      <c r="E246">
        <v>5.39</v>
      </c>
      <c r="F246">
        <v>29</v>
      </c>
      <c r="G246">
        <v>26.666666666666671</v>
      </c>
      <c r="H246">
        <v>3.5568968429679191</v>
      </c>
      <c r="I246">
        <v>12</v>
      </c>
      <c r="J246">
        <v>2.794230361757843</v>
      </c>
      <c r="K246">
        <v>8.8583474635890187E-3</v>
      </c>
      <c r="L246">
        <v>1.6640591239846929</v>
      </c>
    </row>
    <row r="247" spans="1:12" x14ac:dyDescent="0.25">
      <c r="A247">
        <v>58</v>
      </c>
      <c r="B247">
        <v>62</v>
      </c>
      <c r="C247" t="s">
        <v>17</v>
      </c>
      <c r="D247">
        <v>3.75</v>
      </c>
      <c r="E247">
        <v>1.82</v>
      </c>
      <c r="F247">
        <v>29</v>
      </c>
      <c r="G247">
        <v>5.291666666666667</v>
      </c>
      <c r="H247">
        <v>1.764013158749794</v>
      </c>
      <c r="I247">
        <v>12</v>
      </c>
      <c r="J247">
        <v>2.5224714017983629</v>
      </c>
      <c r="K247">
        <v>1.9705071694354381E-2</v>
      </c>
      <c r="L247">
        <v>1.457112869863701</v>
      </c>
    </row>
    <row r="248" spans="1:12" x14ac:dyDescent="0.25">
      <c r="A248">
        <v>58</v>
      </c>
      <c r="B248">
        <v>62</v>
      </c>
      <c r="C248" t="s">
        <v>18</v>
      </c>
      <c r="D248">
        <v>8.59</v>
      </c>
      <c r="E248">
        <v>2.13</v>
      </c>
      <c r="F248">
        <v>29</v>
      </c>
      <c r="G248">
        <v>10.45833333333333</v>
      </c>
      <c r="H248">
        <v>1.6160886189322741</v>
      </c>
      <c r="I248">
        <v>12</v>
      </c>
      <c r="J248">
        <v>3.0546840378863598</v>
      </c>
      <c r="K248">
        <v>5.0209869585022123E-3</v>
      </c>
      <c r="L248">
        <v>2.149483956926078</v>
      </c>
    </row>
    <row r="249" spans="1:12" x14ac:dyDescent="0.25">
      <c r="A249">
        <v>58</v>
      </c>
      <c r="B249">
        <v>62</v>
      </c>
      <c r="C249" t="s">
        <v>19</v>
      </c>
      <c r="D249">
        <v>93.71</v>
      </c>
      <c r="E249">
        <v>8.6999999999999993</v>
      </c>
      <c r="F249">
        <v>29</v>
      </c>
      <c r="G249">
        <v>94.077085708333342</v>
      </c>
      <c r="H249">
        <v>9.5179594686658717</v>
      </c>
      <c r="I249">
        <v>12</v>
      </c>
      <c r="J249">
        <v>0.11516901930417391</v>
      </c>
      <c r="K249">
        <v>0.90951787786198091</v>
      </c>
      <c r="L249">
        <v>1.6915771984512781E-3</v>
      </c>
    </row>
    <row r="250" spans="1:12" x14ac:dyDescent="0.25">
      <c r="A250">
        <v>58</v>
      </c>
      <c r="B250">
        <v>62</v>
      </c>
      <c r="C250" t="s">
        <v>20</v>
      </c>
      <c r="D250">
        <v>5.86</v>
      </c>
      <c r="E250">
        <v>0.44</v>
      </c>
      <c r="F250">
        <v>29</v>
      </c>
      <c r="G250">
        <v>5.833333333333333</v>
      </c>
      <c r="H250">
        <v>0.38924947208076149</v>
      </c>
      <c r="I250">
        <v>12</v>
      </c>
      <c r="J250">
        <v>-0.19194030201086881</v>
      </c>
      <c r="K250">
        <v>0.84946169412611516</v>
      </c>
      <c r="L250">
        <v>-4.4323432125286024E-3</v>
      </c>
    </row>
    <row r="251" spans="1:12" x14ac:dyDescent="0.25">
      <c r="A251">
        <v>58</v>
      </c>
      <c r="B251">
        <v>62</v>
      </c>
      <c r="C251" t="s">
        <v>21</v>
      </c>
      <c r="D251">
        <v>0</v>
      </c>
      <c r="E251">
        <v>0</v>
      </c>
      <c r="F251">
        <v>29</v>
      </c>
      <c r="G251">
        <v>0</v>
      </c>
      <c r="H251">
        <v>0</v>
      </c>
      <c r="I251">
        <v>12</v>
      </c>
    </row>
    <row r="252" spans="1:12" x14ac:dyDescent="0.25">
      <c r="A252">
        <v>58</v>
      </c>
      <c r="B252">
        <v>62</v>
      </c>
      <c r="C252" t="s">
        <v>22</v>
      </c>
      <c r="D252">
        <v>5.86</v>
      </c>
      <c r="E252">
        <v>0.44</v>
      </c>
      <c r="F252">
        <v>29</v>
      </c>
      <c r="G252">
        <v>5.833333333333333</v>
      </c>
      <c r="H252">
        <v>0.38924947208076149</v>
      </c>
      <c r="I252">
        <v>12</v>
      </c>
      <c r="J252">
        <v>-0.19194030201086881</v>
      </c>
      <c r="K252">
        <v>0.84946169412611516</v>
      </c>
      <c r="L252">
        <v>-4.4323432125286024E-3</v>
      </c>
    </row>
    <row r="253" spans="1:12" x14ac:dyDescent="0.25">
      <c r="A253">
        <v>58</v>
      </c>
      <c r="B253">
        <v>62</v>
      </c>
      <c r="C253" t="s">
        <v>23</v>
      </c>
      <c r="D253">
        <v>0.47</v>
      </c>
      <c r="E253">
        <v>0.08</v>
      </c>
      <c r="F253">
        <v>29</v>
      </c>
      <c r="G253">
        <v>0.45833333333333331</v>
      </c>
      <c r="H253">
        <v>9.7312368020190373E-2</v>
      </c>
      <c r="I253">
        <v>12</v>
      </c>
      <c r="J253">
        <v>-0.36713215658942733</v>
      </c>
      <c r="K253">
        <v>0.71792840541778902</v>
      </c>
      <c r="L253">
        <v>-1.969801355922925E-2</v>
      </c>
    </row>
    <row r="254" spans="1:12" x14ac:dyDescent="0.25">
      <c r="A254">
        <v>60</v>
      </c>
      <c r="B254">
        <v>64</v>
      </c>
      <c r="C254" t="s">
        <v>12</v>
      </c>
      <c r="D254">
        <v>62.3</v>
      </c>
      <c r="E254">
        <v>1.54</v>
      </c>
      <c r="F254">
        <v>26</v>
      </c>
      <c r="G254">
        <v>61.6</v>
      </c>
      <c r="H254">
        <v>1.712697677155351</v>
      </c>
      <c r="I254">
        <v>10</v>
      </c>
      <c r="J254">
        <v>-1.1288139195411739</v>
      </c>
      <c r="K254">
        <v>0.27676835374629222</v>
      </c>
      <c r="L254">
        <v>-0.24598917620656119</v>
      </c>
    </row>
    <row r="255" spans="1:12" x14ac:dyDescent="0.25">
      <c r="A255">
        <v>60</v>
      </c>
      <c r="B255">
        <v>64</v>
      </c>
      <c r="C255" t="s">
        <v>13</v>
      </c>
      <c r="D255">
        <v>5.38</v>
      </c>
      <c r="E255">
        <v>2.02</v>
      </c>
      <c r="F255">
        <v>26</v>
      </c>
      <c r="G255">
        <v>5.2</v>
      </c>
      <c r="H255">
        <v>1.206464071390257</v>
      </c>
      <c r="I255">
        <v>10</v>
      </c>
      <c r="J255">
        <v>-0.32727596375372431</v>
      </c>
      <c r="K255">
        <v>0.74594629314698602</v>
      </c>
      <c r="L255">
        <v>-1.245254292641545E-2</v>
      </c>
    </row>
    <row r="256" spans="1:12" x14ac:dyDescent="0.25">
      <c r="A256">
        <v>60</v>
      </c>
      <c r="B256">
        <v>64</v>
      </c>
      <c r="C256" t="s">
        <v>14</v>
      </c>
      <c r="D256">
        <v>7.93</v>
      </c>
      <c r="E256">
        <v>2.0699999999999998</v>
      </c>
      <c r="F256">
        <v>26</v>
      </c>
      <c r="G256">
        <v>9.3000000000000007</v>
      </c>
      <c r="H256">
        <v>1.7669811040931429</v>
      </c>
      <c r="I256">
        <v>10</v>
      </c>
      <c r="J256">
        <v>1.9835790407166189</v>
      </c>
      <c r="K256">
        <v>6.1870510602471951E-2</v>
      </c>
      <c r="L256">
        <v>0.83021018603642138</v>
      </c>
    </row>
    <row r="257" spans="1:12" x14ac:dyDescent="0.25">
      <c r="A257">
        <v>60</v>
      </c>
      <c r="B257">
        <v>64</v>
      </c>
      <c r="C257" t="s">
        <v>15</v>
      </c>
      <c r="D257">
        <v>9.0399999999999991</v>
      </c>
      <c r="E257">
        <v>2</v>
      </c>
      <c r="F257">
        <v>26</v>
      </c>
      <c r="G257">
        <v>10.75</v>
      </c>
      <c r="H257">
        <v>1.184389200295991</v>
      </c>
      <c r="I257">
        <v>10</v>
      </c>
      <c r="J257">
        <v>3.1530505181369568</v>
      </c>
      <c r="K257">
        <v>3.872133096598535E-3</v>
      </c>
      <c r="L257">
        <v>2.26623229005027</v>
      </c>
    </row>
    <row r="258" spans="1:12" x14ac:dyDescent="0.25">
      <c r="A258">
        <v>60</v>
      </c>
      <c r="B258">
        <v>64</v>
      </c>
      <c r="C258" t="s">
        <v>16</v>
      </c>
      <c r="D258">
        <v>22.35</v>
      </c>
      <c r="E258">
        <v>5.44</v>
      </c>
      <c r="F258">
        <v>26</v>
      </c>
      <c r="G258">
        <v>25.25</v>
      </c>
      <c r="H258">
        <v>3.1906982865127751</v>
      </c>
      <c r="I258">
        <v>10</v>
      </c>
      <c r="J258">
        <v>1.9749055618508109</v>
      </c>
      <c r="K258">
        <v>5.826980122528664E-2</v>
      </c>
      <c r="L258">
        <v>0.7239797644528434</v>
      </c>
    </row>
    <row r="259" spans="1:12" x14ac:dyDescent="0.25">
      <c r="A259">
        <v>60</v>
      </c>
      <c r="B259">
        <v>64</v>
      </c>
      <c r="C259" t="s">
        <v>17</v>
      </c>
      <c r="D259">
        <v>3.76</v>
      </c>
      <c r="E259">
        <v>1.83</v>
      </c>
      <c r="F259">
        <v>26</v>
      </c>
      <c r="G259">
        <v>5.55</v>
      </c>
      <c r="H259">
        <v>1.6741498671796911</v>
      </c>
      <c r="I259">
        <v>10</v>
      </c>
      <c r="J259">
        <v>2.7986464973930461</v>
      </c>
      <c r="K259">
        <v>1.195204590433132E-2</v>
      </c>
      <c r="L259">
        <v>1.9224862772900599</v>
      </c>
    </row>
    <row r="260" spans="1:12" x14ac:dyDescent="0.25">
      <c r="A260">
        <v>60</v>
      </c>
      <c r="B260">
        <v>64</v>
      </c>
      <c r="C260" t="s">
        <v>18</v>
      </c>
      <c r="D260">
        <v>8.48</v>
      </c>
      <c r="E260">
        <v>2.17</v>
      </c>
      <c r="F260">
        <v>26</v>
      </c>
      <c r="G260">
        <v>10.25</v>
      </c>
      <c r="H260">
        <v>1.3794121131039041</v>
      </c>
      <c r="I260">
        <v>10</v>
      </c>
      <c r="J260">
        <v>2.904414279205052</v>
      </c>
      <c r="K260">
        <v>7.4376382728194761E-3</v>
      </c>
      <c r="L260">
        <v>1.891812894398379</v>
      </c>
    </row>
    <row r="261" spans="1:12" x14ac:dyDescent="0.25">
      <c r="A261">
        <v>60</v>
      </c>
      <c r="B261">
        <v>64</v>
      </c>
      <c r="C261" t="s">
        <v>19</v>
      </c>
      <c r="D261">
        <v>90.66</v>
      </c>
      <c r="E261">
        <v>9.5399999999999991</v>
      </c>
      <c r="F261">
        <v>26</v>
      </c>
      <c r="G261">
        <v>95.684547338999977</v>
      </c>
      <c r="H261">
        <v>10.28350296971559</v>
      </c>
      <c r="I261">
        <v>10</v>
      </c>
      <c r="J261">
        <v>1.3392608976465541</v>
      </c>
      <c r="K261">
        <v>0.19999377819743841</v>
      </c>
      <c r="L261">
        <v>0.36049637123081069</v>
      </c>
    </row>
    <row r="262" spans="1:12" x14ac:dyDescent="0.25">
      <c r="A262">
        <v>60</v>
      </c>
      <c r="B262">
        <v>64</v>
      </c>
      <c r="C262" t="s">
        <v>20</v>
      </c>
      <c r="D262">
        <v>5.92</v>
      </c>
      <c r="E262">
        <v>0.27</v>
      </c>
      <c r="F262">
        <v>26</v>
      </c>
      <c r="G262">
        <v>5.7</v>
      </c>
      <c r="H262">
        <v>0.48304589153964789</v>
      </c>
      <c r="I262">
        <v>10</v>
      </c>
      <c r="J262">
        <v>-1.3607969296372631</v>
      </c>
      <c r="K262">
        <v>0.2002513742199199</v>
      </c>
      <c r="L262">
        <v>-0.45237659316410289</v>
      </c>
    </row>
    <row r="263" spans="1:12" x14ac:dyDescent="0.25">
      <c r="A263">
        <v>60</v>
      </c>
      <c r="B263">
        <v>64</v>
      </c>
      <c r="C263" t="s">
        <v>21</v>
      </c>
      <c r="D263">
        <v>0</v>
      </c>
      <c r="E263">
        <v>0</v>
      </c>
      <c r="F263">
        <v>26</v>
      </c>
      <c r="G263">
        <v>0</v>
      </c>
      <c r="H263">
        <v>0</v>
      </c>
      <c r="I263">
        <v>10</v>
      </c>
    </row>
    <row r="264" spans="1:12" x14ac:dyDescent="0.25">
      <c r="A264">
        <v>60</v>
      </c>
      <c r="B264">
        <v>64</v>
      </c>
      <c r="C264" t="s">
        <v>22</v>
      </c>
      <c r="D264">
        <v>5.92</v>
      </c>
      <c r="E264">
        <v>0.27</v>
      </c>
      <c r="F264">
        <v>26</v>
      </c>
      <c r="G264">
        <v>5.7</v>
      </c>
      <c r="H264">
        <v>0.48304589153964789</v>
      </c>
      <c r="I264">
        <v>10</v>
      </c>
      <c r="J264">
        <v>-1.3607969296372631</v>
      </c>
      <c r="K264">
        <v>0.2002513742199199</v>
      </c>
      <c r="L264">
        <v>-0.45237659316410289</v>
      </c>
    </row>
    <row r="265" spans="1:12" x14ac:dyDescent="0.25">
      <c r="A265">
        <v>60</v>
      </c>
      <c r="B265">
        <v>64</v>
      </c>
      <c r="C265" t="s">
        <v>23</v>
      </c>
      <c r="D265">
        <v>0.48</v>
      </c>
      <c r="E265">
        <v>0.06</v>
      </c>
      <c r="F265">
        <v>26</v>
      </c>
      <c r="G265">
        <v>0.42499999999999999</v>
      </c>
      <c r="H265">
        <v>0.120761472884912</v>
      </c>
      <c r="I265">
        <v>10</v>
      </c>
      <c r="J265">
        <v>-1.3763792761016329</v>
      </c>
      <c r="K265">
        <v>0.19668231443325879</v>
      </c>
      <c r="L265">
        <v>-0.48151470475424829</v>
      </c>
    </row>
    <row r="266" spans="1:12" x14ac:dyDescent="0.25">
      <c r="A266">
        <v>62</v>
      </c>
      <c r="B266">
        <v>66</v>
      </c>
      <c r="C266" t="s">
        <v>12</v>
      </c>
      <c r="D266">
        <v>63.85</v>
      </c>
      <c r="E266">
        <v>1.4</v>
      </c>
      <c r="F266">
        <v>27</v>
      </c>
      <c r="G266">
        <v>64.571428571428569</v>
      </c>
      <c r="H266">
        <v>1.397276262011544</v>
      </c>
      <c r="I266">
        <v>7</v>
      </c>
      <c r="J266">
        <v>1.2168249478558519</v>
      </c>
      <c r="K266">
        <v>0.25339118410470279</v>
      </c>
      <c r="L266">
        <v>0.30734191528250882</v>
      </c>
    </row>
    <row r="267" spans="1:12" x14ac:dyDescent="0.25">
      <c r="A267">
        <v>62</v>
      </c>
      <c r="B267">
        <v>66</v>
      </c>
      <c r="C267" t="s">
        <v>13</v>
      </c>
      <c r="D267">
        <v>5.28</v>
      </c>
      <c r="E267">
        <v>2.02</v>
      </c>
      <c r="F267">
        <v>27</v>
      </c>
      <c r="G267">
        <v>5.3571428571428568</v>
      </c>
      <c r="H267">
        <v>1.9086270308410549</v>
      </c>
      <c r="I267">
        <v>7</v>
      </c>
      <c r="J267">
        <v>9.413728916627484E-2</v>
      </c>
      <c r="K267">
        <v>0.92689692899527798</v>
      </c>
      <c r="L267">
        <v>1.271904985375375E-3</v>
      </c>
    </row>
    <row r="268" spans="1:12" x14ac:dyDescent="0.25">
      <c r="A268">
        <v>62</v>
      </c>
      <c r="B268">
        <v>66</v>
      </c>
      <c r="C268" t="s">
        <v>14</v>
      </c>
      <c r="D268">
        <v>7.82</v>
      </c>
      <c r="E268">
        <v>2.08</v>
      </c>
      <c r="F268">
        <v>27</v>
      </c>
      <c r="G268">
        <v>8.6428571428571423</v>
      </c>
      <c r="H268">
        <v>3.1186840936828588</v>
      </c>
      <c r="I268">
        <v>7</v>
      </c>
      <c r="J268">
        <v>0.66100026418183022</v>
      </c>
      <c r="K268">
        <v>0.52854141973808111</v>
      </c>
      <c r="L268">
        <v>9.8617956031239878E-2</v>
      </c>
    </row>
    <row r="269" spans="1:12" x14ac:dyDescent="0.25">
      <c r="A269">
        <v>62</v>
      </c>
      <c r="B269">
        <v>66</v>
      </c>
      <c r="C269" t="s">
        <v>15</v>
      </c>
      <c r="D269">
        <v>8.9700000000000006</v>
      </c>
      <c r="E269">
        <v>2.04</v>
      </c>
      <c r="F269">
        <v>27</v>
      </c>
      <c r="G269">
        <v>10.28571428571429</v>
      </c>
      <c r="H269">
        <v>2.1185125060039738</v>
      </c>
      <c r="I269">
        <v>7</v>
      </c>
      <c r="J269">
        <v>1.47536299084463</v>
      </c>
      <c r="K269">
        <v>0.17381868254292271</v>
      </c>
      <c r="L269">
        <v>0.48654037625790109</v>
      </c>
    </row>
    <row r="270" spans="1:12" x14ac:dyDescent="0.25">
      <c r="A270">
        <v>62</v>
      </c>
      <c r="B270">
        <v>66</v>
      </c>
      <c r="C270" t="s">
        <v>16</v>
      </c>
      <c r="D270">
        <v>22.05</v>
      </c>
      <c r="E270">
        <v>5.5</v>
      </c>
      <c r="F270">
        <v>27</v>
      </c>
      <c r="G270">
        <v>24.285714285714281</v>
      </c>
      <c r="H270">
        <v>6.6260668503088542</v>
      </c>
      <c r="I270">
        <v>7</v>
      </c>
      <c r="J270">
        <v>0.82228287533384947</v>
      </c>
      <c r="K270">
        <v>0.43397139595124801</v>
      </c>
      <c r="L270">
        <v>0.14150312155504671</v>
      </c>
    </row>
    <row r="271" spans="1:12" x14ac:dyDescent="0.25">
      <c r="A271">
        <v>62</v>
      </c>
      <c r="B271">
        <v>66</v>
      </c>
      <c r="C271" t="s">
        <v>17</v>
      </c>
      <c r="D271">
        <v>3.76</v>
      </c>
      <c r="E271">
        <v>1.83</v>
      </c>
      <c r="F271">
        <v>27</v>
      </c>
      <c r="G271">
        <v>4.9285714285714288</v>
      </c>
      <c r="H271">
        <v>1.789519754677481</v>
      </c>
      <c r="I271">
        <v>7</v>
      </c>
      <c r="J271">
        <v>1.5324076361740739</v>
      </c>
      <c r="K271">
        <v>0.15790980893800699</v>
      </c>
      <c r="L271">
        <v>0.51397931033937316</v>
      </c>
    </row>
    <row r="272" spans="1:12" x14ac:dyDescent="0.25">
      <c r="A272">
        <v>62</v>
      </c>
      <c r="B272">
        <v>66</v>
      </c>
      <c r="C272" t="s">
        <v>18</v>
      </c>
      <c r="D272">
        <v>8.3699999999999992</v>
      </c>
      <c r="E272">
        <v>2.2000000000000002</v>
      </c>
      <c r="F272">
        <v>27</v>
      </c>
      <c r="G272">
        <v>9.9285714285714288</v>
      </c>
      <c r="H272">
        <v>2.5565043097390401</v>
      </c>
      <c r="I272">
        <v>7</v>
      </c>
      <c r="J272">
        <v>1.4773801293657021</v>
      </c>
      <c r="K272">
        <v>0.17583348720646741</v>
      </c>
      <c r="L272">
        <v>0.51805611937616514</v>
      </c>
    </row>
    <row r="273" spans="1:12" x14ac:dyDescent="0.25">
      <c r="A273">
        <v>62</v>
      </c>
      <c r="B273">
        <v>66</v>
      </c>
      <c r="C273" t="s">
        <v>19</v>
      </c>
      <c r="D273">
        <v>89.46</v>
      </c>
      <c r="E273">
        <v>11.61</v>
      </c>
      <c r="F273">
        <v>27</v>
      </c>
      <c r="G273">
        <v>95.600279641428571</v>
      </c>
      <c r="H273">
        <v>11.290356870349621</v>
      </c>
      <c r="I273">
        <v>7</v>
      </c>
      <c r="J273">
        <v>1.274734517420099</v>
      </c>
      <c r="K273">
        <v>0.23246840007199271</v>
      </c>
      <c r="L273">
        <v>0.33683577350382488</v>
      </c>
    </row>
    <row r="274" spans="1:12" x14ac:dyDescent="0.25">
      <c r="A274">
        <v>62</v>
      </c>
      <c r="B274">
        <v>66</v>
      </c>
      <c r="C274" t="s">
        <v>20</v>
      </c>
      <c r="D274">
        <v>5.92</v>
      </c>
      <c r="E274">
        <v>0.26</v>
      </c>
      <c r="F274">
        <v>27</v>
      </c>
      <c r="G274">
        <v>5.8571428571428568</v>
      </c>
      <c r="H274">
        <v>0.37796447300922731</v>
      </c>
      <c r="I274">
        <v>7</v>
      </c>
      <c r="J274">
        <v>-0.41526410900600957</v>
      </c>
      <c r="K274">
        <v>0.68951799836376737</v>
      </c>
      <c r="L274">
        <v>-3.5502995652865937E-2</v>
      </c>
    </row>
    <row r="275" spans="1:12" x14ac:dyDescent="0.25">
      <c r="A275">
        <v>62</v>
      </c>
      <c r="B275">
        <v>66</v>
      </c>
      <c r="C275" t="s">
        <v>21</v>
      </c>
      <c r="D275">
        <v>0</v>
      </c>
      <c r="E275">
        <v>0</v>
      </c>
      <c r="F275">
        <v>27</v>
      </c>
      <c r="G275">
        <v>0</v>
      </c>
      <c r="H275">
        <v>0</v>
      </c>
      <c r="I275">
        <v>7</v>
      </c>
    </row>
    <row r="276" spans="1:12" x14ac:dyDescent="0.25">
      <c r="A276">
        <v>62</v>
      </c>
      <c r="B276">
        <v>66</v>
      </c>
      <c r="C276" t="s">
        <v>22</v>
      </c>
      <c r="D276">
        <v>5.92</v>
      </c>
      <c r="E276">
        <v>0.26</v>
      </c>
      <c r="F276">
        <v>27</v>
      </c>
      <c r="G276">
        <v>5.8571428571428568</v>
      </c>
      <c r="H276">
        <v>0.37796447300922731</v>
      </c>
      <c r="I276">
        <v>7</v>
      </c>
      <c r="J276">
        <v>-0.41526410900600957</v>
      </c>
      <c r="K276">
        <v>0.68951799836376737</v>
      </c>
      <c r="L276">
        <v>-3.5502995652865937E-2</v>
      </c>
    </row>
    <row r="277" spans="1:12" x14ac:dyDescent="0.25">
      <c r="A277">
        <v>62</v>
      </c>
      <c r="B277">
        <v>66</v>
      </c>
      <c r="C277" t="s">
        <v>23</v>
      </c>
      <c r="D277">
        <v>0.48</v>
      </c>
      <c r="E277">
        <v>0.06</v>
      </c>
      <c r="F277">
        <v>27</v>
      </c>
      <c r="G277">
        <v>0.4642857142857143</v>
      </c>
      <c r="H277">
        <v>9.4491118252306813E-2</v>
      </c>
      <c r="I277">
        <v>7</v>
      </c>
      <c r="J277">
        <v>-0.41866172938353191</v>
      </c>
      <c r="K277">
        <v>0.68750462919865041</v>
      </c>
      <c r="L277">
        <v>-3.7706002240096632E-2</v>
      </c>
    </row>
    <row r="278" spans="1:12" x14ac:dyDescent="0.25">
      <c r="A278">
        <v>64</v>
      </c>
      <c r="B278">
        <v>68</v>
      </c>
      <c r="C278" t="s">
        <v>12</v>
      </c>
      <c r="D278">
        <v>65.88</v>
      </c>
      <c r="E278">
        <v>1.52</v>
      </c>
      <c r="F278">
        <v>27</v>
      </c>
      <c r="G278">
        <v>66.444444444444443</v>
      </c>
      <c r="H278">
        <v>1.666666666666667</v>
      </c>
      <c r="I278">
        <v>9</v>
      </c>
      <c r="J278">
        <v>0.89899254910550008</v>
      </c>
      <c r="K278">
        <v>0.38532115879072182</v>
      </c>
      <c r="L278">
        <v>0.1502679418340552</v>
      </c>
    </row>
    <row r="279" spans="1:12" x14ac:dyDescent="0.25">
      <c r="A279">
        <v>64</v>
      </c>
      <c r="B279">
        <v>68</v>
      </c>
      <c r="C279" t="s">
        <v>13</v>
      </c>
      <c r="D279">
        <v>5.18</v>
      </c>
      <c r="E279">
        <v>2.02</v>
      </c>
      <c r="F279">
        <v>27</v>
      </c>
      <c r="G279">
        <v>5.6111111111111107</v>
      </c>
      <c r="H279">
        <v>2.98724138815582</v>
      </c>
      <c r="I279">
        <v>9</v>
      </c>
      <c r="J279">
        <v>0.40330613925386349</v>
      </c>
      <c r="K279">
        <v>0.6947765661578349</v>
      </c>
      <c r="L279">
        <v>2.9842645273650881E-2</v>
      </c>
    </row>
    <row r="280" spans="1:12" x14ac:dyDescent="0.25">
      <c r="A280">
        <v>64</v>
      </c>
      <c r="B280">
        <v>68</v>
      </c>
      <c r="C280" t="s">
        <v>14</v>
      </c>
      <c r="D280">
        <v>7.72</v>
      </c>
      <c r="E280">
        <v>2.1</v>
      </c>
      <c r="F280">
        <v>27</v>
      </c>
      <c r="G280">
        <v>7.7777777777777777</v>
      </c>
      <c r="H280">
        <v>3.6151686605806441</v>
      </c>
      <c r="I280">
        <v>9</v>
      </c>
      <c r="J280">
        <v>4.5457775841248133E-2</v>
      </c>
      <c r="K280">
        <v>0.96464967800438584</v>
      </c>
      <c r="L280">
        <v>3.5565919647933408E-4</v>
      </c>
    </row>
    <row r="281" spans="1:12" x14ac:dyDescent="0.25">
      <c r="A281">
        <v>64</v>
      </c>
      <c r="B281">
        <v>68</v>
      </c>
      <c r="C281" t="s">
        <v>15</v>
      </c>
      <c r="D281">
        <v>8.84</v>
      </c>
      <c r="E281">
        <v>2.08</v>
      </c>
      <c r="F281">
        <v>27</v>
      </c>
      <c r="G281">
        <v>10.055555555555561</v>
      </c>
      <c r="H281">
        <v>1.991300524224753</v>
      </c>
      <c r="I281">
        <v>9</v>
      </c>
      <c r="J281">
        <v>1.568199722731916</v>
      </c>
      <c r="K281">
        <v>0.1386988487935544</v>
      </c>
      <c r="L281">
        <v>0.50637128008004273</v>
      </c>
    </row>
    <row r="282" spans="1:12" x14ac:dyDescent="0.25">
      <c r="A282">
        <v>64</v>
      </c>
      <c r="B282">
        <v>68</v>
      </c>
      <c r="C282" t="s">
        <v>16</v>
      </c>
      <c r="D282">
        <v>21.74</v>
      </c>
      <c r="E282">
        <v>5.55</v>
      </c>
      <c r="F282">
        <v>27</v>
      </c>
      <c r="G282">
        <v>23.444444444444439</v>
      </c>
      <c r="H282">
        <v>7.9704314674788952</v>
      </c>
      <c r="I282">
        <v>9</v>
      </c>
      <c r="J282">
        <v>0.5952368626691712</v>
      </c>
      <c r="K282">
        <v>0.56405166818731334</v>
      </c>
      <c r="L282">
        <v>6.8309454546748236E-2</v>
      </c>
    </row>
    <row r="283" spans="1:12" x14ac:dyDescent="0.25">
      <c r="A283">
        <v>64</v>
      </c>
      <c r="B283">
        <v>68</v>
      </c>
      <c r="C283" t="s">
        <v>17</v>
      </c>
      <c r="D283">
        <v>3.77</v>
      </c>
      <c r="E283">
        <v>1.84</v>
      </c>
      <c r="F283">
        <v>27</v>
      </c>
      <c r="G283">
        <v>4.4444444444444446</v>
      </c>
      <c r="H283">
        <v>2.1570298509241308</v>
      </c>
      <c r="I283">
        <v>9</v>
      </c>
      <c r="J283">
        <v>0.84150028220373985</v>
      </c>
      <c r="K283">
        <v>0.41634701665824608</v>
      </c>
      <c r="L283">
        <v>0.13372298024917301</v>
      </c>
    </row>
    <row r="284" spans="1:12" x14ac:dyDescent="0.25">
      <c r="A284">
        <v>64</v>
      </c>
      <c r="B284">
        <v>68</v>
      </c>
      <c r="C284" t="s">
        <v>18</v>
      </c>
      <c r="D284">
        <v>8.26</v>
      </c>
      <c r="E284">
        <v>2.2400000000000002</v>
      </c>
      <c r="F284">
        <v>27</v>
      </c>
      <c r="G284">
        <v>9.3333333333333339</v>
      </c>
      <c r="H284">
        <v>2.738612787525831</v>
      </c>
      <c r="I284">
        <v>9</v>
      </c>
      <c r="J284">
        <v>1.063190830464275</v>
      </c>
      <c r="K284">
        <v>0.30899513901816977</v>
      </c>
      <c r="L284">
        <v>0.23130566588145049</v>
      </c>
    </row>
    <row r="285" spans="1:12" x14ac:dyDescent="0.25">
      <c r="A285">
        <v>64</v>
      </c>
      <c r="B285">
        <v>68</v>
      </c>
      <c r="C285" t="s">
        <v>19</v>
      </c>
      <c r="D285">
        <v>90.29</v>
      </c>
      <c r="E285">
        <v>12.55</v>
      </c>
      <c r="F285">
        <v>27</v>
      </c>
      <c r="G285">
        <v>91.877673985555546</v>
      </c>
      <c r="H285">
        <v>16.12915394696935</v>
      </c>
      <c r="I285">
        <v>9</v>
      </c>
      <c r="J285">
        <v>0.26937237858952462</v>
      </c>
      <c r="K285">
        <v>0.79245165308927401</v>
      </c>
      <c r="L285">
        <v>1.1900805517913299E-2</v>
      </c>
    </row>
    <row r="286" spans="1:12" x14ac:dyDescent="0.25">
      <c r="A286">
        <v>64</v>
      </c>
      <c r="B286">
        <v>68</v>
      </c>
      <c r="C286" t="s">
        <v>20</v>
      </c>
      <c r="D286">
        <v>5.88</v>
      </c>
      <c r="E286">
        <v>0.32</v>
      </c>
      <c r="F286">
        <v>27</v>
      </c>
      <c r="G286">
        <v>5.8888888888888893</v>
      </c>
      <c r="H286">
        <v>0.33333333333333343</v>
      </c>
      <c r="I286">
        <v>9</v>
      </c>
      <c r="J286">
        <v>6.9971142854135887E-2</v>
      </c>
      <c r="K286">
        <v>0.94525898891062088</v>
      </c>
      <c r="L286">
        <v>6.7244737781263064E-4</v>
      </c>
    </row>
    <row r="287" spans="1:12" x14ac:dyDescent="0.25">
      <c r="A287">
        <v>64</v>
      </c>
      <c r="B287">
        <v>68</v>
      </c>
      <c r="C287" t="s">
        <v>21</v>
      </c>
      <c r="D287">
        <v>0.03</v>
      </c>
      <c r="E287">
        <v>0.19</v>
      </c>
      <c r="F287">
        <v>27</v>
      </c>
      <c r="G287">
        <v>0</v>
      </c>
      <c r="H287">
        <v>0</v>
      </c>
      <c r="I287">
        <v>9</v>
      </c>
      <c r="J287">
        <v>-0.8204451193747313</v>
      </c>
      <c r="K287">
        <v>0.41942118314363103</v>
      </c>
      <c r="L287">
        <v>-6.813407702382758E-2</v>
      </c>
    </row>
    <row r="288" spans="1:12" x14ac:dyDescent="0.25">
      <c r="A288">
        <v>64</v>
      </c>
      <c r="B288">
        <v>68</v>
      </c>
      <c r="C288" t="s">
        <v>22</v>
      </c>
      <c r="D288">
        <v>5.85</v>
      </c>
      <c r="E288">
        <v>0.36</v>
      </c>
      <c r="F288">
        <v>27</v>
      </c>
      <c r="G288">
        <v>5.8888888888888893</v>
      </c>
      <c r="H288">
        <v>0.33333333333333343</v>
      </c>
      <c r="I288">
        <v>9</v>
      </c>
      <c r="J288">
        <v>0.29699435206968788</v>
      </c>
      <c r="K288">
        <v>0.77061383444090525</v>
      </c>
      <c r="L288">
        <v>1.2434904338671039E-2</v>
      </c>
    </row>
    <row r="289" spans="1:12" x14ac:dyDescent="0.25">
      <c r="A289">
        <v>64</v>
      </c>
      <c r="B289">
        <v>68</v>
      </c>
      <c r="C289" t="s">
        <v>23</v>
      </c>
      <c r="D289">
        <v>0.48</v>
      </c>
      <c r="E289">
        <v>0.09</v>
      </c>
      <c r="F289">
        <v>27</v>
      </c>
      <c r="G289">
        <v>0.47222222222222221</v>
      </c>
      <c r="H289">
        <v>8.3333333333333343E-2</v>
      </c>
      <c r="I289">
        <v>9</v>
      </c>
      <c r="J289">
        <v>-0.23759548165574559</v>
      </c>
      <c r="K289">
        <v>0.81546476145596258</v>
      </c>
      <c r="L289">
        <v>-7.7881706634774193E-3</v>
      </c>
    </row>
    <row r="290" spans="1:12" x14ac:dyDescent="0.25">
      <c r="A290">
        <v>66</v>
      </c>
      <c r="B290">
        <v>70</v>
      </c>
      <c r="C290" t="s">
        <v>12</v>
      </c>
      <c r="D290">
        <v>68.099999999999994</v>
      </c>
      <c r="E290">
        <v>1.42</v>
      </c>
      <c r="F290">
        <v>29</v>
      </c>
      <c r="G290">
        <v>67.8</v>
      </c>
      <c r="H290">
        <v>1.398411797560202</v>
      </c>
      <c r="I290">
        <v>10</v>
      </c>
      <c r="J290">
        <v>-0.5826763290279211</v>
      </c>
      <c r="K290">
        <v>0.56828739494032754</v>
      </c>
      <c r="L290">
        <v>-5.2043171436356173E-2</v>
      </c>
    </row>
    <row r="291" spans="1:12" x14ac:dyDescent="0.25">
      <c r="A291">
        <v>66</v>
      </c>
      <c r="B291">
        <v>70</v>
      </c>
      <c r="C291" t="s">
        <v>13</v>
      </c>
      <c r="D291">
        <v>5.07</v>
      </c>
      <c r="E291">
        <v>2.02</v>
      </c>
      <c r="F291">
        <v>29</v>
      </c>
      <c r="G291">
        <v>5.3</v>
      </c>
      <c r="H291">
        <v>2.8693785622209789</v>
      </c>
      <c r="I291">
        <v>10</v>
      </c>
      <c r="J291">
        <v>0.2342507736719345</v>
      </c>
      <c r="K291">
        <v>0.81866778898058468</v>
      </c>
      <c r="L291">
        <v>8.8577981544041041E-3</v>
      </c>
    </row>
    <row r="292" spans="1:12" x14ac:dyDescent="0.25">
      <c r="A292">
        <v>66</v>
      </c>
      <c r="B292">
        <v>70</v>
      </c>
      <c r="C292" t="s">
        <v>14</v>
      </c>
      <c r="D292">
        <v>7.61</v>
      </c>
      <c r="E292">
        <v>2.11</v>
      </c>
      <c r="F292">
        <v>29</v>
      </c>
      <c r="G292">
        <v>7.95</v>
      </c>
      <c r="H292">
        <v>3.3203915431767981</v>
      </c>
      <c r="I292">
        <v>10</v>
      </c>
      <c r="J292">
        <v>0.3033755106656752</v>
      </c>
      <c r="K292">
        <v>0.76697185190733075</v>
      </c>
      <c r="L292">
        <v>1.5925698170726921E-2</v>
      </c>
    </row>
    <row r="293" spans="1:12" x14ac:dyDescent="0.25">
      <c r="A293">
        <v>66</v>
      </c>
      <c r="B293">
        <v>70</v>
      </c>
      <c r="C293" t="s">
        <v>15</v>
      </c>
      <c r="D293">
        <v>8.75</v>
      </c>
      <c r="E293">
        <v>2.12</v>
      </c>
      <c r="F293">
        <v>29</v>
      </c>
      <c r="G293">
        <v>10.25</v>
      </c>
      <c r="H293">
        <v>1.859659467035117</v>
      </c>
      <c r="I293">
        <v>10</v>
      </c>
      <c r="J293">
        <v>2.1195985644983679</v>
      </c>
      <c r="K293">
        <v>4.8423200902737031E-2</v>
      </c>
      <c r="L293">
        <v>0.95762255704360577</v>
      </c>
    </row>
    <row r="294" spans="1:12" x14ac:dyDescent="0.25">
      <c r="A294">
        <v>66</v>
      </c>
      <c r="B294">
        <v>70</v>
      </c>
      <c r="C294" t="s">
        <v>16</v>
      </c>
      <c r="D294">
        <v>21.44</v>
      </c>
      <c r="E294">
        <v>5.6</v>
      </c>
      <c r="F294">
        <v>29</v>
      </c>
      <c r="G294">
        <v>23.5</v>
      </c>
      <c r="H294">
        <v>7.4870258150720677</v>
      </c>
      <c r="I294">
        <v>10</v>
      </c>
      <c r="J294">
        <v>0.79662452747430779</v>
      </c>
      <c r="K294">
        <v>0.4403577517130518</v>
      </c>
      <c r="L294">
        <v>0.12003557546117009</v>
      </c>
    </row>
    <row r="295" spans="1:12" x14ac:dyDescent="0.25">
      <c r="A295">
        <v>66</v>
      </c>
      <c r="B295">
        <v>70</v>
      </c>
      <c r="C295" t="s">
        <v>17</v>
      </c>
      <c r="D295">
        <v>3.77</v>
      </c>
      <c r="E295">
        <v>1.85</v>
      </c>
      <c r="F295">
        <v>29</v>
      </c>
      <c r="G295">
        <v>4.95</v>
      </c>
      <c r="H295">
        <v>1.9068589646618099</v>
      </c>
      <c r="I295">
        <v>10</v>
      </c>
      <c r="J295">
        <v>1.700301683351148</v>
      </c>
      <c r="K295">
        <v>0.1093416725628433</v>
      </c>
      <c r="L295">
        <v>0.60849722269967221</v>
      </c>
    </row>
    <row r="296" spans="1:12" x14ac:dyDescent="0.25">
      <c r="A296">
        <v>66</v>
      </c>
      <c r="B296">
        <v>70</v>
      </c>
      <c r="C296" t="s">
        <v>18</v>
      </c>
      <c r="D296">
        <v>8.15</v>
      </c>
      <c r="E296">
        <v>2.2799999999999998</v>
      </c>
      <c r="F296">
        <v>29</v>
      </c>
      <c r="G296">
        <v>9.4</v>
      </c>
      <c r="H296">
        <v>2.6436506745197801</v>
      </c>
      <c r="I296">
        <v>10</v>
      </c>
      <c r="J296">
        <v>1.333911843865899</v>
      </c>
      <c r="K296">
        <v>0.2036557308226295</v>
      </c>
      <c r="L296">
        <v>0.36395485381880688</v>
      </c>
    </row>
    <row r="297" spans="1:12" x14ac:dyDescent="0.25">
      <c r="A297">
        <v>66</v>
      </c>
      <c r="B297">
        <v>70</v>
      </c>
      <c r="C297" t="s">
        <v>19</v>
      </c>
      <c r="D297">
        <v>90.33</v>
      </c>
      <c r="E297">
        <v>12.64</v>
      </c>
      <c r="F297">
        <v>29</v>
      </c>
      <c r="G297">
        <v>90.948635169999989</v>
      </c>
      <c r="H297">
        <v>16.7690912017713</v>
      </c>
      <c r="I297">
        <v>10</v>
      </c>
      <c r="J297">
        <v>0.10667782500255001</v>
      </c>
      <c r="K297">
        <v>0.91670930639855408</v>
      </c>
      <c r="L297">
        <v>1.698161671435632E-3</v>
      </c>
    </row>
    <row r="298" spans="1:12" x14ac:dyDescent="0.25">
      <c r="A298">
        <v>66</v>
      </c>
      <c r="B298">
        <v>70</v>
      </c>
      <c r="C298" t="s">
        <v>20</v>
      </c>
      <c r="D298">
        <v>5.65</v>
      </c>
      <c r="E298">
        <v>0.85</v>
      </c>
      <c r="F298">
        <v>29</v>
      </c>
      <c r="G298">
        <v>5.9</v>
      </c>
      <c r="H298">
        <v>0.31622776601683789</v>
      </c>
      <c r="I298">
        <v>10</v>
      </c>
      <c r="J298">
        <v>1.3379549531991439</v>
      </c>
      <c r="K298">
        <v>0.18915875811788649</v>
      </c>
      <c r="L298">
        <v>0.2392399225849216</v>
      </c>
    </row>
    <row r="299" spans="1:12" x14ac:dyDescent="0.25">
      <c r="A299">
        <v>66</v>
      </c>
      <c r="B299">
        <v>70</v>
      </c>
      <c r="C299" t="s">
        <v>21</v>
      </c>
      <c r="D299">
        <v>0.1</v>
      </c>
      <c r="E299">
        <v>0.31</v>
      </c>
      <c r="F299">
        <v>29</v>
      </c>
      <c r="G299">
        <v>0</v>
      </c>
      <c r="H299">
        <v>0</v>
      </c>
      <c r="I299">
        <v>10</v>
      </c>
      <c r="J299">
        <v>-1.7371499377853239</v>
      </c>
      <c r="K299">
        <v>9.335121195516477E-2</v>
      </c>
      <c r="L299">
        <v>-0.38189748072686219</v>
      </c>
    </row>
    <row r="300" spans="1:12" x14ac:dyDescent="0.25">
      <c r="A300">
        <v>66</v>
      </c>
      <c r="B300">
        <v>70</v>
      </c>
      <c r="C300" t="s">
        <v>22</v>
      </c>
      <c r="D300">
        <v>5.55</v>
      </c>
      <c r="E300">
        <v>0.94</v>
      </c>
      <c r="F300">
        <v>29</v>
      </c>
      <c r="G300">
        <v>5.9</v>
      </c>
      <c r="H300">
        <v>0.31622776601683789</v>
      </c>
      <c r="I300">
        <v>10</v>
      </c>
      <c r="J300">
        <v>1.7398307120556711</v>
      </c>
      <c r="K300">
        <v>9.0202819004765192E-2</v>
      </c>
      <c r="L300">
        <v>0.43926633984843932</v>
      </c>
    </row>
    <row r="301" spans="1:12" x14ac:dyDescent="0.25">
      <c r="A301">
        <v>66</v>
      </c>
      <c r="B301">
        <v>70</v>
      </c>
      <c r="C301" t="s">
        <v>23</v>
      </c>
      <c r="D301">
        <v>0.46</v>
      </c>
      <c r="E301">
        <v>0.12</v>
      </c>
      <c r="F301">
        <v>29</v>
      </c>
      <c r="G301">
        <v>0.47499999999999998</v>
      </c>
      <c r="H301">
        <v>7.9056941504209485E-2</v>
      </c>
      <c r="I301">
        <v>10</v>
      </c>
      <c r="J301">
        <v>0.44790055995327288</v>
      </c>
      <c r="K301">
        <v>0.6582265702489859</v>
      </c>
      <c r="L301">
        <v>2.444824234769559E-2</v>
      </c>
    </row>
    <row r="302" spans="1:12" x14ac:dyDescent="0.25">
      <c r="A302">
        <v>68</v>
      </c>
      <c r="B302">
        <v>72</v>
      </c>
      <c r="C302" t="s">
        <v>12</v>
      </c>
      <c r="D302">
        <v>70.12</v>
      </c>
      <c r="E302">
        <v>1.36</v>
      </c>
      <c r="F302">
        <v>33</v>
      </c>
      <c r="G302">
        <v>68.571428571428569</v>
      </c>
      <c r="H302">
        <v>0.7867957924694432</v>
      </c>
      <c r="I302">
        <v>7</v>
      </c>
      <c r="J302">
        <v>-4.0740051707382801</v>
      </c>
      <c r="K302">
        <v>1.011062778573992E-3</v>
      </c>
      <c r="L302">
        <v>-3.605135462948978</v>
      </c>
    </row>
    <row r="303" spans="1:12" x14ac:dyDescent="0.25">
      <c r="A303">
        <v>68</v>
      </c>
      <c r="B303">
        <v>72</v>
      </c>
      <c r="C303" t="s">
        <v>13</v>
      </c>
      <c r="D303">
        <v>4.97</v>
      </c>
      <c r="E303">
        <v>2.02</v>
      </c>
      <c r="F303">
        <v>33</v>
      </c>
      <c r="G303">
        <v>5.5</v>
      </c>
      <c r="H303">
        <v>3.0276503540974922</v>
      </c>
      <c r="I303">
        <v>7</v>
      </c>
      <c r="J303">
        <v>0.44271747784446153</v>
      </c>
      <c r="K303">
        <v>0.67101086766704177</v>
      </c>
      <c r="L303">
        <v>4.1556120868389571E-2</v>
      </c>
    </row>
    <row r="304" spans="1:12" x14ac:dyDescent="0.25">
      <c r="A304">
        <v>68</v>
      </c>
      <c r="B304">
        <v>72</v>
      </c>
      <c r="C304" t="s">
        <v>14</v>
      </c>
      <c r="D304">
        <v>7.51</v>
      </c>
      <c r="E304">
        <v>2.13</v>
      </c>
      <c r="F304">
        <v>33</v>
      </c>
      <c r="G304">
        <v>7.5714285714285712</v>
      </c>
      <c r="H304">
        <v>2.978094628961212</v>
      </c>
      <c r="I304">
        <v>7</v>
      </c>
      <c r="J304">
        <v>5.1833591663991853E-2</v>
      </c>
      <c r="K304">
        <v>0.96004085540450235</v>
      </c>
      <c r="L304">
        <v>4.7612644442845622E-4</v>
      </c>
    </row>
    <row r="305" spans="1:12" x14ac:dyDescent="0.25">
      <c r="A305">
        <v>68</v>
      </c>
      <c r="B305">
        <v>72</v>
      </c>
      <c r="C305" t="s">
        <v>15</v>
      </c>
      <c r="D305">
        <v>8.65</v>
      </c>
      <c r="E305">
        <v>2.16</v>
      </c>
      <c r="F305">
        <v>33</v>
      </c>
      <c r="G305">
        <v>10.21428571428571</v>
      </c>
      <c r="H305">
        <v>1.550729475041313</v>
      </c>
      <c r="I305">
        <v>7</v>
      </c>
      <c r="J305">
        <v>2.2463704333249752</v>
      </c>
      <c r="K305">
        <v>4.5028254384129697E-2</v>
      </c>
      <c r="L305">
        <v>1.014747201315136</v>
      </c>
    </row>
    <row r="306" spans="1:12" x14ac:dyDescent="0.25">
      <c r="A306">
        <v>68</v>
      </c>
      <c r="B306">
        <v>72</v>
      </c>
      <c r="C306" t="s">
        <v>16</v>
      </c>
      <c r="D306">
        <v>21.14</v>
      </c>
      <c r="E306">
        <v>5.66</v>
      </c>
      <c r="F306">
        <v>33</v>
      </c>
      <c r="G306">
        <v>23.285714285714281</v>
      </c>
      <c r="H306">
        <v>7.0584296108574023</v>
      </c>
      <c r="I306">
        <v>7</v>
      </c>
      <c r="J306">
        <v>0.75448051315191644</v>
      </c>
      <c r="K306">
        <v>0.47294056564877041</v>
      </c>
      <c r="L306">
        <v>0.1182089476692938</v>
      </c>
    </row>
    <row r="307" spans="1:12" x14ac:dyDescent="0.25">
      <c r="A307">
        <v>68</v>
      </c>
      <c r="B307">
        <v>72</v>
      </c>
      <c r="C307" t="s">
        <v>17</v>
      </c>
      <c r="D307">
        <v>3.78</v>
      </c>
      <c r="E307">
        <v>1.86</v>
      </c>
      <c r="F307">
        <v>33</v>
      </c>
      <c r="G307">
        <v>4.7142857142857144</v>
      </c>
      <c r="H307">
        <v>2.03832330722138</v>
      </c>
      <c r="I307">
        <v>7</v>
      </c>
      <c r="J307">
        <v>1.117984405954014</v>
      </c>
      <c r="K307">
        <v>0.29503837947147232</v>
      </c>
      <c r="L307">
        <v>0.26215599427253589</v>
      </c>
    </row>
    <row r="308" spans="1:12" x14ac:dyDescent="0.25">
      <c r="A308">
        <v>68</v>
      </c>
      <c r="B308">
        <v>72</v>
      </c>
      <c r="C308" t="s">
        <v>18</v>
      </c>
      <c r="D308">
        <v>8.0399999999999991</v>
      </c>
      <c r="E308">
        <v>2.3199999999999998</v>
      </c>
      <c r="F308">
        <v>33</v>
      </c>
      <c r="G308">
        <v>9.2857142857142865</v>
      </c>
      <c r="H308">
        <v>2.2334044054078599</v>
      </c>
      <c r="I308">
        <v>7</v>
      </c>
      <c r="J308">
        <v>1.331201289923754</v>
      </c>
      <c r="K308">
        <v>0.21595291626181731</v>
      </c>
      <c r="L308">
        <v>0.35949832879802018</v>
      </c>
    </row>
    <row r="309" spans="1:12" x14ac:dyDescent="0.25">
      <c r="A309">
        <v>68</v>
      </c>
      <c r="B309">
        <v>72</v>
      </c>
      <c r="C309" t="s">
        <v>19</v>
      </c>
      <c r="D309">
        <v>89.84</v>
      </c>
      <c r="E309">
        <v>11.22</v>
      </c>
      <c r="F309">
        <v>33</v>
      </c>
      <c r="G309">
        <v>91.151111467142854</v>
      </c>
      <c r="H309">
        <v>18.19179074041547</v>
      </c>
      <c r="I309">
        <v>7</v>
      </c>
      <c r="J309">
        <v>0.18342674009997789</v>
      </c>
      <c r="K309">
        <v>0.85966406298834697</v>
      </c>
      <c r="L309">
        <v>6.8441904209935681E-3</v>
      </c>
    </row>
    <row r="310" spans="1:12" x14ac:dyDescent="0.25">
      <c r="A310">
        <v>68</v>
      </c>
      <c r="B310">
        <v>72</v>
      </c>
      <c r="C310" t="s">
        <v>20</v>
      </c>
      <c r="D310">
        <v>5.69</v>
      </c>
      <c r="E310">
        <v>0.81</v>
      </c>
      <c r="F310">
        <v>33</v>
      </c>
      <c r="G310">
        <v>5.8571428571428568</v>
      </c>
      <c r="H310">
        <v>0.37796447300922731</v>
      </c>
      <c r="I310">
        <v>7</v>
      </c>
      <c r="J310">
        <v>0.83270138696784002</v>
      </c>
      <c r="K310">
        <v>0.4149189461766114</v>
      </c>
      <c r="L310">
        <v>8.4204585148944314E-2</v>
      </c>
    </row>
    <row r="311" spans="1:12" x14ac:dyDescent="0.25">
      <c r="A311">
        <v>68</v>
      </c>
      <c r="B311">
        <v>72</v>
      </c>
      <c r="C311" t="s">
        <v>21</v>
      </c>
      <c r="D311">
        <v>0.18</v>
      </c>
      <c r="E311">
        <v>0.39</v>
      </c>
      <c r="F311">
        <v>33</v>
      </c>
      <c r="G311">
        <v>0</v>
      </c>
      <c r="H311">
        <v>0</v>
      </c>
      <c r="I311">
        <v>7</v>
      </c>
      <c r="J311">
        <v>-2.6513366060944739</v>
      </c>
      <c r="K311">
        <v>1.236457775037696E-2</v>
      </c>
      <c r="L311">
        <v>-0.95953819362388959</v>
      </c>
    </row>
    <row r="312" spans="1:12" x14ac:dyDescent="0.25">
      <c r="A312">
        <v>68</v>
      </c>
      <c r="B312">
        <v>72</v>
      </c>
      <c r="C312" t="s">
        <v>22</v>
      </c>
      <c r="D312">
        <v>5.15</v>
      </c>
      <c r="E312">
        <v>0.93</v>
      </c>
      <c r="F312">
        <v>33</v>
      </c>
      <c r="G312">
        <v>5.8571428571428568</v>
      </c>
      <c r="H312">
        <v>0.37796447300922731</v>
      </c>
      <c r="I312">
        <v>7</v>
      </c>
      <c r="J312">
        <v>3.275169750929551</v>
      </c>
      <c r="K312">
        <v>3.2101712088909149E-3</v>
      </c>
      <c r="L312">
        <v>2.0348037313869778</v>
      </c>
    </row>
    <row r="313" spans="1:12" x14ac:dyDescent="0.25">
      <c r="A313">
        <v>68</v>
      </c>
      <c r="B313">
        <v>72</v>
      </c>
      <c r="C313" t="s">
        <v>23</v>
      </c>
      <c r="D313">
        <v>0.49</v>
      </c>
      <c r="E313">
        <v>0.12</v>
      </c>
      <c r="F313">
        <v>33</v>
      </c>
      <c r="G313">
        <v>0.4642857142857143</v>
      </c>
      <c r="H313">
        <v>9.4491118252306827E-2</v>
      </c>
      <c r="I313">
        <v>7</v>
      </c>
      <c r="J313">
        <v>-0.6214963571116966</v>
      </c>
      <c r="K313">
        <v>0.54743591572657846</v>
      </c>
      <c r="L313">
        <v>-5.7833080265678752E-2</v>
      </c>
    </row>
    <row r="314" spans="1:12" x14ac:dyDescent="0.25">
      <c r="A314">
        <v>70</v>
      </c>
      <c r="B314">
        <v>74</v>
      </c>
      <c r="C314" t="s">
        <v>12</v>
      </c>
      <c r="D314">
        <v>71.53</v>
      </c>
      <c r="E314">
        <v>1.17</v>
      </c>
      <c r="F314">
        <v>28</v>
      </c>
      <c r="G314">
        <v>70</v>
      </c>
      <c r="I314">
        <v>1</v>
      </c>
    </row>
    <row r="315" spans="1:12" x14ac:dyDescent="0.25">
      <c r="A315">
        <v>70</v>
      </c>
      <c r="B315">
        <v>74</v>
      </c>
      <c r="C315" t="s">
        <v>13</v>
      </c>
      <c r="D315">
        <v>4.87</v>
      </c>
      <c r="E315">
        <v>2.02</v>
      </c>
      <c r="F315">
        <v>28</v>
      </c>
      <c r="G315">
        <v>3.5</v>
      </c>
      <c r="I315">
        <v>1</v>
      </c>
    </row>
    <row r="316" spans="1:12" x14ac:dyDescent="0.25">
      <c r="A316">
        <v>70</v>
      </c>
      <c r="B316">
        <v>74</v>
      </c>
      <c r="C316" t="s">
        <v>14</v>
      </c>
      <c r="D316">
        <v>7.4</v>
      </c>
      <c r="E316">
        <v>2.14</v>
      </c>
      <c r="F316">
        <v>28</v>
      </c>
      <c r="G316">
        <v>6.5</v>
      </c>
      <c r="I316">
        <v>1</v>
      </c>
    </row>
    <row r="317" spans="1:12" x14ac:dyDescent="0.25">
      <c r="A317">
        <v>70</v>
      </c>
      <c r="B317">
        <v>74</v>
      </c>
      <c r="C317" t="s">
        <v>15</v>
      </c>
      <c r="D317">
        <v>8.5500000000000007</v>
      </c>
      <c r="E317">
        <v>2.2000000000000002</v>
      </c>
      <c r="F317">
        <v>28</v>
      </c>
      <c r="G317">
        <v>8</v>
      </c>
      <c r="I317">
        <v>1</v>
      </c>
    </row>
    <row r="318" spans="1:12" x14ac:dyDescent="0.25">
      <c r="A318">
        <v>70</v>
      </c>
      <c r="B318">
        <v>74</v>
      </c>
      <c r="C318" t="s">
        <v>16</v>
      </c>
      <c r="D318">
        <v>20.83</v>
      </c>
      <c r="E318">
        <v>5.71</v>
      </c>
      <c r="F318">
        <v>28</v>
      </c>
      <c r="G318">
        <v>18</v>
      </c>
      <c r="I318">
        <v>1</v>
      </c>
    </row>
    <row r="319" spans="1:12" x14ac:dyDescent="0.25">
      <c r="A319">
        <v>70</v>
      </c>
      <c r="B319">
        <v>74</v>
      </c>
      <c r="C319" t="s">
        <v>17</v>
      </c>
      <c r="D319">
        <v>3.38</v>
      </c>
      <c r="E319">
        <v>1.86</v>
      </c>
      <c r="F319">
        <v>28</v>
      </c>
      <c r="G319">
        <v>4.5</v>
      </c>
      <c r="I319">
        <v>1</v>
      </c>
    </row>
    <row r="320" spans="1:12" x14ac:dyDescent="0.25">
      <c r="A320">
        <v>70</v>
      </c>
      <c r="B320">
        <v>74</v>
      </c>
      <c r="C320" t="s">
        <v>18</v>
      </c>
      <c r="D320">
        <v>7.93</v>
      </c>
      <c r="E320">
        <v>2.36</v>
      </c>
      <c r="F320">
        <v>28</v>
      </c>
      <c r="G320">
        <v>8.5</v>
      </c>
      <c r="I320">
        <v>1</v>
      </c>
    </row>
    <row r="321" spans="1:9" x14ac:dyDescent="0.25">
      <c r="A321">
        <v>70</v>
      </c>
      <c r="B321">
        <v>74</v>
      </c>
      <c r="C321" t="s">
        <v>19</v>
      </c>
      <c r="D321">
        <v>87.83</v>
      </c>
      <c r="E321">
        <v>14.34</v>
      </c>
      <c r="F321">
        <v>28</v>
      </c>
      <c r="G321">
        <v>106.25</v>
      </c>
      <c r="I321">
        <v>1</v>
      </c>
    </row>
    <row r="322" spans="1:9" x14ac:dyDescent="0.25">
      <c r="A322">
        <v>70</v>
      </c>
      <c r="B322">
        <v>74</v>
      </c>
      <c r="C322" t="s">
        <v>20</v>
      </c>
      <c r="D322">
        <v>5.75</v>
      </c>
      <c r="E322">
        <v>0.84</v>
      </c>
      <c r="F322">
        <v>28</v>
      </c>
      <c r="G322">
        <v>6</v>
      </c>
      <c r="I322">
        <v>1</v>
      </c>
    </row>
    <row r="323" spans="1:9" x14ac:dyDescent="0.25">
      <c r="A323">
        <v>70</v>
      </c>
      <c r="B323">
        <v>74</v>
      </c>
      <c r="C323" t="s">
        <v>21</v>
      </c>
      <c r="D323">
        <v>0.1</v>
      </c>
      <c r="E323">
        <v>0.31</v>
      </c>
      <c r="F323">
        <v>28</v>
      </c>
      <c r="G323">
        <v>0</v>
      </c>
      <c r="I323">
        <v>1</v>
      </c>
    </row>
    <row r="324" spans="1:9" x14ac:dyDescent="0.25">
      <c r="A324">
        <v>70</v>
      </c>
      <c r="B324">
        <v>74</v>
      </c>
      <c r="C324" t="s">
        <v>22</v>
      </c>
      <c r="D324">
        <v>5.64</v>
      </c>
      <c r="E324">
        <v>0.91</v>
      </c>
      <c r="F324">
        <v>28</v>
      </c>
      <c r="G324">
        <v>6</v>
      </c>
      <c r="I324">
        <v>1</v>
      </c>
    </row>
    <row r="325" spans="1:9" x14ac:dyDescent="0.25">
      <c r="A325">
        <v>70</v>
      </c>
      <c r="B325">
        <v>74</v>
      </c>
      <c r="C325" t="s">
        <v>23</v>
      </c>
      <c r="D325">
        <v>0.49</v>
      </c>
      <c r="E325">
        <v>0.12</v>
      </c>
      <c r="F325">
        <v>28</v>
      </c>
      <c r="G325">
        <v>0.5</v>
      </c>
      <c r="I325">
        <v>1</v>
      </c>
    </row>
    <row r="326" spans="1:9" x14ac:dyDescent="0.25">
      <c r="A326">
        <v>72</v>
      </c>
      <c r="B326">
        <v>76</v>
      </c>
      <c r="C326" t="s">
        <v>12</v>
      </c>
      <c r="D326">
        <v>75.39</v>
      </c>
      <c r="E326">
        <v>2.8</v>
      </c>
      <c r="F326">
        <v>28</v>
      </c>
      <c r="I326">
        <v>0</v>
      </c>
    </row>
    <row r="327" spans="1:9" x14ac:dyDescent="0.25">
      <c r="A327">
        <v>72</v>
      </c>
      <c r="B327">
        <v>76</v>
      </c>
      <c r="C327" t="s">
        <v>13</v>
      </c>
      <c r="D327">
        <v>4.67</v>
      </c>
      <c r="E327">
        <v>2.0099999999999998</v>
      </c>
      <c r="F327">
        <v>28</v>
      </c>
      <c r="I327">
        <v>0</v>
      </c>
    </row>
    <row r="328" spans="1:9" x14ac:dyDescent="0.25">
      <c r="A328">
        <v>72</v>
      </c>
      <c r="B328">
        <v>76</v>
      </c>
      <c r="C328" t="s">
        <v>14</v>
      </c>
      <c r="D328">
        <v>7.19</v>
      </c>
      <c r="E328">
        <v>2.1800000000000002</v>
      </c>
      <c r="F328">
        <v>28</v>
      </c>
      <c r="I328">
        <v>0</v>
      </c>
    </row>
    <row r="329" spans="1:9" x14ac:dyDescent="0.25">
      <c r="A329">
        <v>72</v>
      </c>
      <c r="B329">
        <v>76</v>
      </c>
      <c r="C329" t="s">
        <v>15</v>
      </c>
      <c r="D329">
        <v>8.35</v>
      </c>
      <c r="E329">
        <v>2.2799999999999998</v>
      </c>
      <c r="F329">
        <v>28</v>
      </c>
      <c r="I329">
        <v>0</v>
      </c>
    </row>
    <row r="330" spans="1:9" x14ac:dyDescent="0.25">
      <c r="A330">
        <v>72</v>
      </c>
      <c r="B330">
        <v>76</v>
      </c>
      <c r="C330" t="s">
        <v>16</v>
      </c>
      <c r="D330">
        <v>20.22</v>
      </c>
      <c r="E330">
        <v>5.82</v>
      </c>
      <c r="F330">
        <v>28</v>
      </c>
      <c r="I330">
        <v>0</v>
      </c>
    </row>
    <row r="331" spans="1:9" x14ac:dyDescent="0.25">
      <c r="A331">
        <v>72</v>
      </c>
      <c r="B331">
        <v>76</v>
      </c>
      <c r="C331" t="s">
        <v>17</v>
      </c>
      <c r="D331">
        <v>3.38</v>
      </c>
      <c r="E331">
        <v>1.88</v>
      </c>
      <c r="F331">
        <v>28</v>
      </c>
      <c r="I331">
        <v>0</v>
      </c>
    </row>
    <row r="332" spans="1:9" x14ac:dyDescent="0.25">
      <c r="A332">
        <v>72</v>
      </c>
      <c r="B332">
        <v>76</v>
      </c>
      <c r="C332" t="s">
        <v>18</v>
      </c>
      <c r="D332">
        <v>7.71</v>
      </c>
      <c r="E332">
        <v>2.4300000000000002</v>
      </c>
      <c r="F332">
        <v>28</v>
      </c>
      <c r="I332">
        <v>0</v>
      </c>
    </row>
    <row r="333" spans="1:9" x14ac:dyDescent="0.25">
      <c r="A333">
        <v>72</v>
      </c>
      <c r="B333">
        <v>76</v>
      </c>
      <c r="C333" t="s">
        <v>19</v>
      </c>
      <c r="D333">
        <v>86.44</v>
      </c>
      <c r="E333">
        <v>14.7</v>
      </c>
      <c r="F333">
        <v>28</v>
      </c>
      <c r="I333">
        <v>0</v>
      </c>
    </row>
    <row r="334" spans="1:9" x14ac:dyDescent="0.25">
      <c r="A334">
        <v>72</v>
      </c>
      <c r="B334">
        <v>76</v>
      </c>
      <c r="C334" t="s">
        <v>20</v>
      </c>
      <c r="D334">
        <v>5.64</v>
      </c>
      <c r="E334">
        <v>0.62</v>
      </c>
      <c r="F334">
        <v>28</v>
      </c>
      <c r="I334">
        <v>0</v>
      </c>
    </row>
    <row r="335" spans="1:9" x14ac:dyDescent="0.25">
      <c r="A335">
        <v>72</v>
      </c>
      <c r="B335">
        <v>76</v>
      </c>
      <c r="C335" t="s">
        <v>21</v>
      </c>
      <c r="D335">
        <v>0.14000000000000001</v>
      </c>
      <c r="E335">
        <v>0.36</v>
      </c>
      <c r="F335">
        <v>28</v>
      </c>
      <c r="I335">
        <v>0</v>
      </c>
    </row>
    <row r="336" spans="1:9" x14ac:dyDescent="0.25">
      <c r="A336">
        <v>72</v>
      </c>
      <c r="B336">
        <v>76</v>
      </c>
      <c r="C336" t="s">
        <v>22</v>
      </c>
      <c r="D336">
        <v>5.5</v>
      </c>
      <c r="E336">
        <v>0.79</v>
      </c>
      <c r="F336">
        <v>28</v>
      </c>
      <c r="I336">
        <v>0</v>
      </c>
    </row>
    <row r="337" spans="1:9" x14ac:dyDescent="0.25">
      <c r="A337">
        <v>72</v>
      </c>
      <c r="B337">
        <v>76</v>
      </c>
      <c r="C337" t="s">
        <v>23</v>
      </c>
      <c r="D337">
        <v>0.46</v>
      </c>
      <c r="E337">
        <v>0.14000000000000001</v>
      </c>
      <c r="F337">
        <v>28</v>
      </c>
      <c r="I337">
        <v>0</v>
      </c>
    </row>
  </sheetData>
  <conditionalFormatting sqref="K1:K1048576">
    <cfRule type="cellIs" dxfId="3" priority="1" operator="lessThan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29A7-64BE-495D-98A5-5FF10C4ACA21}">
  <dimension ref="A1:AA27"/>
  <sheetViews>
    <sheetView workbookViewId="0">
      <selection activeCell="I1" activeCellId="3" sqref="D1 E1 F1 I1"/>
    </sheetView>
  </sheetViews>
  <sheetFormatPr defaultRowHeight="15" x14ac:dyDescent="0.25"/>
  <cols>
    <col min="1" max="1" width="4" style="3" bestFit="1" customWidth="1"/>
    <col min="2" max="4" width="5.7109375" style="3" bestFit="1" customWidth="1"/>
    <col min="5" max="5" width="5" style="3" bestFit="1" customWidth="1"/>
    <col min="6" max="6" width="6" style="3" bestFit="1" customWidth="1"/>
    <col min="7" max="7" width="5" style="3" bestFit="1" customWidth="1"/>
    <col min="8" max="8" width="5.7109375" style="3" bestFit="1" customWidth="1"/>
    <col min="9" max="10" width="6" style="3" bestFit="1" customWidth="1"/>
    <col min="11" max="11" width="5.7109375" style="3" bestFit="1" customWidth="1"/>
    <col min="12" max="12" width="6.7109375" style="3" bestFit="1" customWidth="1"/>
    <col min="13" max="14" width="5.7109375" style="3" bestFit="1" customWidth="1"/>
    <col min="15" max="15" width="9.140625" style="3"/>
    <col min="16" max="27" width="5" style="3" bestFit="1" customWidth="1"/>
    <col min="28" max="16384" width="9.140625" style="3"/>
  </cols>
  <sheetData>
    <row r="1" spans="1:27" s="2" customFormat="1" ht="138.75" x14ac:dyDescent="0.25">
      <c r="B1" s="2" t="s">
        <v>24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 x14ac:dyDescent="0.25">
      <c r="A2" s="3">
        <v>0</v>
      </c>
      <c r="B2" s="3" t="s">
        <v>25</v>
      </c>
      <c r="C2" s="4" cm="1">
        <f t="array" aca="1" ref="C2:N2" ca="1">ROUND(TRANSPOSE(INDIRECT("output!L"&amp;$A2+2&amp;":L"&amp;$A2+13)),2)</f>
        <v>6.78</v>
      </c>
      <c r="D2" s="4">
        <f ca="1"/>
        <v>2.0699999999999998</v>
      </c>
      <c r="E2" s="4">
        <f ca="1"/>
        <v>1.61</v>
      </c>
      <c r="F2" s="4">
        <f ca="1"/>
        <v>3.44</v>
      </c>
      <c r="G2" s="4">
        <f ca="1"/>
        <v>2.41</v>
      </c>
      <c r="H2" s="4">
        <f ca="1"/>
        <v>-1.21</v>
      </c>
      <c r="I2" s="4">
        <f ca="1"/>
        <v>6.14</v>
      </c>
      <c r="J2" s="4">
        <f ca="1"/>
        <v>11.92</v>
      </c>
      <c r="K2" s="4">
        <f ca="1"/>
        <v>-0.4</v>
      </c>
      <c r="L2" s="4">
        <f ca="1"/>
        <v>-0.18</v>
      </c>
      <c r="M2" s="4">
        <f ca="1"/>
        <v>-0.3</v>
      </c>
      <c r="N2" s="4">
        <f ca="1"/>
        <v>-0.54</v>
      </c>
      <c r="P2" s="4" cm="1">
        <f t="array" aca="1" ref="P2:AA2" ca="1">ROUND(TRANSPOSE(INDIRECT("output!K"&amp;$A2+2&amp;":K"&amp;$A2+13)),2)</f>
        <v>0</v>
      </c>
      <c r="Q2" s="4">
        <f ca="1"/>
        <v>0.01</v>
      </c>
      <c r="R2" s="4">
        <f ca="1"/>
        <v>0.01</v>
      </c>
      <c r="S2" s="4">
        <f ca="1"/>
        <v>0</v>
      </c>
      <c r="T2" s="4">
        <f ca="1"/>
        <v>0</v>
      </c>
      <c r="U2" s="4">
        <f ca="1"/>
        <v>0.04</v>
      </c>
      <c r="V2" s="4">
        <f ca="1"/>
        <v>0</v>
      </c>
      <c r="W2" s="4">
        <f ca="1"/>
        <v>0</v>
      </c>
      <c r="X2" s="4">
        <f ca="1"/>
        <v>0.28999999999999998</v>
      </c>
      <c r="Y2" s="4">
        <f ca="1"/>
        <v>0.06</v>
      </c>
      <c r="Z2" s="4">
        <f ca="1"/>
        <v>0.33</v>
      </c>
      <c r="AA2" s="4">
        <f ca="1"/>
        <v>0.23</v>
      </c>
    </row>
    <row r="3" spans="1:27" x14ac:dyDescent="0.25">
      <c r="A3" s="3">
        <f>A2+12</f>
        <v>12</v>
      </c>
      <c r="B3" s="3" t="s">
        <v>26</v>
      </c>
      <c r="C3" s="4" cm="1">
        <f t="array" aca="1" ref="C3:N3" ca="1">ROUND(TRANSPOSE(INDIRECT("output!L"&amp;$A3+2&amp;":L"&amp;$A3+13)),2)</f>
        <v>0.5</v>
      </c>
      <c r="D3" s="4">
        <f ca="1"/>
        <v>2.6</v>
      </c>
      <c r="E3" s="4">
        <f ca="1"/>
        <v>3.78</v>
      </c>
      <c r="F3" s="4">
        <f ca="1"/>
        <v>5.08</v>
      </c>
      <c r="G3" s="4">
        <f ca="1"/>
        <v>4.59</v>
      </c>
      <c r="H3" s="4">
        <f ca="1"/>
        <v>-0.94</v>
      </c>
      <c r="I3" s="4">
        <f ca="1"/>
        <v>0.65</v>
      </c>
      <c r="J3" s="4">
        <f ca="1"/>
        <v>0.05</v>
      </c>
      <c r="K3" s="4">
        <f ca="1"/>
        <v>-0.32</v>
      </c>
      <c r="L3" s="4">
        <f ca="1"/>
        <v>-0.15</v>
      </c>
      <c r="M3" s="4">
        <f ca="1"/>
        <v>-0.17</v>
      </c>
      <c r="N3" s="4">
        <f ca="1"/>
        <v>-0.34</v>
      </c>
      <c r="P3" s="4" cm="1">
        <f t="array" aca="1" ref="P3:AA3" ca="1">ROUND(TRANSPOSE(INDIRECT("output!K"&amp;$A3+2&amp;":K"&amp;$A3+13)),2)</f>
        <v>0.12</v>
      </c>
      <c r="Q3" s="4">
        <f ca="1"/>
        <v>0</v>
      </c>
      <c r="R3" s="4">
        <f ca="1"/>
        <v>0</v>
      </c>
      <c r="S3" s="4">
        <f ca="1"/>
        <v>0</v>
      </c>
      <c r="T3" s="4">
        <f ca="1"/>
        <v>0</v>
      </c>
      <c r="U3" s="4">
        <f ca="1"/>
        <v>0.04</v>
      </c>
      <c r="V3" s="4">
        <f ca="1"/>
        <v>0.08</v>
      </c>
      <c r="W3" s="4">
        <f ca="1"/>
        <v>0.63</v>
      </c>
      <c r="X3" s="4">
        <f ca="1"/>
        <v>0.3</v>
      </c>
      <c r="Y3" s="4">
        <f ca="1"/>
        <v>0.16</v>
      </c>
      <c r="Z3" s="4">
        <f ca="1"/>
        <v>0.4</v>
      </c>
      <c r="AA3" s="4">
        <f ca="1"/>
        <v>0.27</v>
      </c>
    </row>
    <row r="4" spans="1:27" x14ac:dyDescent="0.25">
      <c r="A4" s="3">
        <f t="shared" ref="A4:A27" si="0">A3+12</f>
        <v>24</v>
      </c>
      <c r="B4" s="3" t="s">
        <v>27</v>
      </c>
      <c r="C4" s="4" cm="1">
        <f t="array" aca="1" ref="C4:N4" ca="1">ROUND(TRANSPOSE(INDIRECT("output!L"&amp;$A4+2&amp;":L"&amp;$A4+13)),2)</f>
        <v>-0.02</v>
      </c>
      <c r="D4" s="4">
        <f ca="1"/>
        <v>1.61</v>
      </c>
      <c r="E4" s="4">
        <f ca="1"/>
        <v>2.27</v>
      </c>
      <c r="F4" s="4">
        <f ca="1"/>
        <v>2.86</v>
      </c>
      <c r="G4" s="4">
        <f ca="1"/>
        <v>2.5499999999999998</v>
      </c>
      <c r="H4" s="4">
        <f ca="1"/>
        <v>-0.51</v>
      </c>
      <c r="I4" s="4">
        <f ca="1"/>
        <v>0.71</v>
      </c>
      <c r="J4" s="4">
        <f ca="1"/>
        <v>0.01</v>
      </c>
      <c r="K4" s="4">
        <f ca="1"/>
        <v>0</v>
      </c>
      <c r="L4" s="4">
        <f ca="1"/>
        <v>0</v>
      </c>
      <c r="M4" s="4">
        <f ca="1"/>
        <v>0</v>
      </c>
      <c r="N4" s="4">
        <f ca="1"/>
        <v>0.01</v>
      </c>
      <c r="P4" s="4" cm="1">
        <f t="array" aca="1" ref="P4:AA4" ca="1">ROUND(TRANSPOSE(INDIRECT("output!K"&amp;$A4+2&amp;":K"&amp;$A4+13)),2)</f>
        <v>0.73</v>
      </c>
      <c r="Q4" s="4">
        <f ca="1"/>
        <v>0.02</v>
      </c>
      <c r="R4" s="4">
        <f ca="1"/>
        <v>0</v>
      </c>
      <c r="S4" s="4">
        <f ca="1"/>
        <v>0</v>
      </c>
      <c r="T4" s="4">
        <f ca="1"/>
        <v>0</v>
      </c>
      <c r="U4" s="4">
        <f ca="1"/>
        <v>0.12</v>
      </c>
      <c r="V4" s="4">
        <f ca="1"/>
        <v>0.06</v>
      </c>
      <c r="W4" s="4">
        <f ca="1"/>
        <v>0.8</v>
      </c>
      <c r="X4" s="4">
        <f ca="1"/>
        <v>0.99</v>
      </c>
      <c r="Y4" s="4">
        <f ca="1"/>
        <v>0</v>
      </c>
      <c r="Z4" s="4">
        <f ca="1"/>
        <v>0.99</v>
      </c>
      <c r="AA4" s="4">
        <f ca="1"/>
        <v>0.77</v>
      </c>
    </row>
    <row r="5" spans="1:27" x14ac:dyDescent="0.25">
      <c r="A5" s="3">
        <f t="shared" si="0"/>
        <v>36</v>
      </c>
      <c r="B5" s="3" t="s">
        <v>28</v>
      </c>
      <c r="C5" s="4" cm="1">
        <f t="array" aca="1" ref="C5:N5" ca="1">ROUND(TRANSPOSE(INDIRECT("output!L"&amp;$A5+2&amp;":L"&amp;$A5+13)),2)</f>
        <v>0.68</v>
      </c>
      <c r="D5" s="4">
        <f ca="1"/>
        <v>1.24</v>
      </c>
      <c r="E5" s="4">
        <f ca="1"/>
        <v>1.41</v>
      </c>
      <c r="F5" s="4">
        <f ca="1"/>
        <v>2.89</v>
      </c>
      <c r="G5" s="4">
        <f ca="1"/>
        <v>1.9</v>
      </c>
      <c r="H5" s="4">
        <f ca="1"/>
        <v>-0.32</v>
      </c>
      <c r="I5" s="4">
        <f ca="1"/>
        <v>3.71</v>
      </c>
      <c r="J5" s="4">
        <f ca="1"/>
        <v>1.1599999999999999</v>
      </c>
      <c r="K5" s="4">
        <f ca="1"/>
        <v>0.63</v>
      </c>
      <c r="L5" s="4">
        <f ca="1"/>
        <v>0</v>
      </c>
      <c r="M5" s="4">
        <f ca="1"/>
        <v>0.63</v>
      </c>
      <c r="N5" s="4">
        <f ca="1"/>
        <v>0.93</v>
      </c>
      <c r="P5" s="4" cm="1">
        <f t="array" aca="1" ref="P5:AA5" ca="1">ROUND(TRANSPOSE(INDIRECT("output!K"&amp;$A5+2&amp;":K"&amp;$A5+13)),2)</f>
        <v>0.12</v>
      </c>
      <c r="Q5" s="4">
        <f ca="1"/>
        <v>0.04</v>
      </c>
      <c r="R5" s="4">
        <f ca="1"/>
        <v>0.01</v>
      </c>
      <c r="S5" s="4">
        <f ca="1"/>
        <v>0</v>
      </c>
      <c r="T5" s="4">
        <f ca="1"/>
        <v>0.01</v>
      </c>
      <c r="U5" s="4">
        <f ca="1"/>
        <v>0.24</v>
      </c>
      <c r="V5" s="4">
        <f ca="1"/>
        <v>0</v>
      </c>
      <c r="W5" s="4">
        <f ca="1"/>
        <v>0.01</v>
      </c>
      <c r="X5" s="4">
        <f ca="1"/>
        <v>0.03</v>
      </c>
      <c r="Y5" s="4">
        <f ca="1"/>
        <v>0</v>
      </c>
      <c r="Z5" s="4">
        <f ca="1"/>
        <v>0.03</v>
      </c>
      <c r="AA5" s="4">
        <f ca="1"/>
        <v>0.01</v>
      </c>
    </row>
    <row r="6" spans="1:27" x14ac:dyDescent="0.25">
      <c r="A6" s="3">
        <f t="shared" si="0"/>
        <v>48</v>
      </c>
      <c r="B6" s="3" t="s">
        <v>29</v>
      </c>
      <c r="C6" s="4" cm="1">
        <f t="array" aca="1" ref="C6:N6" ca="1">ROUND(TRANSPOSE(INDIRECT("output!L"&amp;$A6+2&amp;":L"&amp;$A6+13)),2)</f>
        <v>-0.46</v>
      </c>
      <c r="D6" s="4">
        <f ca="1"/>
        <v>0.57999999999999996</v>
      </c>
      <c r="E6" s="4">
        <f ca="1"/>
        <v>0.48</v>
      </c>
      <c r="F6" s="4">
        <f ca="1"/>
        <v>4.0199999999999996</v>
      </c>
      <c r="G6" s="4">
        <f ca="1"/>
        <v>1.31</v>
      </c>
      <c r="H6" s="4">
        <f ca="1"/>
        <v>-0.01</v>
      </c>
      <c r="I6" s="4">
        <f ca="1"/>
        <v>4.6500000000000004</v>
      </c>
      <c r="J6" s="4">
        <f ca="1"/>
        <v>0.39</v>
      </c>
      <c r="K6" s="4">
        <f ca="1"/>
        <v>-0.11</v>
      </c>
      <c r="L6" s="4">
        <f ca="1"/>
        <v>0</v>
      </c>
      <c r="M6" s="4">
        <f ca="1"/>
        <v>-0.11</v>
      </c>
      <c r="N6" s="4">
        <f ca="1"/>
        <v>-0.09</v>
      </c>
      <c r="P6" s="4" cm="1">
        <f t="array" aca="1" ref="P6:AA6" ca="1">ROUND(TRANSPOSE(INDIRECT("output!K"&amp;$A6+2&amp;":K"&amp;$A6+13)),2)</f>
        <v>0.14000000000000001</v>
      </c>
      <c r="Q6" s="4">
        <f ca="1"/>
        <v>0.12</v>
      </c>
      <c r="R6" s="4">
        <f ca="1"/>
        <v>0.11</v>
      </c>
      <c r="S6" s="4">
        <f ca="1"/>
        <v>0</v>
      </c>
      <c r="T6" s="4">
        <f ca="1"/>
        <v>0.02</v>
      </c>
      <c r="U6" s="4">
        <f ca="1"/>
        <v>0.77</v>
      </c>
      <c r="V6" s="4">
        <f ca="1"/>
        <v>0</v>
      </c>
      <c r="W6" s="4">
        <f ca="1"/>
        <v>0.08</v>
      </c>
      <c r="X6" s="4">
        <f ca="1"/>
        <v>0.51</v>
      </c>
      <c r="Y6" s="4">
        <f ca="1"/>
        <v>0</v>
      </c>
      <c r="Z6" s="4">
        <f ca="1"/>
        <v>0.51</v>
      </c>
      <c r="AA6" s="4">
        <f ca="1"/>
        <v>0.56999999999999995</v>
      </c>
    </row>
    <row r="7" spans="1:27" x14ac:dyDescent="0.25">
      <c r="A7" s="3">
        <f t="shared" si="0"/>
        <v>60</v>
      </c>
      <c r="B7" s="3" t="s">
        <v>30</v>
      </c>
      <c r="C7" s="4" cm="1">
        <f t="array" aca="1" ref="C7:N7" ca="1">ROUND(TRANSPOSE(INDIRECT("output!L"&amp;$A7+2&amp;":L"&amp;$A7+13)),2)</f>
        <v>0</v>
      </c>
      <c r="D7" s="4">
        <f ca="1"/>
        <v>0.55000000000000004</v>
      </c>
      <c r="E7" s="4">
        <f ca="1"/>
        <v>0.82</v>
      </c>
      <c r="F7" s="4">
        <f ca="1"/>
        <v>6.58</v>
      </c>
      <c r="G7" s="4">
        <f ca="1"/>
        <v>1.87</v>
      </c>
      <c r="H7" s="4">
        <f ca="1"/>
        <v>0</v>
      </c>
      <c r="I7" s="4">
        <f ca="1"/>
        <v>5.55</v>
      </c>
      <c r="J7" s="4">
        <f ca="1"/>
        <v>0.52</v>
      </c>
      <c r="K7" s="4">
        <f ca="1"/>
        <v>-7.0000000000000007E-2</v>
      </c>
      <c r="L7" s="4">
        <f ca="1"/>
        <v>0</v>
      </c>
      <c r="M7" s="4">
        <f ca="1"/>
        <v>-7.0000000000000007E-2</v>
      </c>
      <c r="N7" s="4">
        <f ca="1"/>
        <v>-0.04</v>
      </c>
      <c r="P7" s="4" cm="1">
        <f t="array" aca="1" ref="P7:AA7" ca="1">ROUND(TRANSPOSE(INDIRECT("output!K"&amp;$A7+2&amp;":K"&amp;$A7+13)),2)</f>
        <v>0.9</v>
      </c>
      <c r="Q7" s="4">
        <f ca="1"/>
        <v>0.12</v>
      </c>
      <c r="R7" s="4">
        <f ca="1"/>
        <v>0.04</v>
      </c>
      <c r="S7" s="4">
        <f ca="1"/>
        <v>0</v>
      </c>
      <c r="T7" s="4">
        <f ca="1"/>
        <v>0.01</v>
      </c>
      <c r="U7" s="4">
        <f ca="1"/>
        <v>0.99</v>
      </c>
      <c r="V7" s="4">
        <f ca="1"/>
        <v>0</v>
      </c>
      <c r="W7" s="4">
        <f ca="1"/>
        <v>7.0000000000000007E-2</v>
      </c>
      <c r="X7" s="4">
        <f ca="1"/>
        <v>0.55000000000000004</v>
      </c>
      <c r="Y7" s="4">
        <f ca="1"/>
        <v>0</v>
      </c>
      <c r="Z7" s="4">
        <f ca="1"/>
        <v>0.55000000000000004</v>
      </c>
      <c r="AA7" s="4">
        <f ca="1"/>
        <v>0.63</v>
      </c>
    </row>
    <row r="8" spans="1:27" x14ac:dyDescent="0.25">
      <c r="A8" s="3">
        <f t="shared" si="0"/>
        <v>72</v>
      </c>
      <c r="B8" s="3" t="s">
        <v>31</v>
      </c>
      <c r="C8" s="4" cm="1">
        <f t="array" aca="1" ref="C8:N8" ca="1">ROUND(TRANSPOSE(INDIRECT("output!L"&amp;$A8+2&amp;":L"&amp;$A8+13)),2)</f>
        <v>0.03</v>
      </c>
      <c r="D8" s="4">
        <f ca="1"/>
        <v>0.85</v>
      </c>
      <c r="E8" s="4">
        <f ca="1"/>
        <v>1.46</v>
      </c>
      <c r="F8" s="4">
        <f ca="1"/>
        <v>6.99</v>
      </c>
      <c r="G8" s="4">
        <f ca="1"/>
        <v>2.57</v>
      </c>
      <c r="H8" s="4">
        <f ca="1"/>
        <v>0</v>
      </c>
      <c r="I8" s="4">
        <f ca="1"/>
        <v>5.92</v>
      </c>
      <c r="J8" s="4">
        <f ca="1"/>
        <v>1.08</v>
      </c>
      <c r="K8" s="4">
        <f ca="1"/>
        <v>0.15</v>
      </c>
      <c r="L8" s="4">
        <f ca="1"/>
        <v>0</v>
      </c>
      <c r="M8" s="4">
        <f ca="1"/>
        <v>0.15</v>
      </c>
      <c r="N8" s="4">
        <f ca="1"/>
        <v>0.53</v>
      </c>
      <c r="P8" s="4" cm="1">
        <f t="array" aca="1" ref="P8:AA8" ca="1">ROUND(TRANSPOSE(INDIRECT("output!K"&amp;$A8+2&amp;":K"&amp;$A8+13)),2)</f>
        <v>0.65</v>
      </c>
      <c r="Q8" s="4">
        <f ca="1"/>
        <v>0.06</v>
      </c>
      <c r="R8" s="4">
        <f ca="1"/>
        <v>0.02</v>
      </c>
      <c r="S8" s="4">
        <f ca="1"/>
        <v>0</v>
      </c>
      <c r="T8" s="4">
        <f ca="1"/>
        <v>0</v>
      </c>
      <c r="U8" s="4">
        <f ca="1"/>
        <v>0.86</v>
      </c>
      <c r="V8" s="4">
        <f ca="1"/>
        <v>0</v>
      </c>
      <c r="W8" s="4">
        <f ca="1"/>
        <v>0.02</v>
      </c>
      <c r="X8" s="4">
        <f ca="1"/>
        <v>0.2</v>
      </c>
      <c r="Y8" s="4">
        <f ca="1"/>
        <v>0</v>
      </c>
      <c r="Z8" s="4">
        <f ca="1"/>
        <v>0.2</v>
      </c>
      <c r="AA8" s="4">
        <f ca="1"/>
        <v>0.04</v>
      </c>
    </row>
    <row r="9" spans="1:27" x14ac:dyDescent="0.25">
      <c r="A9" s="3">
        <f t="shared" si="0"/>
        <v>84</v>
      </c>
      <c r="B9" s="3" t="s">
        <v>32</v>
      </c>
      <c r="C9" s="4" cm="1">
        <f t="array" aca="1" ref="C9:N9" ca="1">ROUND(TRANSPOSE(INDIRECT("output!L"&amp;$A9+2&amp;":L"&amp;$A9+13)),2)</f>
        <v>-0.24</v>
      </c>
      <c r="D9" s="4">
        <f ca="1"/>
        <v>0.1</v>
      </c>
      <c r="E9" s="4">
        <f ca="1"/>
        <v>1.58</v>
      </c>
      <c r="F9" s="4">
        <f ca="1"/>
        <v>0.51</v>
      </c>
      <c r="G9" s="4">
        <f ca="1"/>
        <v>0.83</v>
      </c>
      <c r="H9" s="4">
        <f ca="1"/>
        <v>0.08</v>
      </c>
      <c r="I9" s="4">
        <f ca="1"/>
        <v>0.79</v>
      </c>
      <c r="J9" s="4">
        <f ca="1"/>
        <v>0.17</v>
      </c>
      <c r="K9" s="4">
        <f ca="1"/>
        <v>0.27</v>
      </c>
      <c r="L9" s="4">
        <f ca="1"/>
        <v>0</v>
      </c>
      <c r="M9" s="4">
        <f ca="1"/>
        <v>0.27</v>
      </c>
      <c r="N9" s="4">
        <f ca="1"/>
        <v>0.64</v>
      </c>
      <c r="P9" s="4" cm="1">
        <f t="array" aca="1" ref="P9:AA9" ca="1">ROUND(TRANSPOSE(INDIRECT("output!K"&amp;$A9+2&amp;":K"&amp;$A9+13)),2)</f>
        <v>0.28000000000000003</v>
      </c>
      <c r="Q9" s="4">
        <f ca="1"/>
        <v>0.44</v>
      </c>
      <c r="R9" s="4">
        <f ca="1"/>
        <v>0.02</v>
      </c>
      <c r="S9" s="4">
        <f ca="1"/>
        <v>0.15</v>
      </c>
      <c r="T9" s="4">
        <f ca="1"/>
        <v>0.06</v>
      </c>
      <c r="U9" s="4">
        <f ca="1"/>
        <v>0.52</v>
      </c>
      <c r="V9" s="4">
        <f ca="1"/>
        <v>0.08</v>
      </c>
      <c r="W9" s="4">
        <f ca="1"/>
        <v>0.3</v>
      </c>
      <c r="X9" s="4">
        <f ca="1"/>
        <v>0.12</v>
      </c>
      <c r="Y9" s="4">
        <f ca="1"/>
        <v>0</v>
      </c>
      <c r="Z9" s="4">
        <f ca="1"/>
        <v>0.12</v>
      </c>
      <c r="AA9" s="4">
        <f ca="1"/>
        <v>0.03</v>
      </c>
    </row>
    <row r="10" spans="1:27" x14ac:dyDescent="0.25">
      <c r="A10" s="3">
        <f t="shared" si="0"/>
        <v>96</v>
      </c>
      <c r="B10" s="3" t="s">
        <v>33</v>
      </c>
      <c r="C10" s="4" cm="1">
        <f t="array" aca="1" ref="C10:N10" ca="1">ROUND(TRANSPOSE(INDIRECT("output!L"&amp;$A10+2&amp;":L"&amp;$A10+13)),2)</f>
        <v>0.34</v>
      </c>
      <c r="D10" s="4">
        <f ca="1"/>
        <v>0.6</v>
      </c>
      <c r="E10" s="4">
        <f ca="1"/>
        <v>2.06</v>
      </c>
      <c r="F10" s="4">
        <f ca="1"/>
        <v>0.28000000000000003</v>
      </c>
      <c r="G10" s="4">
        <f ca="1"/>
        <v>1.26</v>
      </c>
      <c r="H10" s="4">
        <f ca="1"/>
        <v>-0.01</v>
      </c>
      <c r="I10" s="4">
        <f ca="1"/>
        <v>1.0900000000000001</v>
      </c>
      <c r="J10" s="4">
        <f ca="1"/>
        <v>0.82</v>
      </c>
      <c r="K10" s="4">
        <f ca="1"/>
        <v>0.06</v>
      </c>
      <c r="L10" s="4">
        <f ca="1"/>
        <v>-0.08</v>
      </c>
      <c r="M10" s="4">
        <f ca="1"/>
        <v>0.09</v>
      </c>
      <c r="N10" s="4">
        <f ca="1"/>
        <v>0.06</v>
      </c>
      <c r="P10" s="4" cm="1">
        <f t="array" aca="1" ref="P10:AA10" ca="1">ROUND(TRANSPOSE(INDIRECT("output!K"&amp;$A10+2&amp;":K"&amp;$A10+13)),2)</f>
        <v>0.2</v>
      </c>
      <c r="Q10" s="4">
        <f ca="1"/>
        <v>0.08</v>
      </c>
      <c r="R10" s="4">
        <f ca="1"/>
        <v>0.01</v>
      </c>
      <c r="S10" s="4">
        <f ca="1"/>
        <v>0.23</v>
      </c>
      <c r="T10" s="4">
        <f ca="1"/>
        <v>0.02</v>
      </c>
      <c r="U10" s="4">
        <f ca="1"/>
        <v>0.77</v>
      </c>
      <c r="V10" s="4">
        <f ca="1"/>
        <v>0.04</v>
      </c>
      <c r="W10" s="4">
        <f ca="1"/>
        <v>0.03</v>
      </c>
      <c r="X10" s="4">
        <f ca="1"/>
        <v>0.45</v>
      </c>
      <c r="Y10" s="4">
        <f ca="1"/>
        <v>0.31</v>
      </c>
      <c r="Z10" s="4">
        <f ca="1"/>
        <v>0.37</v>
      </c>
      <c r="AA10" s="4">
        <f ca="1"/>
        <v>0.52</v>
      </c>
    </row>
    <row r="11" spans="1:27" x14ac:dyDescent="0.25">
      <c r="A11" s="3">
        <f t="shared" si="0"/>
        <v>108</v>
      </c>
      <c r="B11" s="3" t="s">
        <v>34</v>
      </c>
      <c r="C11" s="4" cm="1">
        <f t="array" aca="1" ref="C11:N11" ca="1">ROUND(TRANSPOSE(INDIRECT("output!L"&amp;$A11+2&amp;":L"&amp;$A11+13)),2)</f>
        <v>-0.01</v>
      </c>
      <c r="D11" s="4">
        <f ca="1"/>
        <v>0.74</v>
      </c>
      <c r="E11" s="4">
        <f ca="1"/>
        <v>1.35</v>
      </c>
      <c r="F11" s="4">
        <f ca="1"/>
        <v>0.14000000000000001</v>
      </c>
      <c r="G11" s="4">
        <f ca="1"/>
        <v>0.93</v>
      </c>
      <c r="H11" s="4">
        <f ca="1"/>
        <v>-0.05</v>
      </c>
      <c r="I11" s="4">
        <f ca="1"/>
        <v>0.73</v>
      </c>
      <c r="J11" s="4">
        <f ca="1"/>
        <v>0.68</v>
      </c>
      <c r="K11" s="4">
        <f ca="1"/>
        <v>0.03</v>
      </c>
      <c r="L11" s="4">
        <f ca="1"/>
        <v>-0.12</v>
      </c>
      <c r="M11" s="4">
        <f ca="1"/>
        <v>0.08</v>
      </c>
      <c r="N11" s="4">
        <f ca="1"/>
        <v>0</v>
      </c>
      <c r="P11" s="4" cm="1">
        <f t="array" aca="1" ref="P11:AA11" ca="1">ROUND(TRANSPOSE(INDIRECT("output!K"&amp;$A11+2&amp;":K"&amp;$A11+13)),2)</f>
        <v>0.82</v>
      </c>
      <c r="Q11" s="4">
        <f ca="1"/>
        <v>0.06</v>
      </c>
      <c r="R11" s="4">
        <f ca="1"/>
        <v>0.02</v>
      </c>
      <c r="S11" s="4">
        <f ca="1"/>
        <v>0.4</v>
      </c>
      <c r="T11" s="4">
        <f ca="1"/>
        <v>0.04</v>
      </c>
      <c r="U11" s="4">
        <f ca="1"/>
        <v>0.56999999999999995</v>
      </c>
      <c r="V11" s="4">
        <f ca="1"/>
        <v>0.09</v>
      </c>
      <c r="W11" s="4">
        <f ca="1"/>
        <v>0.05</v>
      </c>
      <c r="X11" s="4">
        <f ca="1"/>
        <v>0.6</v>
      </c>
      <c r="Y11" s="4">
        <f ca="1"/>
        <v>0.21</v>
      </c>
      <c r="Z11" s="4">
        <f ca="1"/>
        <v>0.42</v>
      </c>
      <c r="AA11" s="4">
        <f ca="1"/>
        <v>0.94</v>
      </c>
    </row>
    <row r="12" spans="1:27" x14ac:dyDescent="0.25">
      <c r="A12" s="3">
        <f t="shared" si="0"/>
        <v>120</v>
      </c>
      <c r="B12" s="3" t="s">
        <v>35</v>
      </c>
      <c r="C12" s="4" cm="1">
        <f t="array" aca="1" ref="C12:N12" ca="1">ROUND(TRANSPOSE(INDIRECT("output!L"&amp;$A12+2&amp;":L"&amp;$A12+13)),2)</f>
        <v>-0.13</v>
      </c>
      <c r="D12" s="4">
        <f ca="1"/>
        <v>0.47</v>
      </c>
      <c r="E12" s="4">
        <f ca="1"/>
        <v>1.38</v>
      </c>
      <c r="F12" s="4">
        <f ca="1"/>
        <v>2.36</v>
      </c>
      <c r="G12" s="4">
        <f ca="1"/>
        <v>1.71</v>
      </c>
      <c r="H12" s="4">
        <f ca="1"/>
        <v>7.0000000000000007E-2</v>
      </c>
      <c r="I12" s="4">
        <f ca="1"/>
        <v>6.11</v>
      </c>
      <c r="J12" s="4">
        <f ca="1"/>
        <v>6.37</v>
      </c>
      <c r="K12" s="4">
        <f ca="1"/>
        <v>0</v>
      </c>
      <c r="L12" s="4">
        <f ca="1"/>
        <v>-0.14000000000000001</v>
      </c>
      <c r="M12" s="4">
        <f ca="1"/>
        <v>0.03</v>
      </c>
      <c r="N12" s="4">
        <f ca="1"/>
        <v>0</v>
      </c>
      <c r="P12" s="4" cm="1">
        <f t="array" aca="1" ref="P12:AA12" ca="1">ROUND(TRANSPOSE(INDIRECT("output!K"&amp;$A12+2&amp;":K"&amp;$A12+13)),2)</f>
        <v>0.41</v>
      </c>
      <c r="Q12" s="4">
        <f ca="1"/>
        <v>0.12</v>
      </c>
      <c r="R12" s="4">
        <f ca="1"/>
        <v>0.02</v>
      </c>
      <c r="S12" s="4">
        <f ca="1"/>
        <v>0</v>
      </c>
      <c r="T12" s="4">
        <f ca="1"/>
        <v>0.01</v>
      </c>
      <c r="U12" s="4">
        <f ca="1"/>
        <v>0.51</v>
      </c>
      <c r="V12" s="4">
        <f ca="1"/>
        <v>0</v>
      </c>
      <c r="W12" s="4">
        <f ca="1"/>
        <v>0</v>
      </c>
      <c r="X12" s="4">
        <f ca="1"/>
        <v>0.93</v>
      </c>
      <c r="Y12" s="4">
        <f ca="1"/>
        <v>0.22</v>
      </c>
      <c r="Z12" s="4">
        <f ca="1"/>
        <v>0.65</v>
      </c>
      <c r="AA12" s="4">
        <f ca="1"/>
        <v>0.92</v>
      </c>
    </row>
    <row r="13" spans="1:27" x14ac:dyDescent="0.25">
      <c r="A13" s="3">
        <f t="shared" si="0"/>
        <v>132</v>
      </c>
      <c r="B13" s="3" t="s">
        <v>36</v>
      </c>
      <c r="C13" s="4" cm="1">
        <f t="array" aca="1" ref="C13:N13" ca="1">ROUND(TRANSPOSE(INDIRECT("output!L"&amp;$A13+2&amp;":L"&amp;$A13+13)),2)</f>
        <v>0.05</v>
      </c>
      <c r="D13" s="4">
        <f ca="1"/>
        <v>0.71</v>
      </c>
      <c r="E13" s="4">
        <f ca="1"/>
        <v>1.23</v>
      </c>
      <c r="F13" s="4">
        <f ca="1"/>
        <v>10.91</v>
      </c>
      <c r="G13" s="4">
        <f ca="1"/>
        <v>2.1800000000000002</v>
      </c>
      <c r="H13" s="4">
        <f ca="1"/>
        <v>0.06</v>
      </c>
      <c r="I13" s="4">
        <f ca="1"/>
        <v>14.58</v>
      </c>
      <c r="J13" s="4">
        <f ca="1"/>
        <v>4.57</v>
      </c>
      <c r="K13" s="4">
        <f ca="1"/>
        <v>-0.39</v>
      </c>
      <c r="L13" s="4">
        <f ca="1"/>
        <v>-22.42</v>
      </c>
      <c r="M13" s="4">
        <f ca="1"/>
        <v>-0.25</v>
      </c>
      <c r="N13" s="4">
        <f ca="1"/>
        <v>-0.37</v>
      </c>
      <c r="P13" s="4" cm="1">
        <f t="array" aca="1" ref="P13:AA13" ca="1">ROUND(TRANSPOSE(INDIRECT("output!K"&amp;$A13+2&amp;":K"&amp;$A13+13)),2)</f>
        <v>0.53</v>
      </c>
      <c r="Q13" s="4">
        <f ca="1"/>
        <v>0.08</v>
      </c>
      <c r="R13" s="4">
        <f ca="1"/>
        <v>0.03</v>
      </c>
      <c r="S13" s="4">
        <f ca="1"/>
        <v>0</v>
      </c>
      <c r="T13" s="4">
        <f ca="1"/>
        <v>0.01</v>
      </c>
      <c r="U13" s="4">
        <f ca="1"/>
        <v>0.53</v>
      </c>
      <c r="V13" s="4">
        <f ca="1"/>
        <v>0</v>
      </c>
      <c r="W13" s="4">
        <f ca="1"/>
        <v>0</v>
      </c>
      <c r="X13" s="4">
        <f ca="1"/>
        <v>0.27</v>
      </c>
      <c r="Y13" s="4">
        <f ca="1"/>
        <v>0</v>
      </c>
      <c r="Z13" s="4">
        <f ca="1"/>
        <v>0.33</v>
      </c>
      <c r="AA13" s="4">
        <f ca="1"/>
        <v>0.27</v>
      </c>
    </row>
    <row r="14" spans="1:27" x14ac:dyDescent="0.25">
      <c r="A14" s="3">
        <f t="shared" si="0"/>
        <v>144</v>
      </c>
      <c r="B14" s="3" t="s">
        <v>37</v>
      </c>
      <c r="C14" s="4" cm="1">
        <f t="array" aca="1" ref="C14:N14" ca="1">ROUND(TRANSPOSE(INDIRECT("output!L"&amp;$A14+2&amp;":L"&amp;$A14+13)),2)</f>
        <v>-0.21</v>
      </c>
      <c r="D14" s="4">
        <f ca="1"/>
        <v>0.55000000000000004</v>
      </c>
      <c r="E14" s="4">
        <f ca="1"/>
        <v>2.4900000000000002</v>
      </c>
      <c r="F14" s="4">
        <f ca="1"/>
        <v>11.18</v>
      </c>
      <c r="G14" s="4">
        <f ca="1"/>
        <v>3.05</v>
      </c>
      <c r="H14" s="4">
        <f ca="1"/>
        <v>0.13</v>
      </c>
      <c r="I14" s="4">
        <f ca="1"/>
        <v>12.97</v>
      </c>
      <c r="J14" s="4">
        <f ca="1"/>
        <v>4.05</v>
      </c>
      <c r="K14" s="4">
        <f ca="1"/>
        <v>-0.18</v>
      </c>
      <c r="L14" s="4">
        <f ca="1"/>
        <v>-0.17</v>
      </c>
      <c r="M14" s="4">
        <f ca="1"/>
        <v>-0.02</v>
      </c>
      <c r="N14" s="4">
        <f ca="1"/>
        <v>-0.19</v>
      </c>
      <c r="P14" s="4" cm="1">
        <f t="array" aca="1" ref="P14:AA14" ca="1">ROUND(TRANSPOSE(INDIRECT("output!K"&amp;$A14+2&amp;":K"&amp;$A14+13)),2)</f>
        <v>0.3</v>
      </c>
      <c r="Q14" s="4">
        <f ca="1"/>
        <v>0.12</v>
      </c>
      <c r="R14" s="4">
        <f ca="1"/>
        <v>0</v>
      </c>
      <c r="S14" s="4">
        <f ca="1"/>
        <v>0</v>
      </c>
      <c r="T14" s="4">
        <f ca="1"/>
        <v>0</v>
      </c>
      <c r="U14" s="4">
        <f ca="1"/>
        <v>0.41</v>
      </c>
      <c r="V14" s="4">
        <f ca="1"/>
        <v>0</v>
      </c>
      <c r="W14" s="4">
        <f ca="1"/>
        <v>0</v>
      </c>
      <c r="X14" s="4">
        <f ca="1"/>
        <v>0.44</v>
      </c>
      <c r="Y14" s="4">
        <f ca="1"/>
        <v>0.17</v>
      </c>
      <c r="Z14" s="4">
        <f ca="1"/>
        <v>0.73</v>
      </c>
      <c r="AA14" s="4">
        <f ca="1"/>
        <v>0.36</v>
      </c>
    </row>
    <row r="15" spans="1:27" x14ac:dyDescent="0.25">
      <c r="A15" s="3">
        <f t="shared" si="0"/>
        <v>156</v>
      </c>
      <c r="B15" s="3" t="s">
        <v>38</v>
      </c>
      <c r="C15" s="4" cm="1">
        <f t="array" aca="1" ref="C15:N15" ca="1">ROUND(TRANSPOSE(INDIRECT("output!L"&amp;$A15+2&amp;":L"&amp;$A15+13)),2)</f>
        <v>0.13</v>
      </c>
      <c r="D15" s="4">
        <f ca="1"/>
        <v>0</v>
      </c>
      <c r="E15" s="4">
        <f ca="1"/>
        <v>0.34</v>
      </c>
      <c r="F15" s="4">
        <f ca="1"/>
        <v>2.39</v>
      </c>
      <c r="G15" s="4">
        <f ca="1"/>
        <v>0.45</v>
      </c>
      <c r="H15" s="4">
        <f ca="1"/>
        <v>1.06</v>
      </c>
      <c r="I15" s="4">
        <f ca="1"/>
        <v>4.04</v>
      </c>
      <c r="J15" s="4">
        <f ca="1"/>
        <v>4.21</v>
      </c>
      <c r="K15" s="4">
        <f ca="1"/>
        <v>0</v>
      </c>
      <c r="L15" s="4">
        <f ca="1"/>
        <v>-0.08</v>
      </c>
      <c r="M15" s="4">
        <f ca="1"/>
        <v>0.02</v>
      </c>
      <c r="N15" s="4">
        <f ca="1"/>
        <v>0.01</v>
      </c>
      <c r="P15" s="4" cm="1">
        <f t="array" aca="1" ref="P15:AA15" ca="1">ROUND(TRANSPOSE(INDIRECT("output!K"&amp;$A15+2&amp;":K"&amp;$A15+13)),2)</f>
        <v>0.38</v>
      </c>
      <c r="Q15" s="4">
        <f ca="1"/>
        <v>0.94</v>
      </c>
      <c r="R15" s="4">
        <f ca="1"/>
        <v>0.21</v>
      </c>
      <c r="S15" s="4">
        <f ca="1"/>
        <v>0</v>
      </c>
      <c r="T15" s="4">
        <f ca="1"/>
        <v>0.12</v>
      </c>
      <c r="U15" s="4">
        <f ca="1"/>
        <v>0.03</v>
      </c>
      <c r="V15" s="4">
        <f ca="1"/>
        <v>0</v>
      </c>
      <c r="W15" s="4">
        <f ca="1"/>
        <v>0</v>
      </c>
      <c r="X15" s="4">
        <f ca="1"/>
        <v>0.85</v>
      </c>
      <c r="Y15" s="4">
        <f ca="1"/>
        <v>0.33</v>
      </c>
      <c r="Z15" s="4">
        <f ca="1"/>
        <v>0.71</v>
      </c>
      <c r="AA15" s="4">
        <f ca="1"/>
        <v>0.78</v>
      </c>
    </row>
    <row r="16" spans="1:27" x14ac:dyDescent="0.25">
      <c r="A16" s="3">
        <f t="shared" si="0"/>
        <v>168</v>
      </c>
      <c r="B16" s="3" t="s">
        <v>39</v>
      </c>
      <c r="C16" s="4" cm="1">
        <f t="array" aca="1" ref="C16:N16" ca="1">ROUND(TRANSPOSE(INDIRECT("output!L"&amp;$A16+2&amp;":L"&amp;$A16+13)),2)</f>
        <v>0.34</v>
      </c>
      <c r="D16" s="4">
        <f ca="1"/>
        <v>0.15</v>
      </c>
      <c r="E16" s="4">
        <f ca="1"/>
        <v>0.66</v>
      </c>
      <c r="F16" s="4">
        <f ca="1"/>
        <v>3.73</v>
      </c>
      <c r="G16" s="4">
        <f ca="1"/>
        <v>1.02</v>
      </c>
      <c r="H16" s="4">
        <f ca="1"/>
        <v>0.38</v>
      </c>
      <c r="I16" s="4">
        <f ca="1"/>
        <v>3.14</v>
      </c>
      <c r="J16" s="4">
        <f ca="1"/>
        <v>0.35</v>
      </c>
      <c r="K16" s="4">
        <f ca="1"/>
        <v>0.81</v>
      </c>
      <c r="L16" s="4">
        <f ca="1"/>
        <v>-0.06</v>
      </c>
      <c r="M16" s="4">
        <f ca="1"/>
        <v>1</v>
      </c>
      <c r="N16" s="4">
        <f ca="1"/>
        <v>0.54</v>
      </c>
      <c r="P16" s="4" cm="1">
        <f t="array" aca="1" ref="P16:AA16" ca="1">ROUND(TRANSPOSE(INDIRECT("output!K"&amp;$A16+2&amp;":K"&amp;$A16+13)),2)</f>
        <v>0.18</v>
      </c>
      <c r="Q16" s="4">
        <f ca="1"/>
        <v>0.34</v>
      </c>
      <c r="R16" s="4">
        <f ca="1"/>
        <v>0.09</v>
      </c>
      <c r="S16" s="4">
        <f ca="1"/>
        <v>0</v>
      </c>
      <c r="T16" s="4">
        <f ca="1"/>
        <v>0.04</v>
      </c>
      <c r="U16" s="4">
        <f ca="1"/>
        <v>0.16</v>
      </c>
      <c r="V16" s="4">
        <f ca="1"/>
        <v>0</v>
      </c>
      <c r="W16" s="4">
        <f ca="1"/>
        <v>0.18</v>
      </c>
      <c r="X16" s="4">
        <f ca="1"/>
        <v>0.02</v>
      </c>
      <c r="Y16" s="4">
        <f ca="1"/>
        <v>0.4</v>
      </c>
      <c r="Z16" s="4">
        <f ca="1"/>
        <v>0.01</v>
      </c>
      <c r="AA16" s="4">
        <f ca="1"/>
        <v>0.04</v>
      </c>
    </row>
    <row r="17" spans="1:27" x14ac:dyDescent="0.25">
      <c r="A17" s="3">
        <f t="shared" si="0"/>
        <v>180</v>
      </c>
      <c r="B17" s="3" t="s">
        <v>40</v>
      </c>
      <c r="C17" s="4" cm="1">
        <f t="array" aca="1" ref="C17:N17" ca="1">ROUND(TRANSPOSE(INDIRECT("output!L"&amp;$A17+2&amp;":L"&amp;$A17+13)),2)</f>
        <v>-0.03</v>
      </c>
      <c r="D17" s="4">
        <f ca="1"/>
        <v>1.32</v>
      </c>
      <c r="E17" s="4">
        <f ca="1"/>
        <v>1.6</v>
      </c>
      <c r="F17" s="4">
        <f ca="1"/>
        <v>8.77</v>
      </c>
      <c r="G17" s="4">
        <f ca="1"/>
        <v>3.03</v>
      </c>
      <c r="H17" s="4">
        <f ca="1"/>
        <v>0.02</v>
      </c>
      <c r="I17" s="4">
        <f ca="1"/>
        <v>4.0199999999999996</v>
      </c>
      <c r="J17" s="4">
        <f ca="1"/>
        <v>0.06</v>
      </c>
      <c r="K17" s="4">
        <f ca="1"/>
        <v>0.26</v>
      </c>
      <c r="L17" s="4">
        <f ca="1"/>
        <v>-0.05</v>
      </c>
      <c r="M17" s="4">
        <f ca="1"/>
        <v>0.28000000000000003</v>
      </c>
      <c r="N17" s="4">
        <f ca="1"/>
        <v>0.28000000000000003</v>
      </c>
      <c r="P17" s="4" cm="1">
        <f t="array" aca="1" ref="P17:AA17" ca="1">ROUND(TRANSPOSE(INDIRECT("output!K"&amp;$A17+2&amp;":K"&amp;$A17+13)),2)</f>
        <v>0.63</v>
      </c>
      <c r="Q17" s="4">
        <f ca="1"/>
        <v>0.03</v>
      </c>
      <c r="R17" s="4">
        <f ca="1"/>
        <v>0.02</v>
      </c>
      <c r="S17" s="4">
        <f ca="1"/>
        <v>0</v>
      </c>
      <c r="T17" s="4">
        <f ca="1"/>
        <v>0</v>
      </c>
      <c r="U17" s="4">
        <f ca="1"/>
        <v>0.7</v>
      </c>
      <c r="V17" s="4">
        <f ca="1"/>
        <v>0</v>
      </c>
      <c r="W17" s="4">
        <f ca="1"/>
        <v>0.56000000000000005</v>
      </c>
      <c r="X17" s="4">
        <f ca="1"/>
        <v>0.2</v>
      </c>
      <c r="Y17" s="4">
        <f ca="1"/>
        <v>0.44</v>
      </c>
      <c r="Z17" s="4">
        <f ca="1"/>
        <v>0.17</v>
      </c>
      <c r="AA17" s="4">
        <f ca="1"/>
        <v>0.19</v>
      </c>
    </row>
    <row r="18" spans="1:27" x14ac:dyDescent="0.25">
      <c r="A18" s="3">
        <f t="shared" si="0"/>
        <v>192</v>
      </c>
      <c r="B18" s="3" t="s">
        <v>41</v>
      </c>
      <c r="C18" s="4" cm="1">
        <f t="array" aca="1" ref="C18:N18" ca="1">ROUND(TRANSPOSE(INDIRECT("output!L"&amp;$A18+2&amp;":L"&amp;$A18+13)),2)</f>
        <v>-0.33</v>
      </c>
      <c r="D18" s="4">
        <f ca="1"/>
        <v>0.69</v>
      </c>
      <c r="E18" s="4">
        <f ca="1"/>
        <v>1.06</v>
      </c>
      <c r="F18" s="4">
        <f ca="1"/>
        <v>5.22</v>
      </c>
      <c r="G18" s="4">
        <f ca="1"/>
        <v>1.75</v>
      </c>
      <c r="H18" s="4">
        <f ca="1"/>
        <v>0.05</v>
      </c>
      <c r="I18" s="4">
        <f ca="1"/>
        <v>1.41</v>
      </c>
      <c r="J18" s="4">
        <f ca="1"/>
        <v>-0.1</v>
      </c>
      <c r="K18" s="4">
        <f ca="1"/>
        <v>0.02</v>
      </c>
      <c r="L18" s="4">
        <f ca="1"/>
        <v>-0.05</v>
      </c>
      <c r="M18" s="4">
        <f ca="1"/>
        <v>0.04</v>
      </c>
      <c r="N18" s="4">
        <f ca="1"/>
        <v>0</v>
      </c>
      <c r="P18" s="4" cm="1">
        <f t="array" aca="1" ref="P18:AA18" ca="1">ROUND(TRANSPOSE(INDIRECT("output!K"&amp;$A18+2&amp;":K"&amp;$A18+13)),2)</f>
        <v>0.23</v>
      </c>
      <c r="Q18" s="4">
        <f ca="1"/>
        <v>0.1</v>
      </c>
      <c r="R18" s="4">
        <f ca="1"/>
        <v>0.05</v>
      </c>
      <c r="S18" s="4">
        <f ca="1"/>
        <v>0</v>
      </c>
      <c r="T18" s="4">
        <f ca="1"/>
        <v>0.01</v>
      </c>
      <c r="U18" s="4">
        <f ca="1"/>
        <v>0.57999999999999996</v>
      </c>
      <c r="V18" s="4">
        <f ca="1"/>
        <v>0.02</v>
      </c>
      <c r="W18" s="4">
        <f ca="1"/>
        <v>0.51</v>
      </c>
      <c r="X18" s="4">
        <f ca="1"/>
        <v>0.73</v>
      </c>
      <c r="Y18" s="4">
        <f ca="1"/>
        <v>0.46</v>
      </c>
      <c r="Z18" s="4">
        <f ca="1"/>
        <v>0.57999999999999996</v>
      </c>
      <c r="AA18" s="4">
        <f ca="1"/>
        <v>0.86</v>
      </c>
    </row>
    <row r="19" spans="1:27" x14ac:dyDescent="0.25">
      <c r="A19" s="3">
        <f t="shared" si="0"/>
        <v>204</v>
      </c>
      <c r="B19" s="3" t="s">
        <v>42</v>
      </c>
      <c r="C19" s="4" cm="1">
        <f t="array" aca="1" ref="C19:N19" ca="1">ROUND(TRANSPOSE(INDIRECT("output!L"&amp;$A19+2&amp;":L"&amp;$A19+13)),2)</f>
        <v>0.13</v>
      </c>
      <c r="D19" s="4">
        <f ca="1"/>
        <v>0.11</v>
      </c>
      <c r="E19" s="4">
        <f ca="1"/>
        <v>2.42</v>
      </c>
      <c r="F19" s="4">
        <f ca="1"/>
        <v>6.22</v>
      </c>
      <c r="G19" s="4">
        <f ca="1"/>
        <v>1.96</v>
      </c>
      <c r="H19" s="4">
        <f ca="1"/>
        <v>0.68</v>
      </c>
      <c r="I19" s="4">
        <f ca="1"/>
        <v>2.5499999999999998</v>
      </c>
      <c r="J19" s="4">
        <f ca="1"/>
        <v>0.01</v>
      </c>
      <c r="K19" s="4">
        <f ca="1"/>
        <v>-0.1</v>
      </c>
      <c r="L19" s="4">
        <f ca="1"/>
        <v>-0.26</v>
      </c>
      <c r="M19" s="4">
        <f ca="1"/>
        <v>-0.01</v>
      </c>
      <c r="N19" s="4">
        <f ca="1"/>
        <v>-0.27</v>
      </c>
      <c r="P19" s="4" cm="1">
        <f t="array" aca="1" ref="P19:AA19" ca="1">ROUND(TRANSPOSE(INDIRECT("output!K"&amp;$A19+2&amp;":K"&amp;$A19+13)),2)</f>
        <v>0.42</v>
      </c>
      <c r="Q19" s="4">
        <f ca="1"/>
        <v>0.46</v>
      </c>
      <c r="R19" s="4">
        <f ca="1"/>
        <v>0</v>
      </c>
      <c r="S19" s="4">
        <f ca="1"/>
        <v>0</v>
      </c>
      <c r="T19" s="4">
        <f ca="1"/>
        <v>0.01</v>
      </c>
      <c r="U19" s="4">
        <f ca="1"/>
        <v>0.12</v>
      </c>
      <c r="V19" s="4">
        <f ca="1"/>
        <v>0</v>
      </c>
      <c r="W19" s="4">
        <f ca="1"/>
        <v>0.85</v>
      </c>
      <c r="X19" s="4">
        <f ca="1"/>
        <v>0.49</v>
      </c>
      <c r="Y19" s="4">
        <f ca="1"/>
        <v>0.12</v>
      </c>
      <c r="Z19" s="4">
        <f ca="1"/>
        <v>0.85</v>
      </c>
      <c r="AA19" s="4">
        <f ca="1"/>
        <v>0.27</v>
      </c>
    </row>
    <row r="20" spans="1:27" x14ac:dyDescent="0.25">
      <c r="A20" s="3">
        <f t="shared" si="0"/>
        <v>216</v>
      </c>
      <c r="B20" s="3" t="s">
        <v>43</v>
      </c>
      <c r="C20" s="4" cm="1">
        <f t="array" aca="1" ref="C20:N20" ca="1">ROUND(TRANSPOSE(INDIRECT("output!L"&amp;$A20+2&amp;":L"&amp;$A20+13)),2)</f>
        <v>0.14000000000000001</v>
      </c>
      <c r="D20" s="4">
        <f ca="1"/>
        <v>0</v>
      </c>
      <c r="E20" s="4">
        <f ca="1"/>
        <v>2.02</v>
      </c>
      <c r="F20" s="4">
        <f ca="1"/>
        <v>4.5999999999999996</v>
      </c>
      <c r="G20" s="4">
        <f ca="1"/>
        <v>1.25</v>
      </c>
      <c r="H20" s="4">
        <f ca="1"/>
        <v>2.09</v>
      </c>
      <c r="I20" s="4">
        <f ca="1"/>
        <v>2.2000000000000002</v>
      </c>
      <c r="J20" s="4">
        <f ca="1"/>
        <v>0</v>
      </c>
      <c r="K20" s="4">
        <f ca="1"/>
        <v>0.04</v>
      </c>
      <c r="L20" s="4">
        <f ca="1"/>
        <v>-0.37</v>
      </c>
      <c r="M20" s="4">
        <f ca="1"/>
        <v>0.2</v>
      </c>
      <c r="N20" s="4">
        <f ca="1"/>
        <v>-0.01</v>
      </c>
      <c r="P20" s="4" cm="1">
        <f t="array" aca="1" ref="P20:AA20" ca="1">ROUND(TRANSPOSE(INDIRECT("output!K"&amp;$A20+2&amp;":K"&amp;$A20+13)),2)</f>
        <v>0.4</v>
      </c>
      <c r="Q20" s="4">
        <f ca="1"/>
        <v>0.93</v>
      </c>
      <c r="R20" s="4">
        <f ca="1"/>
        <v>0.01</v>
      </c>
      <c r="S20" s="4">
        <f ca="1"/>
        <v>0</v>
      </c>
      <c r="T20" s="4">
        <f ca="1"/>
        <v>0.02</v>
      </c>
      <c r="U20" s="4">
        <f ca="1"/>
        <v>0.01</v>
      </c>
      <c r="V20" s="4">
        <f ca="1"/>
        <v>0.01</v>
      </c>
      <c r="W20" s="4">
        <f ca="1"/>
        <v>0.93</v>
      </c>
      <c r="X20" s="4">
        <f ca="1"/>
        <v>0.57999999999999996</v>
      </c>
      <c r="Y20" s="4">
        <f ca="1"/>
        <v>0.09</v>
      </c>
      <c r="Z20" s="4">
        <f ca="1"/>
        <v>0.25</v>
      </c>
      <c r="AA20" s="4">
        <f ca="1"/>
        <v>0.82</v>
      </c>
    </row>
    <row r="21" spans="1:27" x14ac:dyDescent="0.25">
      <c r="A21" s="3">
        <f t="shared" si="0"/>
        <v>228</v>
      </c>
      <c r="B21" s="3" t="s">
        <v>44</v>
      </c>
      <c r="C21" s="4" cm="1">
        <f t="array" aca="1" ref="C21:N21" ca="1">ROUND(TRANSPOSE(INDIRECT("output!L"&amp;$A21+2&amp;":L"&amp;$A21+13)),2)</f>
        <v>0.02</v>
      </c>
      <c r="D21" s="4">
        <f ca="1"/>
        <v>0</v>
      </c>
      <c r="E21" s="4">
        <f ca="1"/>
        <v>2.04</v>
      </c>
      <c r="F21" s="4">
        <f ca="1"/>
        <v>4.75</v>
      </c>
      <c r="G21" s="4">
        <f ca="1"/>
        <v>1.69</v>
      </c>
      <c r="H21" s="4">
        <f ca="1"/>
        <v>1.97</v>
      </c>
      <c r="I21" s="4">
        <f ca="1"/>
        <v>2.2000000000000002</v>
      </c>
      <c r="J21" s="4">
        <f ca="1"/>
        <v>-0.01</v>
      </c>
      <c r="K21" s="4">
        <f ca="1"/>
        <v>0.11</v>
      </c>
      <c r="L21" s="4">
        <f ca="1"/>
        <v>-0.17</v>
      </c>
      <c r="M21" s="4">
        <f ca="1"/>
        <v>0.24</v>
      </c>
      <c r="N21" s="4">
        <f ca="1"/>
        <v>0.02</v>
      </c>
      <c r="P21" s="4" cm="1">
        <f t="array" aca="1" ref="P21:AA21" ca="1">ROUND(TRANSPOSE(INDIRECT("output!K"&amp;$A21+2&amp;":K"&amp;$A21+13)),2)</f>
        <v>0.69</v>
      </c>
      <c r="Q21" s="4">
        <f ca="1"/>
        <v>0.85</v>
      </c>
      <c r="R21" s="4">
        <f ca="1"/>
        <v>0</v>
      </c>
      <c r="S21" s="4">
        <f ca="1"/>
        <v>0</v>
      </c>
      <c r="T21" s="4">
        <f ca="1"/>
        <v>0.01</v>
      </c>
      <c r="U21" s="4">
        <f ca="1"/>
        <v>0.01</v>
      </c>
      <c r="V21" s="4">
        <f ca="1"/>
        <v>0</v>
      </c>
      <c r="W21" s="4">
        <f ca="1"/>
        <v>0.84</v>
      </c>
      <c r="X21" s="4">
        <f ca="1"/>
        <v>0.35</v>
      </c>
      <c r="Y21" s="4">
        <f ca="1"/>
        <v>0.21</v>
      </c>
      <c r="Z21" s="4">
        <f ca="1"/>
        <v>0.19</v>
      </c>
      <c r="AA21" s="4">
        <f ca="1"/>
        <v>0.68</v>
      </c>
    </row>
    <row r="22" spans="1:27" x14ac:dyDescent="0.25">
      <c r="A22" s="3">
        <f t="shared" si="0"/>
        <v>240</v>
      </c>
      <c r="B22" s="3" t="s">
        <v>45</v>
      </c>
      <c r="C22" s="4" cm="1">
        <f t="array" aca="1" ref="C22:N22" ca="1">ROUND(TRANSPOSE(INDIRECT("output!L"&amp;$A22+2&amp;":L"&amp;$A22+13)),2)</f>
        <v>-0.08</v>
      </c>
      <c r="D22" s="4">
        <f ca="1"/>
        <v>0.03</v>
      </c>
      <c r="E22" s="4">
        <f ca="1"/>
        <v>2.0299999999999998</v>
      </c>
      <c r="F22" s="4">
        <f ca="1"/>
        <v>3.96</v>
      </c>
      <c r="G22" s="4">
        <f ca="1"/>
        <v>1.66</v>
      </c>
      <c r="H22" s="4">
        <f ca="1"/>
        <v>1.46</v>
      </c>
      <c r="I22" s="4">
        <f ca="1"/>
        <v>2.15</v>
      </c>
      <c r="J22" s="4">
        <f ca="1"/>
        <v>0</v>
      </c>
      <c r="K22" s="4">
        <f ca="1"/>
        <v>0</v>
      </c>
      <c r="L22" s="4">
        <f ca="1"/>
        <v>0</v>
      </c>
      <c r="M22" s="4">
        <f ca="1"/>
        <v>0</v>
      </c>
      <c r="N22" s="4">
        <f ca="1"/>
        <v>-0.02</v>
      </c>
      <c r="P22" s="4" cm="1">
        <f t="array" aca="1" ref="P22:AA22" ca="1">ROUND(TRANSPOSE(INDIRECT("output!K"&amp;$A22+2&amp;":K"&amp;$A22+13)),2)</f>
        <v>0.47</v>
      </c>
      <c r="Q22" s="4">
        <f ca="1"/>
        <v>0.63</v>
      </c>
      <c r="R22" s="4">
        <f ca="1"/>
        <v>0.01</v>
      </c>
      <c r="S22" s="4">
        <f ca="1"/>
        <v>0</v>
      </c>
      <c r="T22" s="4">
        <f ca="1"/>
        <v>0.01</v>
      </c>
      <c r="U22" s="4">
        <f ca="1"/>
        <v>0.02</v>
      </c>
      <c r="V22" s="4">
        <f ca="1"/>
        <v>0.01</v>
      </c>
      <c r="W22" s="4">
        <f ca="1"/>
        <v>0.91</v>
      </c>
      <c r="X22" s="4">
        <f ca="1"/>
        <v>0.85</v>
      </c>
      <c r="Y22" s="4">
        <f ca="1"/>
        <v>0</v>
      </c>
      <c r="Z22" s="4">
        <f ca="1"/>
        <v>0.85</v>
      </c>
      <c r="AA22" s="4">
        <f ca="1"/>
        <v>0.72</v>
      </c>
    </row>
    <row r="23" spans="1:27" x14ac:dyDescent="0.25">
      <c r="A23" s="3">
        <f t="shared" si="0"/>
        <v>252</v>
      </c>
      <c r="B23" s="3" t="s">
        <v>46</v>
      </c>
      <c r="C23" s="4" cm="1">
        <f t="array" aca="1" ref="C23:N23" ca="1">ROUND(TRANSPOSE(INDIRECT("output!L"&amp;$A23+2&amp;":L"&amp;$A23+13)),2)</f>
        <v>-0.25</v>
      </c>
      <c r="D23" s="4">
        <f ca="1"/>
        <v>-0.01</v>
      </c>
      <c r="E23" s="4">
        <f ca="1"/>
        <v>0.83</v>
      </c>
      <c r="F23" s="4">
        <f ca="1"/>
        <v>2.27</v>
      </c>
      <c r="G23" s="4">
        <f ca="1"/>
        <v>0.72</v>
      </c>
      <c r="H23" s="4">
        <f ca="1"/>
        <v>1.92</v>
      </c>
      <c r="I23" s="4">
        <f ca="1"/>
        <v>1.89</v>
      </c>
      <c r="J23" s="4">
        <f ca="1"/>
        <v>0.36</v>
      </c>
      <c r="K23" s="4">
        <f ca="1"/>
        <v>-0.45</v>
      </c>
      <c r="L23" s="4">
        <f ca="1"/>
        <v>0</v>
      </c>
      <c r="M23" s="4">
        <f ca="1"/>
        <v>-0.45</v>
      </c>
      <c r="N23" s="4">
        <f ca="1"/>
        <v>-0.48</v>
      </c>
      <c r="P23" s="4" cm="1">
        <f t="array" aca="1" ref="P23:AA23" ca="1">ROUND(TRANSPOSE(INDIRECT("output!K"&amp;$A23+2&amp;":K"&amp;$A23+13)),2)</f>
        <v>0.28000000000000003</v>
      </c>
      <c r="Q23" s="4">
        <f ca="1"/>
        <v>0.75</v>
      </c>
      <c r="R23" s="4">
        <f ca="1"/>
        <v>0.06</v>
      </c>
      <c r="S23" s="4">
        <f ca="1"/>
        <v>0</v>
      </c>
      <c r="T23" s="4">
        <f ca="1"/>
        <v>0.06</v>
      </c>
      <c r="U23" s="4">
        <f ca="1"/>
        <v>0.01</v>
      </c>
      <c r="V23" s="4">
        <f ca="1"/>
        <v>0.01</v>
      </c>
      <c r="W23" s="4">
        <f ca="1"/>
        <v>0.2</v>
      </c>
      <c r="X23" s="4">
        <f ca="1"/>
        <v>0.2</v>
      </c>
      <c r="Y23" s="4">
        <f ca="1"/>
        <v>0</v>
      </c>
      <c r="Z23" s="4">
        <f ca="1"/>
        <v>0.2</v>
      </c>
      <c r="AA23" s="4">
        <f ca="1"/>
        <v>0.2</v>
      </c>
    </row>
    <row r="24" spans="1:27" x14ac:dyDescent="0.25">
      <c r="A24" s="3">
        <f t="shared" si="0"/>
        <v>264</v>
      </c>
      <c r="B24" s="3" t="s">
        <v>47</v>
      </c>
      <c r="C24" s="4" cm="1">
        <f t="array" aca="1" ref="C24:N24" ca="1">ROUND(TRANSPOSE(INDIRECT("output!L"&amp;$A24+2&amp;":L"&amp;$A24+13)),2)</f>
        <v>0.31</v>
      </c>
      <c r="D24" s="4">
        <f ca="1"/>
        <v>0</v>
      </c>
      <c r="E24" s="4">
        <f ca="1"/>
        <v>0.1</v>
      </c>
      <c r="F24" s="4">
        <f ca="1"/>
        <v>0.49</v>
      </c>
      <c r="G24" s="4">
        <f ca="1"/>
        <v>0.14000000000000001</v>
      </c>
      <c r="H24" s="4">
        <f ca="1"/>
        <v>0.51</v>
      </c>
      <c r="I24" s="4">
        <f ca="1"/>
        <v>0.52</v>
      </c>
      <c r="J24" s="4">
        <f ca="1"/>
        <v>0.34</v>
      </c>
      <c r="K24" s="4">
        <f ca="1"/>
        <v>-0.04</v>
      </c>
      <c r="L24" s="4">
        <f ca="1"/>
        <v>0</v>
      </c>
      <c r="M24" s="4">
        <f ca="1"/>
        <v>-0.04</v>
      </c>
      <c r="N24" s="4">
        <f ca="1"/>
        <v>-0.04</v>
      </c>
      <c r="P24" s="4" cm="1">
        <f t="array" aca="1" ref="P24:AA24" ca="1">ROUND(TRANSPOSE(INDIRECT("output!K"&amp;$A24+2&amp;":K"&amp;$A24+13)),2)</f>
        <v>0.25</v>
      </c>
      <c r="Q24" s="4">
        <f ca="1"/>
        <v>0.93</v>
      </c>
      <c r="R24" s="4">
        <f ca="1"/>
        <v>0.53</v>
      </c>
      <c r="S24" s="4">
        <f ca="1"/>
        <v>0.17</v>
      </c>
      <c r="T24" s="4">
        <f ca="1"/>
        <v>0.43</v>
      </c>
      <c r="U24" s="4">
        <f ca="1"/>
        <v>0.16</v>
      </c>
      <c r="V24" s="4">
        <f ca="1"/>
        <v>0.18</v>
      </c>
      <c r="W24" s="4">
        <f ca="1"/>
        <v>0.23</v>
      </c>
      <c r="X24" s="4">
        <f ca="1"/>
        <v>0.69</v>
      </c>
      <c r="Y24" s="4">
        <f ca="1"/>
        <v>0</v>
      </c>
      <c r="Z24" s="4">
        <f ca="1"/>
        <v>0.69</v>
      </c>
      <c r="AA24" s="4">
        <f ca="1"/>
        <v>0.69</v>
      </c>
    </row>
    <row r="25" spans="1:27" x14ac:dyDescent="0.25">
      <c r="A25" s="3">
        <f t="shared" si="0"/>
        <v>276</v>
      </c>
      <c r="B25" s="3" t="s">
        <v>48</v>
      </c>
      <c r="C25" s="4" cm="1">
        <f t="array" aca="1" ref="C25:N25" ca="1">ROUND(TRANSPOSE(INDIRECT("output!L"&amp;$A25+2&amp;":L"&amp;$A25+13)),2)</f>
        <v>0.15</v>
      </c>
      <c r="D25" s="4">
        <f ca="1"/>
        <v>0.03</v>
      </c>
      <c r="E25" s="4">
        <f ca="1"/>
        <v>0</v>
      </c>
      <c r="F25" s="4">
        <f ca="1"/>
        <v>0.51</v>
      </c>
      <c r="G25" s="4">
        <f ca="1"/>
        <v>7.0000000000000007E-2</v>
      </c>
      <c r="H25" s="4">
        <f ca="1"/>
        <v>0.13</v>
      </c>
      <c r="I25" s="4">
        <f ca="1"/>
        <v>0.23</v>
      </c>
      <c r="J25" s="4">
        <f ca="1"/>
        <v>0.01</v>
      </c>
      <c r="K25" s="4">
        <f ca="1"/>
        <v>0</v>
      </c>
      <c r="L25" s="4">
        <f ca="1"/>
        <v>-7.0000000000000007E-2</v>
      </c>
      <c r="M25" s="4">
        <f ca="1"/>
        <v>0.01</v>
      </c>
      <c r="N25" s="4">
        <f ca="1"/>
        <v>-0.01</v>
      </c>
      <c r="P25" s="4" cm="1">
        <f t="array" aca="1" ref="P25:AA25" ca="1">ROUND(TRANSPOSE(INDIRECT("output!K"&amp;$A25+2&amp;":K"&amp;$A25+13)),2)</f>
        <v>0.39</v>
      </c>
      <c r="Q25" s="4">
        <f ca="1"/>
        <v>0.69</v>
      </c>
      <c r="R25" s="4">
        <f ca="1"/>
        <v>0.96</v>
      </c>
      <c r="S25" s="4">
        <f ca="1"/>
        <v>0.14000000000000001</v>
      </c>
      <c r="T25" s="4">
        <f ca="1"/>
        <v>0.56000000000000005</v>
      </c>
      <c r="U25" s="4">
        <f ca="1"/>
        <v>0.42</v>
      </c>
      <c r="V25" s="4">
        <f ca="1"/>
        <v>0.31</v>
      </c>
      <c r="W25" s="4">
        <f ca="1"/>
        <v>0.79</v>
      </c>
      <c r="X25" s="4">
        <f ca="1"/>
        <v>0.95</v>
      </c>
      <c r="Y25" s="4">
        <f ca="1"/>
        <v>0.42</v>
      </c>
      <c r="Z25" s="4">
        <f ca="1"/>
        <v>0.77</v>
      </c>
      <c r="AA25" s="4">
        <f ca="1"/>
        <v>0.82</v>
      </c>
    </row>
    <row r="26" spans="1:27" x14ac:dyDescent="0.25">
      <c r="A26" s="3">
        <f t="shared" si="0"/>
        <v>288</v>
      </c>
      <c r="B26" s="3" t="s">
        <v>49</v>
      </c>
      <c r="C26" s="4" cm="1">
        <f t="array" aca="1" ref="C26:N26" ca="1">ROUND(TRANSPOSE(INDIRECT("output!L"&amp;$A26+2&amp;":L"&amp;$A26+13)),2)</f>
        <v>-0.05</v>
      </c>
      <c r="D26" s="4">
        <f ca="1"/>
        <v>0.01</v>
      </c>
      <c r="E26" s="4">
        <f ca="1"/>
        <v>0.02</v>
      </c>
      <c r="F26" s="4">
        <f ca="1"/>
        <v>0.96</v>
      </c>
      <c r="G26" s="4">
        <f ca="1"/>
        <v>0.12</v>
      </c>
      <c r="H26" s="4">
        <f ca="1"/>
        <v>0.61</v>
      </c>
      <c r="I26" s="4">
        <f ca="1"/>
        <v>0.36</v>
      </c>
      <c r="J26" s="4">
        <f ca="1"/>
        <v>0</v>
      </c>
      <c r="K26" s="4">
        <f ca="1"/>
        <v>0.24</v>
      </c>
      <c r="L26" s="4">
        <f ca="1"/>
        <v>-0.38</v>
      </c>
      <c r="M26" s="4">
        <f ca="1"/>
        <v>0.44</v>
      </c>
      <c r="N26" s="4">
        <f ca="1"/>
        <v>0.02</v>
      </c>
      <c r="P26" s="4" cm="1">
        <f t="array" aca="1" ref="P26:AA26" ca="1">ROUND(TRANSPOSE(INDIRECT("output!K"&amp;$A26+2&amp;":K"&amp;$A26+13)),2)</f>
        <v>0.56999999999999995</v>
      </c>
      <c r="Q26" s="4">
        <f ca="1"/>
        <v>0.82</v>
      </c>
      <c r="R26" s="4">
        <f ca="1"/>
        <v>0.77</v>
      </c>
      <c r="S26" s="4">
        <f ca="1"/>
        <v>0.05</v>
      </c>
      <c r="T26" s="4">
        <f ca="1"/>
        <v>0.44</v>
      </c>
      <c r="U26" s="4">
        <f ca="1"/>
        <v>0.11</v>
      </c>
      <c r="V26" s="4">
        <f ca="1"/>
        <v>0.2</v>
      </c>
      <c r="W26" s="4">
        <f ca="1"/>
        <v>0.92</v>
      </c>
      <c r="X26" s="4">
        <f ca="1"/>
        <v>0.19</v>
      </c>
      <c r="Y26" s="4">
        <f ca="1"/>
        <v>0.09</v>
      </c>
      <c r="Z26" s="4">
        <f ca="1"/>
        <v>0.09</v>
      </c>
      <c r="AA26" s="4">
        <f ca="1"/>
        <v>0.66</v>
      </c>
    </row>
    <row r="27" spans="1:27" x14ac:dyDescent="0.25">
      <c r="A27" s="3">
        <f t="shared" si="0"/>
        <v>300</v>
      </c>
      <c r="B27" s="3" t="s">
        <v>50</v>
      </c>
      <c r="C27" s="4" cm="1">
        <f t="array" aca="1" ref="C27:N27" ca="1">ROUND(TRANSPOSE(INDIRECT("output!L"&amp;$A27+2&amp;":L"&amp;$A27+13)),2)</f>
        <v>-3.61</v>
      </c>
      <c r="D27" s="4">
        <f ca="1"/>
        <v>0.04</v>
      </c>
      <c r="E27" s="4">
        <f ca="1"/>
        <v>0</v>
      </c>
      <c r="F27" s="4">
        <f ca="1"/>
        <v>1.01</v>
      </c>
      <c r="G27" s="4">
        <f ca="1"/>
        <v>0.12</v>
      </c>
      <c r="H27" s="4">
        <f ca="1"/>
        <v>0.26</v>
      </c>
      <c r="I27" s="4">
        <f ca="1"/>
        <v>0.36</v>
      </c>
      <c r="J27" s="4">
        <f ca="1"/>
        <v>0.01</v>
      </c>
      <c r="K27" s="4">
        <f ca="1"/>
        <v>0.08</v>
      </c>
      <c r="L27" s="4">
        <f ca="1"/>
        <v>-0.96</v>
      </c>
      <c r="M27" s="4">
        <f ca="1"/>
        <v>2.0299999999999998</v>
      </c>
      <c r="N27" s="4">
        <f ca="1"/>
        <v>-0.06</v>
      </c>
      <c r="P27" s="4" cm="1">
        <f t="array" aca="1" ref="P27:AA27" ca="1">ROUND(TRANSPOSE(INDIRECT("output!K"&amp;$A27+2&amp;":K"&amp;$A27+13)),2)</f>
        <v>0</v>
      </c>
      <c r="Q27" s="4">
        <f ca="1"/>
        <v>0.67</v>
      </c>
      <c r="R27" s="4">
        <f ca="1"/>
        <v>0.96</v>
      </c>
      <c r="S27" s="4">
        <f ca="1"/>
        <v>0.05</v>
      </c>
      <c r="T27" s="4">
        <f ca="1"/>
        <v>0.47</v>
      </c>
      <c r="U27" s="4">
        <f ca="1"/>
        <v>0.3</v>
      </c>
      <c r="V27" s="4">
        <f ca="1"/>
        <v>0.22</v>
      </c>
      <c r="W27" s="4">
        <f ca="1"/>
        <v>0.86</v>
      </c>
      <c r="X27" s="4">
        <f ca="1"/>
        <v>0.41</v>
      </c>
      <c r="Y27" s="4">
        <f ca="1"/>
        <v>0.01</v>
      </c>
      <c r="Z27" s="4">
        <f ca="1"/>
        <v>0</v>
      </c>
      <c r="AA27" s="4">
        <f ca="1"/>
        <v>0.55000000000000004</v>
      </c>
    </row>
  </sheetData>
  <conditionalFormatting sqref="C2:N2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:AA27">
    <cfRule type="cellIs" dxfId="1" priority="3" operator="between">
      <formula>0.05</formula>
      <formula>0.01</formula>
    </cfRule>
    <cfRule type="cellIs" dxfId="2" priority="2" operator="between">
      <formula>0.01</formula>
      <formula>0.001</formula>
    </cfRule>
    <cfRule type="cellIs" dxfId="0" priority="1" operator="lessThan">
      <formula>0.001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A4A5-17A8-42BE-B3F0-8CE940390373}">
  <dimension ref="A1:J27"/>
  <sheetViews>
    <sheetView tabSelected="1" workbookViewId="0">
      <selection activeCell="A2" sqref="A2:A27"/>
    </sheetView>
  </sheetViews>
  <sheetFormatPr defaultRowHeight="15" x14ac:dyDescent="0.25"/>
  <cols>
    <col min="1" max="1" width="5.7109375" style="3" bestFit="1" customWidth="1"/>
    <col min="2" max="2" width="5.7109375" bestFit="1" customWidth="1"/>
    <col min="3" max="3" width="5" bestFit="1" customWidth="1"/>
    <col min="4" max="5" width="6" bestFit="1" customWidth="1"/>
    <col min="7" max="10" width="5" bestFit="1" customWidth="1"/>
  </cols>
  <sheetData>
    <row r="1" spans="1:10" ht="107.25" x14ac:dyDescent="0.25">
      <c r="A1" s="2" t="s">
        <v>24</v>
      </c>
      <c r="B1" s="2" t="s">
        <v>13</v>
      </c>
      <c r="C1" s="2" t="s">
        <v>14</v>
      </c>
      <c r="D1" s="2" t="s">
        <v>15</v>
      </c>
      <c r="E1" s="2" t="s">
        <v>18</v>
      </c>
      <c r="G1" s="2" t="s">
        <v>13</v>
      </c>
      <c r="H1" s="2" t="s">
        <v>14</v>
      </c>
      <c r="I1" s="2" t="s">
        <v>15</v>
      </c>
      <c r="J1" s="2" t="s">
        <v>18</v>
      </c>
    </row>
    <row r="2" spans="1:10" x14ac:dyDescent="0.25">
      <c r="A2" s="3" t="s">
        <v>25</v>
      </c>
      <c r="B2">
        <f ca="1">clean!D2</f>
        <v>2.0699999999999998</v>
      </c>
      <c r="C2">
        <f ca="1">clean!E2</f>
        <v>1.61</v>
      </c>
      <c r="D2">
        <f ca="1">clean!F2</f>
        <v>3.44</v>
      </c>
      <c r="E2">
        <f ca="1">clean!I2</f>
        <v>6.14</v>
      </c>
      <c r="G2">
        <f ca="1">clean!Q2</f>
        <v>0.01</v>
      </c>
      <c r="H2">
        <f ca="1">clean!R2</f>
        <v>0.01</v>
      </c>
      <c r="I2">
        <f ca="1">clean!S2</f>
        <v>0</v>
      </c>
      <c r="J2">
        <f ca="1">clean!V2</f>
        <v>0</v>
      </c>
    </row>
    <row r="3" spans="1:10" x14ac:dyDescent="0.25">
      <c r="A3" s="3" t="s">
        <v>26</v>
      </c>
      <c r="B3">
        <f ca="1">clean!D3</f>
        <v>2.6</v>
      </c>
      <c r="C3">
        <f ca="1">clean!E3</f>
        <v>3.78</v>
      </c>
      <c r="D3">
        <f ca="1">clean!F3</f>
        <v>5.08</v>
      </c>
      <c r="E3">
        <f ca="1">clean!I3</f>
        <v>0.65</v>
      </c>
      <c r="G3">
        <f ca="1">clean!Q3</f>
        <v>0</v>
      </c>
      <c r="H3">
        <f ca="1">clean!R3</f>
        <v>0</v>
      </c>
      <c r="I3">
        <f ca="1">clean!S3</f>
        <v>0</v>
      </c>
      <c r="J3">
        <f ca="1">clean!V3</f>
        <v>0.08</v>
      </c>
    </row>
    <row r="4" spans="1:10" x14ac:dyDescent="0.25">
      <c r="A4" s="3" t="s">
        <v>27</v>
      </c>
      <c r="B4">
        <f ca="1">clean!D4</f>
        <v>1.61</v>
      </c>
      <c r="C4">
        <f ca="1">clean!E4</f>
        <v>2.27</v>
      </c>
      <c r="D4">
        <f ca="1">clean!F4</f>
        <v>2.86</v>
      </c>
      <c r="E4">
        <f ca="1">clean!I4</f>
        <v>0.71</v>
      </c>
      <c r="G4">
        <f ca="1">clean!Q4</f>
        <v>0.02</v>
      </c>
      <c r="H4">
        <f ca="1">clean!R4</f>
        <v>0</v>
      </c>
      <c r="I4">
        <f ca="1">clean!S4</f>
        <v>0</v>
      </c>
      <c r="J4">
        <f ca="1">clean!V4</f>
        <v>0.06</v>
      </c>
    </row>
    <row r="5" spans="1:10" x14ac:dyDescent="0.25">
      <c r="A5" s="3" t="s">
        <v>28</v>
      </c>
      <c r="B5">
        <f ca="1">clean!D5</f>
        <v>1.24</v>
      </c>
      <c r="C5">
        <f ca="1">clean!E5</f>
        <v>1.41</v>
      </c>
      <c r="D5">
        <f ca="1">clean!F5</f>
        <v>2.89</v>
      </c>
      <c r="E5">
        <f ca="1">clean!I5</f>
        <v>3.71</v>
      </c>
      <c r="G5">
        <f ca="1">clean!Q5</f>
        <v>0.04</v>
      </c>
      <c r="H5">
        <f ca="1">clean!R5</f>
        <v>0.01</v>
      </c>
      <c r="I5">
        <f ca="1">clean!S5</f>
        <v>0</v>
      </c>
      <c r="J5">
        <f ca="1">clean!V5</f>
        <v>0</v>
      </c>
    </row>
    <row r="6" spans="1:10" x14ac:dyDescent="0.25">
      <c r="A6" s="3" t="s">
        <v>29</v>
      </c>
      <c r="B6">
        <f ca="1">clean!D6</f>
        <v>0.57999999999999996</v>
      </c>
      <c r="C6">
        <f ca="1">clean!E6</f>
        <v>0.48</v>
      </c>
      <c r="D6">
        <f ca="1">clean!F6</f>
        <v>4.0199999999999996</v>
      </c>
      <c r="E6">
        <f ca="1">clean!I6</f>
        <v>4.6500000000000004</v>
      </c>
      <c r="G6">
        <f ca="1">clean!Q6</f>
        <v>0.12</v>
      </c>
      <c r="H6">
        <f ca="1">clean!R6</f>
        <v>0.11</v>
      </c>
      <c r="I6">
        <f ca="1">clean!S6</f>
        <v>0</v>
      </c>
      <c r="J6">
        <f ca="1">clean!V6</f>
        <v>0</v>
      </c>
    </row>
    <row r="7" spans="1:10" x14ac:dyDescent="0.25">
      <c r="A7" s="3" t="s">
        <v>30</v>
      </c>
      <c r="B7">
        <f ca="1">clean!D7</f>
        <v>0.55000000000000004</v>
      </c>
      <c r="C7">
        <f ca="1">clean!E7</f>
        <v>0.82</v>
      </c>
      <c r="D7">
        <f ca="1">clean!F7</f>
        <v>6.58</v>
      </c>
      <c r="E7">
        <f ca="1">clean!I7</f>
        <v>5.55</v>
      </c>
      <c r="G7">
        <f ca="1">clean!Q7</f>
        <v>0.12</v>
      </c>
      <c r="H7">
        <f ca="1">clean!R7</f>
        <v>0.04</v>
      </c>
      <c r="I7">
        <f ca="1">clean!S7</f>
        <v>0</v>
      </c>
      <c r="J7">
        <f ca="1">clean!V7</f>
        <v>0</v>
      </c>
    </row>
    <row r="8" spans="1:10" x14ac:dyDescent="0.25">
      <c r="A8" s="3" t="s">
        <v>31</v>
      </c>
      <c r="B8">
        <f ca="1">clean!D8</f>
        <v>0.85</v>
      </c>
      <c r="C8">
        <f ca="1">clean!E8</f>
        <v>1.46</v>
      </c>
      <c r="D8">
        <f ca="1">clean!F8</f>
        <v>6.99</v>
      </c>
      <c r="E8">
        <f ca="1">clean!I8</f>
        <v>5.92</v>
      </c>
      <c r="G8">
        <f ca="1">clean!Q8</f>
        <v>0.06</v>
      </c>
      <c r="H8">
        <f ca="1">clean!R8</f>
        <v>0.02</v>
      </c>
      <c r="I8">
        <f ca="1">clean!S8</f>
        <v>0</v>
      </c>
      <c r="J8">
        <f ca="1">clean!V8</f>
        <v>0</v>
      </c>
    </row>
    <row r="9" spans="1:10" x14ac:dyDescent="0.25">
      <c r="A9" s="3" t="s">
        <v>32</v>
      </c>
      <c r="B9">
        <f ca="1">clean!D9</f>
        <v>0.1</v>
      </c>
      <c r="C9">
        <f ca="1">clean!E9</f>
        <v>1.58</v>
      </c>
      <c r="D9">
        <f ca="1">clean!F9</f>
        <v>0.51</v>
      </c>
      <c r="E9">
        <f ca="1">clean!I9</f>
        <v>0.79</v>
      </c>
      <c r="G9">
        <f ca="1">clean!Q9</f>
        <v>0.44</v>
      </c>
      <c r="H9">
        <f ca="1">clean!R9</f>
        <v>0.02</v>
      </c>
      <c r="I9">
        <f ca="1">clean!S9</f>
        <v>0.15</v>
      </c>
      <c r="J9">
        <f ca="1">clean!V9</f>
        <v>0.08</v>
      </c>
    </row>
    <row r="10" spans="1:10" x14ac:dyDescent="0.25">
      <c r="A10" s="3" t="s">
        <v>33</v>
      </c>
      <c r="B10">
        <f ca="1">clean!D10</f>
        <v>0.6</v>
      </c>
      <c r="C10">
        <f ca="1">clean!E10</f>
        <v>2.06</v>
      </c>
      <c r="D10">
        <f ca="1">clean!F10</f>
        <v>0.28000000000000003</v>
      </c>
      <c r="E10">
        <f ca="1">clean!I10</f>
        <v>1.0900000000000001</v>
      </c>
      <c r="G10">
        <f ca="1">clean!Q10</f>
        <v>0.08</v>
      </c>
      <c r="H10">
        <f ca="1">clean!R10</f>
        <v>0.01</v>
      </c>
      <c r="I10">
        <f ca="1">clean!S10</f>
        <v>0.23</v>
      </c>
      <c r="J10">
        <f ca="1">clean!V10</f>
        <v>0.04</v>
      </c>
    </row>
    <row r="11" spans="1:10" x14ac:dyDescent="0.25">
      <c r="A11" s="3" t="s">
        <v>34</v>
      </c>
      <c r="B11">
        <f ca="1">clean!D11</f>
        <v>0.74</v>
      </c>
      <c r="C11">
        <f ca="1">clean!E11</f>
        <v>1.35</v>
      </c>
      <c r="D11">
        <f ca="1">clean!F11</f>
        <v>0.14000000000000001</v>
      </c>
      <c r="E11">
        <f ca="1">clean!I11</f>
        <v>0.73</v>
      </c>
      <c r="G11">
        <f ca="1">clean!Q11</f>
        <v>0.06</v>
      </c>
      <c r="H11">
        <f ca="1">clean!R11</f>
        <v>0.02</v>
      </c>
      <c r="I11">
        <f ca="1">clean!S11</f>
        <v>0.4</v>
      </c>
      <c r="J11">
        <f ca="1">clean!V11</f>
        <v>0.09</v>
      </c>
    </row>
    <row r="12" spans="1:10" x14ac:dyDescent="0.25">
      <c r="A12" s="3" t="s">
        <v>35</v>
      </c>
      <c r="B12">
        <f ca="1">clean!D12</f>
        <v>0.47</v>
      </c>
      <c r="C12">
        <f ca="1">clean!E12</f>
        <v>1.38</v>
      </c>
      <c r="D12">
        <f ca="1">clean!F12</f>
        <v>2.36</v>
      </c>
      <c r="E12">
        <f ca="1">clean!I12</f>
        <v>6.11</v>
      </c>
      <c r="G12">
        <f ca="1">clean!Q12</f>
        <v>0.12</v>
      </c>
      <c r="H12">
        <f ca="1">clean!R12</f>
        <v>0.02</v>
      </c>
      <c r="I12">
        <f ca="1">clean!S12</f>
        <v>0</v>
      </c>
      <c r="J12">
        <f ca="1">clean!V12</f>
        <v>0</v>
      </c>
    </row>
    <row r="13" spans="1:10" x14ac:dyDescent="0.25">
      <c r="A13" s="3" t="s">
        <v>36</v>
      </c>
      <c r="B13">
        <f ca="1">clean!D13</f>
        <v>0.71</v>
      </c>
      <c r="C13">
        <f ca="1">clean!E13</f>
        <v>1.23</v>
      </c>
      <c r="D13">
        <f ca="1">clean!F13</f>
        <v>10.91</v>
      </c>
      <c r="E13">
        <f ca="1">clean!I13</f>
        <v>14.58</v>
      </c>
      <c r="G13">
        <f ca="1">clean!Q13</f>
        <v>0.08</v>
      </c>
      <c r="H13">
        <f ca="1">clean!R13</f>
        <v>0.03</v>
      </c>
      <c r="I13">
        <f ca="1">clean!S13</f>
        <v>0</v>
      </c>
      <c r="J13">
        <f ca="1">clean!V13</f>
        <v>0</v>
      </c>
    </row>
    <row r="14" spans="1:10" x14ac:dyDescent="0.25">
      <c r="A14" s="3" t="s">
        <v>37</v>
      </c>
      <c r="B14">
        <f ca="1">clean!D14</f>
        <v>0.55000000000000004</v>
      </c>
      <c r="C14">
        <f ca="1">clean!E14</f>
        <v>2.4900000000000002</v>
      </c>
      <c r="D14">
        <f ca="1">clean!F14</f>
        <v>11.18</v>
      </c>
      <c r="E14">
        <f ca="1">clean!I14</f>
        <v>12.97</v>
      </c>
      <c r="G14">
        <f ca="1">clean!Q14</f>
        <v>0.12</v>
      </c>
      <c r="H14">
        <f ca="1">clean!R14</f>
        <v>0</v>
      </c>
      <c r="I14">
        <f ca="1">clean!S14</f>
        <v>0</v>
      </c>
      <c r="J14">
        <f ca="1">clean!V14</f>
        <v>0</v>
      </c>
    </row>
    <row r="15" spans="1:10" x14ac:dyDescent="0.25">
      <c r="A15" s="3" t="s">
        <v>38</v>
      </c>
      <c r="B15">
        <f ca="1">clean!D15</f>
        <v>0</v>
      </c>
      <c r="C15">
        <f ca="1">clean!E15</f>
        <v>0.34</v>
      </c>
      <c r="D15">
        <f ca="1">clean!F15</f>
        <v>2.39</v>
      </c>
      <c r="E15">
        <f ca="1">clean!I15</f>
        <v>4.04</v>
      </c>
      <c r="G15">
        <f ca="1">clean!Q15</f>
        <v>0.94</v>
      </c>
      <c r="H15">
        <f ca="1">clean!R15</f>
        <v>0.21</v>
      </c>
      <c r="I15">
        <f ca="1">clean!S15</f>
        <v>0</v>
      </c>
      <c r="J15">
        <f ca="1">clean!V15</f>
        <v>0</v>
      </c>
    </row>
    <row r="16" spans="1:10" x14ac:dyDescent="0.25">
      <c r="A16" s="3" t="s">
        <v>39</v>
      </c>
      <c r="B16">
        <f ca="1">clean!D16</f>
        <v>0.15</v>
      </c>
      <c r="C16">
        <f ca="1">clean!E16</f>
        <v>0.66</v>
      </c>
      <c r="D16">
        <f ca="1">clean!F16</f>
        <v>3.73</v>
      </c>
      <c r="E16">
        <f ca="1">clean!I16</f>
        <v>3.14</v>
      </c>
      <c r="G16">
        <f ca="1">clean!Q16</f>
        <v>0.34</v>
      </c>
      <c r="H16">
        <f ca="1">clean!R16</f>
        <v>0.09</v>
      </c>
      <c r="I16">
        <f ca="1">clean!S16</f>
        <v>0</v>
      </c>
      <c r="J16">
        <f ca="1">clean!V16</f>
        <v>0</v>
      </c>
    </row>
    <row r="17" spans="1:10" x14ac:dyDescent="0.25">
      <c r="A17" s="3" t="s">
        <v>40</v>
      </c>
      <c r="B17">
        <f ca="1">clean!D17</f>
        <v>1.32</v>
      </c>
      <c r="C17">
        <f ca="1">clean!E17</f>
        <v>1.6</v>
      </c>
      <c r="D17">
        <f ca="1">clean!F17</f>
        <v>8.77</v>
      </c>
      <c r="E17">
        <f ca="1">clean!I17</f>
        <v>4.0199999999999996</v>
      </c>
      <c r="G17">
        <f ca="1">clean!Q17</f>
        <v>0.03</v>
      </c>
      <c r="H17">
        <f ca="1">clean!R17</f>
        <v>0.02</v>
      </c>
      <c r="I17">
        <f ca="1">clean!S17</f>
        <v>0</v>
      </c>
      <c r="J17">
        <f ca="1">clean!V17</f>
        <v>0</v>
      </c>
    </row>
    <row r="18" spans="1:10" x14ac:dyDescent="0.25">
      <c r="A18" s="3" t="s">
        <v>41</v>
      </c>
      <c r="B18">
        <f ca="1">clean!D18</f>
        <v>0.69</v>
      </c>
      <c r="C18">
        <f ca="1">clean!E18</f>
        <v>1.06</v>
      </c>
      <c r="D18">
        <f ca="1">clean!F18</f>
        <v>5.22</v>
      </c>
      <c r="E18">
        <f ca="1">clean!I18</f>
        <v>1.41</v>
      </c>
      <c r="G18">
        <f ca="1">clean!Q18</f>
        <v>0.1</v>
      </c>
      <c r="H18">
        <f ca="1">clean!R18</f>
        <v>0.05</v>
      </c>
      <c r="I18">
        <f ca="1">clean!S18</f>
        <v>0</v>
      </c>
      <c r="J18">
        <f ca="1">clean!V18</f>
        <v>0.02</v>
      </c>
    </row>
    <row r="19" spans="1:10" x14ac:dyDescent="0.25">
      <c r="A19" s="3" t="s">
        <v>42</v>
      </c>
      <c r="B19">
        <f ca="1">clean!D19</f>
        <v>0.11</v>
      </c>
      <c r="C19">
        <f ca="1">clean!E19</f>
        <v>2.42</v>
      </c>
      <c r="D19">
        <f ca="1">clean!F19</f>
        <v>6.22</v>
      </c>
      <c r="E19">
        <f ca="1">clean!I19</f>
        <v>2.5499999999999998</v>
      </c>
      <c r="G19">
        <f ca="1">clean!Q19</f>
        <v>0.46</v>
      </c>
      <c r="H19">
        <f ca="1">clean!R19</f>
        <v>0</v>
      </c>
      <c r="I19">
        <f ca="1">clean!S19</f>
        <v>0</v>
      </c>
      <c r="J19">
        <f ca="1">clean!V19</f>
        <v>0</v>
      </c>
    </row>
    <row r="20" spans="1:10" x14ac:dyDescent="0.25">
      <c r="A20" s="3" t="s">
        <v>43</v>
      </c>
      <c r="B20">
        <f ca="1">clean!D20</f>
        <v>0</v>
      </c>
      <c r="C20">
        <f ca="1">clean!E20</f>
        <v>2.02</v>
      </c>
      <c r="D20">
        <f ca="1">clean!F20</f>
        <v>4.5999999999999996</v>
      </c>
      <c r="E20">
        <f ca="1">clean!I20</f>
        <v>2.2000000000000002</v>
      </c>
      <c r="G20">
        <f ca="1">clean!Q20</f>
        <v>0.93</v>
      </c>
      <c r="H20">
        <f ca="1">clean!R20</f>
        <v>0.01</v>
      </c>
      <c r="I20">
        <f ca="1">clean!S20</f>
        <v>0</v>
      </c>
      <c r="J20">
        <f ca="1">clean!V20</f>
        <v>0.01</v>
      </c>
    </row>
    <row r="21" spans="1:10" x14ac:dyDescent="0.25">
      <c r="A21" s="3" t="s">
        <v>44</v>
      </c>
      <c r="B21">
        <f ca="1">clean!D21</f>
        <v>0</v>
      </c>
      <c r="C21">
        <f ca="1">clean!E21</f>
        <v>2.04</v>
      </c>
      <c r="D21">
        <f ca="1">clean!F21</f>
        <v>4.75</v>
      </c>
      <c r="E21">
        <f ca="1">clean!I21</f>
        <v>2.2000000000000002</v>
      </c>
      <c r="G21">
        <f ca="1">clean!Q21</f>
        <v>0.85</v>
      </c>
      <c r="H21">
        <f ca="1">clean!R21</f>
        <v>0</v>
      </c>
      <c r="I21">
        <f ca="1">clean!S21</f>
        <v>0</v>
      </c>
      <c r="J21">
        <f ca="1">clean!V21</f>
        <v>0</v>
      </c>
    </row>
    <row r="22" spans="1:10" x14ac:dyDescent="0.25">
      <c r="A22" s="3" t="s">
        <v>45</v>
      </c>
      <c r="B22">
        <f ca="1">clean!D22</f>
        <v>0.03</v>
      </c>
      <c r="C22">
        <f ca="1">clean!E22</f>
        <v>2.0299999999999998</v>
      </c>
      <c r="D22">
        <f ca="1">clean!F22</f>
        <v>3.96</v>
      </c>
      <c r="E22">
        <f ca="1">clean!I22</f>
        <v>2.15</v>
      </c>
      <c r="G22">
        <f ca="1">clean!Q22</f>
        <v>0.63</v>
      </c>
      <c r="H22">
        <f ca="1">clean!R22</f>
        <v>0.01</v>
      </c>
      <c r="I22">
        <f ca="1">clean!S22</f>
        <v>0</v>
      </c>
      <c r="J22">
        <f ca="1">clean!V22</f>
        <v>0.01</v>
      </c>
    </row>
    <row r="23" spans="1:10" x14ac:dyDescent="0.25">
      <c r="A23" s="3" t="s">
        <v>46</v>
      </c>
      <c r="B23">
        <f ca="1">clean!D23</f>
        <v>-0.01</v>
      </c>
      <c r="C23">
        <f ca="1">clean!E23</f>
        <v>0.83</v>
      </c>
      <c r="D23">
        <f ca="1">clean!F23</f>
        <v>2.27</v>
      </c>
      <c r="E23">
        <f ca="1">clean!I23</f>
        <v>1.89</v>
      </c>
      <c r="G23">
        <f ca="1">clean!Q23</f>
        <v>0.75</v>
      </c>
      <c r="H23">
        <f ca="1">clean!R23</f>
        <v>0.06</v>
      </c>
      <c r="I23">
        <f ca="1">clean!S23</f>
        <v>0</v>
      </c>
      <c r="J23">
        <f ca="1">clean!V23</f>
        <v>0.01</v>
      </c>
    </row>
    <row r="24" spans="1:10" x14ac:dyDescent="0.25">
      <c r="A24" s="3" t="s">
        <v>47</v>
      </c>
      <c r="B24">
        <f ca="1">clean!D24</f>
        <v>0</v>
      </c>
      <c r="C24">
        <f ca="1">clean!E24</f>
        <v>0.1</v>
      </c>
      <c r="D24">
        <f ca="1">clean!F24</f>
        <v>0.49</v>
      </c>
      <c r="E24">
        <f ca="1">clean!I24</f>
        <v>0.52</v>
      </c>
      <c r="G24">
        <f ca="1">clean!Q24</f>
        <v>0.93</v>
      </c>
      <c r="H24">
        <f ca="1">clean!R24</f>
        <v>0.53</v>
      </c>
      <c r="I24">
        <f ca="1">clean!S24</f>
        <v>0.17</v>
      </c>
      <c r="J24">
        <f ca="1">clean!V24</f>
        <v>0.18</v>
      </c>
    </row>
    <row r="25" spans="1:10" x14ac:dyDescent="0.25">
      <c r="A25" s="3" t="s">
        <v>48</v>
      </c>
      <c r="B25">
        <f ca="1">clean!D25</f>
        <v>0.03</v>
      </c>
      <c r="C25">
        <f ca="1">clean!E25</f>
        <v>0</v>
      </c>
      <c r="D25">
        <f ca="1">clean!F25</f>
        <v>0.51</v>
      </c>
      <c r="E25">
        <f ca="1">clean!I25</f>
        <v>0.23</v>
      </c>
      <c r="G25">
        <f ca="1">clean!Q25</f>
        <v>0.69</v>
      </c>
      <c r="H25">
        <f ca="1">clean!R25</f>
        <v>0.96</v>
      </c>
      <c r="I25">
        <f ca="1">clean!S25</f>
        <v>0.14000000000000001</v>
      </c>
      <c r="J25">
        <f ca="1">clean!V25</f>
        <v>0.31</v>
      </c>
    </row>
    <row r="26" spans="1:10" x14ac:dyDescent="0.25">
      <c r="A26" s="3" t="s">
        <v>49</v>
      </c>
      <c r="B26">
        <f ca="1">clean!D26</f>
        <v>0.01</v>
      </c>
      <c r="C26">
        <f ca="1">clean!E26</f>
        <v>0.02</v>
      </c>
      <c r="D26">
        <f ca="1">clean!F26</f>
        <v>0.96</v>
      </c>
      <c r="E26">
        <f ca="1">clean!I26</f>
        <v>0.36</v>
      </c>
      <c r="G26">
        <f ca="1">clean!Q26</f>
        <v>0.82</v>
      </c>
      <c r="H26">
        <f ca="1">clean!R26</f>
        <v>0.77</v>
      </c>
      <c r="I26">
        <f ca="1">clean!S26</f>
        <v>0.05</v>
      </c>
      <c r="J26">
        <f ca="1">clean!V26</f>
        <v>0.2</v>
      </c>
    </row>
    <row r="27" spans="1:10" x14ac:dyDescent="0.25">
      <c r="A27" s="3" t="s">
        <v>50</v>
      </c>
      <c r="B27">
        <f ca="1">clean!D27</f>
        <v>0.04</v>
      </c>
      <c r="C27">
        <f ca="1">clean!E27</f>
        <v>0</v>
      </c>
      <c r="D27">
        <f ca="1">clean!F27</f>
        <v>1.01</v>
      </c>
      <c r="E27">
        <f ca="1">clean!I27</f>
        <v>0.36</v>
      </c>
      <c r="G27">
        <f ca="1">clean!Q27</f>
        <v>0.67</v>
      </c>
      <c r="H27">
        <f ca="1">clean!R27</f>
        <v>0.96</v>
      </c>
      <c r="I27">
        <f ca="1">clean!S27</f>
        <v>0.05</v>
      </c>
      <c r="J27">
        <f ca="1">clean!V27</f>
        <v>0.22</v>
      </c>
    </row>
  </sheetData>
  <conditionalFormatting sqref="B2:E27">
    <cfRule type="colorScale" priority="2">
      <colorScale>
        <cfvo type="min"/>
        <cfvo type="max"/>
        <color rgb="FFFCFCFF"/>
        <color rgb="FF63BE7B"/>
      </colorScale>
    </cfRule>
  </conditionalFormatting>
  <conditionalFormatting sqref="G2:J27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1E76-8E46-4211-BD60-4D7FEB35C949}">
  <dimension ref="B4:AA4"/>
  <sheetViews>
    <sheetView workbookViewId="0">
      <selection activeCell="B6" sqref="B6"/>
    </sheetView>
  </sheetViews>
  <sheetFormatPr defaultRowHeight="15" x14ac:dyDescent="0.25"/>
  <cols>
    <col min="1" max="1" width="6.28515625" bestFit="1" customWidth="1"/>
    <col min="2" max="2" width="8.5703125" bestFit="1" customWidth="1"/>
  </cols>
  <sheetData>
    <row r="4" spans="2:27" x14ac:dyDescent="0.25"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45</v>
      </c>
      <c r="W4" s="3" t="s">
        <v>46</v>
      </c>
      <c r="X4" s="3" t="s">
        <v>47</v>
      </c>
      <c r="Y4" s="3" t="s">
        <v>48</v>
      </c>
      <c r="Z4" s="3" t="s">
        <v>49</v>
      </c>
      <c r="AA4" s="3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</vt:lpstr>
      <vt:lpstr>clean</vt:lpstr>
      <vt:lpstr>simple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Ronayne</cp:lastModifiedBy>
  <dcterms:created xsi:type="dcterms:W3CDTF">2024-03-01T02:44:45Z</dcterms:created>
  <dcterms:modified xsi:type="dcterms:W3CDTF">2024-03-02T06:27:55Z</dcterms:modified>
</cp:coreProperties>
</file>