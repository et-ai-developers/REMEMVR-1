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a537fde18f1f228/AI/Projects/REMEMVR/cogtests/"/>
    </mc:Choice>
  </mc:AlternateContent>
  <xr:revisionPtr revIDLastSave="179" documentId="11_0AA57780DED4830413782211595ED87656CFEF1F" xr6:coauthVersionLast="47" xr6:coauthVersionMax="47" xr10:uidLastSave="{E2312FD1-749B-41EE-9287-80832888C7C7}"/>
  <bookViews>
    <workbookView xWindow="-120" yWindow="-120" windowWidth="29040" windowHeight="15720" activeTab="4" xr2:uid="{00000000-000D-0000-FFFF-FFFF00000000}"/>
  </bookViews>
  <sheets>
    <sheet name="output" sheetId="1" r:id="rId1"/>
    <sheet name="Sheet1" sheetId="2" r:id="rId2"/>
    <sheet name="Sheet2" sheetId="3" r:id="rId3"/>
    <sheet name="master_raw" sheetId="4" r:id="rId4"/>
    <sheet name="master_n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V42" i="5" l="1"/>
  <c r="FR42" i="5"/>
  <c r="FP42" i="5"/>
  <c r="FN42" i="5"/>
  <c r="EP42" i="5"/>
  <c r="EL42" i="5"/>
  <c r="EJ42" i="5"/>
  <c r="EH42" i="5"/>
  <c r="DJ42" i="5"/>
  <c r="DF42" i="5"/>
  <c r="DD42" i="5"/>
  <c r="DB42" i="5"/>
  <c r="FZ41" i="5"/>
  <c r="FV41" i="5"/>
  <c r="FT41" i="5"/>
  <c r="FR41" i="5"/>
  <c r="ET41" i="5"/>
  <c r="EP41" i="5"/>
  <c r="EN41" i="5"/>
  <c r="EL41" i="5"/>
  <c r="DN41" i="5"/>
  <c r="DJ41" i="5"/>
  <c r="DH41" i="5"/>
  <c r="DF41" i="5"/>
  <c r="GD40" i="5"/>
  <c r="FZ40" i="5"/>
  <c r="FX40" i="5"/>
  <c r="FV40" i="5"/>
  <c r="EX40" i="5"/>
  <c r="ET40" i="5"/>
  <c r="ER40" i="5"/>
  <c r="EP40" i="5"/>
  <c r="DR40" i="5"/>
  <c r="DN40" i="5"/>
  <c r="DL40" i="5"/>
  <c r="DJ40" i="5"/>
  <c r="GH39" i="5"/>
  <c r="GD39" i="5"/>
  <c r="GB39" i="5"/>
  <c r="FZ39" i="5"/>
  <c r="FB39" i="5"/>
  <c r="EX39" i="5"/>
  <c r="EV39" i="5"/>
  <c r="ET39" i="5"/>
  <c r="DV39" i="5"/>
  <c r="DR39" i="5"/>
  <c r="DP39" i="5"/>
  <c r="DN39" i="5"/>
  <c r="GL38" i="5"/>
  <c r="GH38" i="5"/>
  <c r="GF38" i="5"/>
  <c r="GD38" i="5"/>
  <c r="FF38" i="5"/>
  <c r="FB38" i="5"/>
  <c r="EZ38" i="5"/>
  <c r="EX38" i="5"/>
  <c r="DZ38" i="5"/>
  <c r="DV38" i="5"/>
  <c r="DT38" i="5"/>
  <c r="DR38" i="5"/>
  <c r="GP37" i="5"/>
  <c r="GL37" i="5"/>
  <c r="GJ37" i="5"/>
  <c r="GH37" i="5"/>
  <c r="FJ37" i="5"/>
  <c r="FF37" i="5"/>
  <c r="FD37" i="5"/>
  <c r="FB37" i="5"/>
  <c r="ED37" i="5"/>
  <c r="DZ37" i="5"/>
  <c r="DX37" i="5"/>
  <c r="DV37" i="5"/>
  <c r="CX37" i="5"/>
  <c r="GP36" i="5"/>
  <c r="GN36" i="5"/>
  <c r="GL36" i="5"/>
  <c r="FN36" i="5"/>
  <c r="FJ36" i="5"/>
  <c r="FH36" i="5"/>
  <c r="FF36" i="5"/>
  <c r="EH36" i="5"/>
  <c r="ED36" i="5"/>
  <c r="EB36" i="5"/>
  <c r="DZ36" i="5"/>
  <c r="DB36" i="5"/>
  <c r="CX36" i="5"/>
  <c r="GR35" i="5"/>
  <c r="GP35" i="5"/>
  <c r="FR35" i="5"/>
  <c r="FN35" i="5"/>
  <c r="FL35" i="5"/>
  <c r="FJ35" i="5"/>
  <c r="EL35" i="5"/>
  <c r="EH35" i="5"/>
  <c r="EF35" i="5"/>
  <c r="ED35" i="5"/>
  <c r="DF35" i="5"/>
  <c r="DB35" i="5"/>
  <c r="CZ35" i="5"/>
  <c r="CX35" i="5"/>
  <c r="FV34" i="5"/>
  <c r="FR34" i="5"/>
  <c r="FP34" i="5"/>
  <c r="FN34" i="5"/>
  <c r="EP34" i="5"/>
  <c r="EL34" i="5"/>
  <c r="EJ34" i="5"/>
  <c r="EH34" i="5"/>
  <c r="DJ34" i="5"/>
  <c r="DF34" i="5"/>
  <c r="DD34" i="5"/>
  <c r="DB34" i="5"/>
  <c r="FZ33" i="5"/>
  <c r="FV33" i="5"/>
  <c r="FT33" i="5"/>
  <c r="FR33" i="5"/>
  <c r="ET33" i="5"/>
  <c r="EP33" i="5"/>
  <c r="EN33" i="5"/>
  <c r="EL33" i="5"/>
  <c r="DN33" i="5"/>
  <c r="DJ33" i="5"/>
  <c r="DH33" i="5"/>
  <c r="DF33" i="5"/>
  <c r="GD32" i="5"/>
  <c r="FZ32" i="5"/>
  <c r="FX32" i="5"/>
  <c r="FX27" i="5" s="1"/>
  <c r="FV32" i="5"/>
  <c r="EX32" i="5"/>
  <c r="ET32" i="5"/>
  <c r="ER32" i="5"/>
  <c r="EP32" i="5"/>
  <c r="DR32" i="5"/>
  <c r="DN32" i="5"/>
  <c r="DL32" i="5"/>
  <c r="DJ32" i="5"/>
  <c r="GH31" i="5"/>
  <c r="GD31" i="5"/>
  <c r="GB31" i="5"/>
  <c r="FZ31" i="5"/>
  <c r="FB31" i="5"/>
  <c r="EX31" i="5"/>
  <c r="EV31" i="5"/>
  <c r="EV26" i="5" s="1"/>
  <c r="ET31" i="5"/>
  <c r="DV31" i="5"/>
  <c r="DR31" i="5"/>
  <c r="DP31" i="5"/>
  <c r="DN31" i="5"/>
  <c r="GQ29" i="5"/>
  <c r="GO29" i="5"/>
  <c r="GM29" i="5"/>
  <c r="GK29" i="5"/>
  <c r="GI29" i="5"/>
  <c r="GG29" i="5"/>
  <c r="GE29" i="5"/>
  <c r="GC29" i="5"/>
  <c r="GA29" i="5"/>
  <c r="FY29" i="5"/>
  <c r="FW29" i="5"/>
  <c r="FU29" i="5"/>
  <c r="FS29" i="5"/>
  <c r="FQ29" i="5"/>
  <c r="FO29" i="5"/>
  <c r="FM29" i="5"/>
  <c r="FK29" i="5"/>
  <c r="FI29" i="5"/>
  <c r="FG29" i="5"/>
  <c r="FE29" i="5"/>
  <c r="FC29" i="5"/>
  <c r="FA29" i="5"/>
  <c r="EY29" i="5"/>
  <c r="EW29" i="5"/>
  <c r="EU29" i="5"/>
  <c r="ES29" i="5"/>
  <c r="EQ29" i="5"/>
  <c r="EO29" i="5"/>
  <c r="EM29" i="5"/>
  <c r="EK29" i="5"/>
  <c r="EI29" i="5"/>
  <c r="EG29" i="5"/>
  <c r="EE29" i="5"/>
  <c r="EC29" i="5"/>
  <c r="EA29" i="5"/>
  <c r="DY29" i="5"/>
  <c r="DW29" i="5"/>
  <c r="DU29" i="5"/>
  <c r="DS29" i="5"/>
  <c r="DQ29" i="5"/>
  <c r="DO29" i="5"/>
  <c r="DM29" i="5"/>
  <c r="DK29" i="5"/>
  <c r="DI29" i="5"/>
  <c r="DG29" i="5"/>
  <c r="DE29" i="5"/>
  <c r="DC29" i="5"/>
  <c r="DA29" i="5"/>
  <c r="CY29" i="5"/>
  <c r="CW29" i="5"/>
  <c r="GQ28" i="5"/>
  <c r="GO28" i="5"/>
  <c r="GM28" i="5"/>
  <c r="GK28" i="5"/>
  <c r="GI28" i="5"/>
  <c r="GG28" i="5"/>
  <c r="GE28" i="5"/>
  <c r="GC28" i="5"/>
  <c r="GA28" i="5"/>
  <c r="FY28" i="5"/>
  <c r="FW28" i="5"/>
  <c r="FU28" i="5"/>
  <c r="FS28" i="5"/>
  <c r="FQ28" i="5"/>
  <c r="FO28" i="5"/>
  <c r="FM28" i="5"/>
  <c r="FK28" i="5"/>
  <c r="FI28" i="5"/>
  <c r="FG28" i="5"/>
  <c r="FE28" i="5"/>
  <c r="FC28" i="5"/>
  <c r="FA28" i="5"/>
  <c r="EY28" i="5"/>
  <c r="EW28" i="5"/>
  <c r="EU28" i="5"/>
  <c r="ES28" i="5"/>
  <c r="EQ28" i="5"/>
  <c r="EO28" i="5"/>
  <c r="EM28" i="5"/>
  <c r="EK28" i="5"/>
  <c r="EI28" i="5"/>
  <c r="EG28" i="5"/>
  <c r="EE28" i="5"/>
  <c r="EC28" i="5"/>
  <c r="EA28" i="5"/>
  <c r="DY28" i="5"/>
  <c r="DW28" i="5"/>
  <c r="DU28" i="5"/>
  <c r="DS28" i="5"/>
  <c r="DQ28" i="5"/>
  <c r="DO28" i="5"/>
  <c r="DM28" i="5"/>
  <c r="DK28" i="5"/>
  <c r="DI28" i="5"/>
  <c r="DG28" i="5"/>
  <c r="DE28" i="5"/>
  <c r="DC28" i="5"/>
  <c r="DA28" i="5"/>
  <c r="CY28" i="5"/>
  <c r="CW28" i="5"/>
  <c r="GQ27" i="5"/>
  <c r="GO27" i="5"/>
  <c r="GM27" i="5"/>
  <c r="GK27" i="5"/>
  <c r="GI27" i="5"/>
  <c r="GG27" i="5"/>
  <c r="GE27" i="5"/>
  <c r="GC27" i="5"/>
  <c r="GA27" i="5"/>
  <c r="FY27" i="5"/>
  <c r="FW27" i="5"/>
  <c r="FU27" i="5"/>
  <c r="FS27" i="5"/>
  <c r="FQ27" i="5"/>
  <c r="FO27" i="5"/>
  <c r="FM27" i="5"/>
  <c r="FK27" i="5"/>
  <c r="FI27" i="5"/>
  <c r="FG27" i="5"/>
  <c r="FE27" i="5"/>
  <c r="FC27" i="5"/>
  <c r="FA27" i="5"/>
  <c r="EY27" i="5"/>
  <c r="EW27" i="5"/>
  <c r="EU27" i="5"/>
  <c r="ES27" i="5"/>
  <c r="EQ27" i="5"/>
  <c r="EO27" i="5"/>
  <c r="EM27" i="5"/>
  <c r="EK27" i="5"/>
  <c r="EI27" i="5"/>
  <c r="EG27" i="5"/>
  <c r="EE27" i="5"/>
  <c r="EC27" i="5"/>
  <c r="EA27" i="5"/>
  <c r="DY27" i="5"/>
  <c r="DW27" i="5"/>
  <c r="DU27" i="5"/>
  <c r="DS27" i="5"/>
  <c r="DQ27" i="5"/>
  <c r="DO27" i="5"/>
  <c r="DM27" i="5"/>
  <c r="DK27" i="5"/>
  <c r="DI27" i="5"/>
  <c r="DG27" i="5"/>
  <c r="DE27" i="5"/>
  <c r="DC27" i="5"/>
  <c r="DA27" i="5"/>
  <c r="CY27" i="5"/>
  <c r="CW27" i="5"/>
  <c r="GQ26" i="5"/>
  <c r="GO26" i="5"/>
  <c r="GM26" i="5"/>
  <c r="GK26" i="5"/>
  <c r="GI26" i="5"/>
  <c r="GG26" i="5"/>
  <c r="GE26" i="5"/>
  <c r="GC26" i="5"/>
  <c r="GA26" i="5"/>
  <c r="FY26" i="5"/>
  <c r="FW26" i="5"/>
  <c r="FU26" i="5"/>
  <c r="FS26" i="5"/>
  <c r="FQ26" i="5"/>
  <c r="FO26" i="5"/>
  <c r="FM26" i="5"/>
  <c r="FK26" i="5"/>
  <c r="FI26" i="5"/>
  <c r="FG26" i="5"/>
  <c r="FE26" i="5"/>
  <c r="FC26" i="5"/>
  <c r="FA26" i="5"/>
  <c r="EY26" i="5"/>
  <c r="EW26" i="5"/>
  <c r="EU26" i="5"/>
  <c r="ES26" i="5"/>
  <c r="EQ26" i="5"/>
  <c r="EO26" i="5"/>
  <c r="EM26" i="5"/>
  <c r="EK26" i="5"/>
  <c r="EI26" i="5"/>
  <c r="EG26" i="5"/>
  <c r="EE26" i="5"/>
  <c r="EC26" i="5"/>
  <c r="EA26" i="5"/>
  <c r="DY26" i="5"/>
  <c r="DW26" i="5"/>
  <c r="DU26" i="5"/>
  <c r="DS26" i="5"/>
  <c r="DQ26" i="5"/>
  <c r="DO26" i="5"/>
  <c r="DM26" i="5"/>
  <c r="DK26" i="5"/>
  <c r="DI26" i="5"/>
  <c r="DG26" i="5"/>
  <c r="DE26" i="5"/>
  <c r="DC26" i="5"/>
  <c r="DA26" i="5"/>
  <c r="CY26" i="5"/>
  <c r="CW26" i="5"/>
  <c r="GQ25" i="5"/>
  <c r="GO25" i="5"/>
  <c r="GM25" i="5"/>
  <c r="GK25" i="5"/>
  <c r="GI25" i="5"/>
  <c r="GG25" i="5"/>
  <c r="GE25" i="5"/>
  <c r="GC25" i="5"/>
  <c r="GA25" i="5"/>
  <c r="FY25" i="5"/>
  <c r="FW25" i="5"/>
  <c r="FU25" i="5"/>
  <c r="FS25" i="5"/>
  <c r="FQ25" i="5"/>
  <c r="FO25" i="5"/>
  <c r="FM25" i="5"/>
  <c r="FK25" i="5"/>
  <c r="FI25" i="5"/>
  <c r="FG25" i="5"/>
  <c r="FE25" i="5"/>
  <c r="FC25" i="5"/>
  <c r="FA25" i="5"/>
  <c r="EY25" i="5"/>
  <c r="EW25" i="5"/>
  <c r="EU25" i="5"/>
  <c r="ES25" i="5"/>
  <c r="EQ25" i="5"/>
  <c r="EO25" i="5"/>
  <c r="EM25" i="5"/>
  <c r="EK25" i="5"/>
  <c r="EI25" i="5"/>
  <c r="EG25" i="5"/>
  <c r="EE25" i="5"/>
  <c r="EC25" i="5"/>
  <c r="EA25" i="5"/>
  <c r="DY25" i="5"/>
  <c r="DW25" i="5"/>
  <c r="DU25" i="5"/>
  <c r="DS25" i="5"/>
  <c r="DQ25" i="5"/>
  <c r="DO25" i="5"/>
  <c r="DM25" i="5"/>
  <c r="DK25" i="5"/>
  <c r="DI25" i="5"/>
  <c r="DG25" i="5"/>
  <c r="DE25" i="5"/>
  <c r="DC25" i="5"/>
  <c r="DA25" i="5"/>
  <c r="CY25" i="5"/>
  <c r="CW25" i="5"/>
  <c r="GQ24" i="5"/>
  <c r="GP24" i="5"/>
  <c r="GO24" i="5"/>
  <c r="GM24" i="5"/>
  <c r="GK24" i="5"/>
  <c r="GI24" i="5"/>
  <c r="GG24" i="5"/>
  <c r="GE24" i="5"/>
  <c r="GC24" i="5"/>
  <c r="GA24" i="5"/>
  <c r="FZ24" i="5"/>
  <c r="FY24" i="5"/>
  <c r="FW24" i="5"/>
  <c r="FU24" i="5"/>
  <c r="FS24" i="5"/>
  <c r="FQ24" i="5"/>
  <c r="FO24" i="5"/>
  <c r="FM24" i="5"/>
  <c r="FK24" i="5"/>
  <c r="FJ24" i="5"/>
  <c r="FI24" i="5"/>
  <c r="FG24" i="5"/>
  <c r="FE24" i="5"/>
  <c r="FC24" i="5"/>
  <c r="FA24" i="5"/>
  <c r="EY24" i="5"/>
  <c r="EW24" i="5"/>
  <c r="EU24" i="5"/>
  <c r="ET24" i="5"/>
  <c r="ES24" i="5"/>
  <c r="EQ24" i="5"/>
  <c r="EO24" i="5"/>
  <c r="EM24" i="5"/>
  <c r="EK24" i="5"/>
  <c r="EI24" i="5"/>
  <c r="EG24" i="5"/>
  <c r="EE24" i="5"/>
  <c r="ED24" i="5"/>
  <c r="EC24" i="5"/>
  <c r="EA24" i="5"/>
  <c r="DY24" i="5"/>
  <c r="DW24" i="5"/>
  <c r="DU24" i="5"/>
  <c r="DS24" i="5"/>
  <c r="DQ24" i="5"/>
  <c r="DO24" i="5"/>
  <c r="DN24" i="5"/>
  <c r="DM24" i="5"/>
  <c r="DK24" i="5"/>
  <c r="DI24" i="5"/>
  <c r="DG24" i="5"/>
  <c r="DE24" i="5"/>
  <c r="DC24" i="5"/>
  <c r="DA24" i="5"/>
  <c r="CY24" i="5"/>
  <c r="CX24" i="5"/>
  <c r="CW24" i="5"/>
  <c r="GQ23" i="5"/>
  <c r="GO23" i="5"/>
  <c r="GM23" i="5"/>
  <c r="GK23" i="5"/>
  <c r="GI23" i="5"/>
  <c r="GG23" i="5"/>
  <c r="GE23" i="5"/>
  <c r="GC23" i="5"/>
  <c r="GA23" i="5"/>
  <c r="FY23" i="5"/>
  <c r="FW23" i="5"/>
  <c r="FU23" i="5"/>
  <c r="FS23" i="5"/>
  <c r="FQ23" i="5"/>
  <c r="FO23" i="5"/>
  <c r="FM23" i="5"/>
  <c r="FK23" i="5"/>
  <c r="FI23" i="5"/>
  <c r="FG23" i="5"/>
  <c r="FE23" i="5"/>
  <c r="FC23" i="5"/>
  <c r="FA23" i="5"/>
  <c r="EY23" i="5"/>
  <c r="EW23" i="5"/>
  <c r="EU23" i="5"/>
  <c r="ES23" i="5"/>
  <c r="EQ23" i="5"/>
  <c r="EO23" i="5"/>
  <c r="EM23" i="5"/>
  <c r="EK23" i="5"/>
  <c r="EI23" i="5"/>
  <c r="EG23" i="5"/>
  <c r="EE23" i="5"/>
  <c r="EC23" i="5"/>
  <c r="EA23" i="5"/>
  <c r="DY23" i="5"/>
  <c r="DW23" i="5"/>
  <c r="DU23" i="5"/>
  <c r="DS23" i="5"/>
  <c r="DQ23" i="5"/>
  <c r="DO23" i="5"/>
  <c r="DM23" i="5"/>
  <c r="DK23" i="5"/>
  <c r="DI23" i="5"/>
  <c r="DG23" i="5"/>
  <c r="DE23" i="5"/>
  <c r="DC23" i="5"/>
  <c r="DA23" i="5"/>
  <c r="CY23" i="5"/>
  <c r="CW23" i="5"/>
  <c r="GR22" i="5"/>
  <c r="GR42" i="5" s="1"/>
  <c r="GQ22" i="5"/>
  <c r="GP22" i="5"/>
  <c r="GP42" i="5" s="1"/>
  <c r="GO22" i="5"/>
  <c r="GN22" i="5"/>
  <c r="GN42" i="5" s="1"/>
  <c r="GM22" i="5"/>
  <c r="GL22" i="5"/>
  <c r="GL42" i="5" s="1"/>
  <c r="GK22" i="5"/>
  <c r="GJ22" i="5"/>
  <c r="GJ42" i="5" s="1"/>
  <c r="GI22" i="5"/>
  <c r="GH22" i="5"/>
  <c r="GH42" i="5" s="1"/>
  <c r="GG22" i="5"/>
  <c r="GF22" i="5"/>
  <c r="GF42" i="5" s="1"/>
  <c r="GE22" i="5"/>
  <c r="GD22" i="5"/>
  <c r="GD42" i="5" s="1"/>
  <c r="GC22" i="5"/>
  <c r="GB22" i="5"/>
  <c r="GB42" i="5" s="1"/>
  <c r="GA22" i="5"/>
  <c r="FZ22" i="5"/>
  <c r="FZ42" i="5" s="1"/>
  <c r="FY22" i="5"/>
  <c r="FX22" i="5"/>
  <c r="FX42" i="5" s="1"/>
  <c r="FW22" i="5"/>
  <c r="FV22" i="5"/>
  <c r="FU22" i="5"/>
  <c r="FT22" i="5"/>
  <c r="FT42" i="5" s="1"/>
  <c r="FS22" i="5"/>
  <c r="FR22" i="5"/>
  <c r="FQ22" i="5"/>
  <c r="FP22" i="5"/>
  <c r="FO22" i="5"/>
  <c r="FN22" i="5"/>
  <c r="FM22" i="5"/>
  <c r="FL22" i="5"/>
  <c r="FL42" i="5" s="1"/>
  <c r="FK22" i="5"/>
  <c r="FJ22" i="5"/>
  <c r="FJ42" i="5" s="1"/>
  <c r="FI22" i="5"/>
  <c r="FH22" i="5"/>
  <c r="FH42" i="5" s="1"/>
  <c r="FG22" i="5"/>
  <c r="FF22" i="5"/>
  <c r="FF42" i="5" s="1"/>
  <c r="FE22" i="5"/>
  <c r="FD22" i="5"/>
  <c r="FD42" i="5" s="1"/>
  <c r="FC22" i="5"/>
  <c r="FB22" i="5"/>
  <c r="FB42" i="5" s="1"/>
  <c r="FA22" i="5"/>
  <c r="EZ22" i="5"/>
  <c r="EZ42" i="5" s="1"/>
  <c r="EY22" i="5"/>
  <c r="EX22" i="5"/>
  <c r="EX42" i="5" s="1"/>
  <c r="EW22" i="5"/>
  <c r="EV22" i="5"/>
  <c r="EV42" i="5" s="1"/>
  <c r="EU22" i="5"/>
  <c r="ET22" i="5"/>
  <c r="ET42" i="5" s="1"/>
  <c r="ES22" i="5"/>
  <c r="ER22" i="5"/>
  <c r="ER42" i="5" s="1"/>
  <c r="EQ22" i="5"/>
  <c r="EP22" i="5"/>
  <c r="EO22" i="5"/>
  <c r="EN22" i="5"/>
  <c r="EN42" i="5" s="1"/>
  <c r="EM22" i="5"/>
  <c r="EL22" i="5"/>
  <c r="EK22" i="5"/>
  <c r="EJ22" i="5"/>
  <c r="EI22" i="5"/>
  <c r="EH22" i="5"/>
  <c r="EG22" i="5"/>
  <c r="EF22" i="5"/>
  <c r="EF42" i="5" s="1"/>
  <c r="EE22" i="5"/>
  <c r="ED22" i="5"/>
  <c r="ED42" i="5" s="1"/>
  <c r="EC22" i="5"/>
  <c r="EB22" i="5"/>
  <c r="EB42" i="5" s="1"/>
  <c r="EA22" i="5"/>
  <c r="DZ22" i="5"/>
  <c r="DZ42" i="5" s="1"/>
  <c r="DY22" i="5"/>
  <c r="DX22" i="5"/>
  <c r="DX42" i="5" s="1"/>
  <c r="DW22" i="5"/>
  <c r="DV22" i="5"/>
  <c r="DV42" i="5" s="1"/>
  <c r="DU22" i="5"/>
  <c r="DT22" i="5"/>
  <c r="DT42" i="5" s="1"/>
  <c r="DS22" i="5"/>
  <c r="DR22" i="5"/>
  <c r="DR42" i="5" s="1"/>
  <c r="DQ22" i="5"/>
  <c r="DP22" i="5"/>
  <c r="DP42" i="5" s="1"/>
  <c r="DO22" i="5"/>
  <c r="DN22" i="5"/>
  <c r="DN42" i="5" s="1"/>
  <c r="DM22" i="5"/>
  <c r="DL22" i="5"/>
  <c r="DL42" i="5" s="1"/>
  <c r="DK22" i="5"/>
  <c r="DJ22" i="5"/>
  <c r="DI22" i="5"/>
  <c r="DH22" i="5"/>
  <c r="DH42" i="5" s="1"/>
  <c r="DG22" i="5"/>
  <c r="DF22" i="5"/>
  <c r="DE22" i="5"/>
  <c r="DD22" i="5"/>
  <c r="DC22" i="5"/>
  <c r="DB22" i="5"/>
  <c r="DA22" i="5"/>
  <c r="CZ22" i="5"/>
  <c r="CZ42" i="5" s="1"/>
  <c r="CY22" i="5"/>
  <c r="CX22" i="5"/>
  <c r="CX42" i="5" s="1"/>
  <c r="CW22" i="5"/>
  <c r="GR21" i="5"/>
  <c r="GR41" i="5" s="1"/>
  <c r="GQ21" i="5"/>
  <c r="GP21" i="5"/>
  <c r="GP41" i="5" s="1"/>
  <c r="GO21" i="5"/>
  <c r="GN21" i="5"/>
  <c r="GN41" i="5" s="1"/>
  <c r="GM21" i="5"/>
  <c r="GL21" i="5"/>
  <c r="GL41" i="5" s="1"/>
  <c r="GK21" i="5"/>
  <c r="GJ21" i="5"/>
  <c r="GJ41" i="5" s="1"/>
  <c r="GI21" i="5"/>
  <c r="GH21" i="5"/>
  <c r="GH41" i="5" s="1"/>
  <c r="GG21" i="5"/>
  <c r="GF21" i="5"/>
  <c r="GF41" i="5" s="1"/>
  <c r="GE21" i="5"/>
  <c r="GD21" i="5"/>
  <c r="GD41" i="5" s="1"/>
  <c r="GC21" i="5"/>
  <c r="GB21" i="5"/>
  <c r="GB41" i="5" s="1"/>
  <c r="GA21" i="5"/>
  <c r="FZ21" i="5"/>
  <c r="FY21" i="5"/>
  <c r="FX21" i="5"/>
  <c r="FX41" i="5" s="1"/>
  <c r="FW21" i="5"/>
  <c r="FV21" i="5"/>
  <c r="FU21" i="5"/>
  <c r="FT21" i="5"/>
  <c r="FS21" i="5"/>
  <c r="FR21" i="5"/>
  <c r="FQ21" i="5"/>
  <c r="FP21" i="5"/>
  <c r="FP41" i="5" s="1"/>
  <c r="FO21" i="5"/>
  <c r="FN21" i="5"/>
  <c r="FN41" i="5" s="1"/>
  <c r="FM21" i="5"/>
  <c r="FL21" i="5"/>
  <c r="FL41" i="5" s="1"/>
  <c r="FK21" i="5"/>
  <c r="FJ21" i="5"/>
  <c r="FJ41" i="5" s="1"/>
  <c r="FI21" i="5"/>
  <c r="FH21" i="5"/>
  <c r="FH41" i="5" s="1"/>
  <c r="FG21" i="5"/>
  <c r="FF21" i="5"/>
  <c r="FF41" i="5" s="1"/>
  <c r="FE21" i="5"/>
  <c r="FD21" i="5"/>
  <c r="FD41" i="5" s="1"/>
  <c r="FC21" i="5"/>
  <c r="FB21" i="5"/>
  <c r="FB41" i="5" s="1"/>
  <c r="FA21" i="5"/>
  <c r="EZ21" i="5"/>
  <c r="EZ41" i="5" s="1"/>
  <c r="EY21" i="5"/>
  <c r="EX21" i="5"/>
  <c r="EX41" i="5" s="1"/>
  <c r="EW21" i="5"/>
  <c r="EV21" i="5"/>
  <c r="EV41" i="5" s="1"/>
  <c r="EU21" i="5"/>
  <c r="ET21" i="5"/>
  <c r="ES21" i="5"/>
  <c r="ER21" i="5"/>
  <c r="ER41" i="5" s="1"/>
  <c r="EQ21" i="5"/>
  <c r="EP21" i="5"/>
  <c r="EO21" i="5"/>
  <c r="EN21" i="5"/>
  <c r="EM21" i="5"/>
  <c r="EL21" i="5"/>
  <c r="EK21" i="5"/>
  <c r="EJ21" i="5"/>
  <c r="EJ41" i="5" s="1"/>
  <c r="EI21" i="5"/>
  <c r="EH21" i="5"/>
  <c r="EH41" i="5" s="1"/>
  <c r="EG21" i="5"/>
  <c r="EF21" i="5"/>
  <c r="EF41" i="5" s="1"/>
  <c r="EE21" i="5"/>
  <c r="ED21" i="5"/>
  <c r="ED41" i="5" s="1"/>
  <c r="EC21" i="5"/>
  <c r="EB21" i="5"/>
  <c r="EB41" i="5" s="1"/>
  <c r="EA21" i="5"/>
  <c r="DZ21" i="5"/>
  <c r="DZ41" i="5" s="1"/>
  <c r="DY21" i="5"/>
  <c r="DX21" i="5"/>
  <c r="DX41" i="5" s="1"/>
  <c r="DW21" i="5"/>
  <c r="DV21" i="5"/>
  <c r="DV41" i="5" s="1"/>
  <c r="DU21" i="5"/>
  <c r="DT21" i="5"/>
  <c r="DT41" i="5" s="1"/>
  <c r="DS21" i="5"/>
  <c r="DR21" i="5"/>
  <c r="DR41" i="5" s="1"/>
  <c r="DQ21" i="5"/>
  <c r="DP21" i="5"/>
  <c r="DP41" i="5" s="1"/>
  <c r="DO21" i="5"/>
  <c r="DN21" i="5"/>
  <c r="DM21" i="5"/>
  <c r="DL21" i="5"/>
  <c r="DL41" i="5" s="1"/>
  <c r="DK21" i="5"/>
  <c r="DJ21" i="5"/>
  <c r="DI21" i="5"/>
  <c r="DH21" i="5"/>
  <c r="DG21" i="5"/>
  <c r="DF21" i="5"/>
  <c r="DE21" i="5"/>
  <c r="DD21" i="5"/>
  <c r="DD41" i="5" s="1"/>
  <c r="DC21" i="5"/>
  <c r="DB21" i="5"/>
  <c r="DB41" i="5" s="1"/>
  <c r="DA21" i="5"/>
  <c r="CZ21" i="5"/>
  <c r="CZ41" i="5" s="1"/>
  <c r="CY21" i="5"/>
  <c r="CX21" i="5"/>
  <c r="CX41" i="5" s="1"/>
  <c r="CW21" i="5"/>
  <c r="GR20" i="5"/>
  <c r="GR40" i="5" s="1"/>
  <c r="GQ20" i="5"/>
  <c r="GP20" i="5"/>
  <c r="GP40" i="5" s="1"/>
  <c r="GO20" i="5"/>
  <c r="GN20" i="5"/>
  <c r="GN40" i="5" s="1"/>
  <c r="GM20" i="5"/>
  <c r="GL20" i="5"/>
  <c r="GL40" i="5" s="1"/>
  <c r="GK20" i="5"/>
  <c r="GJ20" i="5"/>
  <c r="GJ40" i="5" s="1"/>
  <c r="GI20" i="5"/>
  <c r="GH20" i="5"/>
  <c r="GH40" i="5" s="1"/>
  <c r="GG20" i="5"/>
  <c r="GF20" i="5"/>
  <c r="GF40" i="5" s="1"/>
  <c r="GE20" i="5"/>
  <c r="GD20" i="5"/>
  <c r="GC20" i="5"/>
  <c r="GB20" i="5"/>
  <c r="GB40" i="5" s="1"/>
  <c r="GA20" i="5"/>
  <c r="FZ20" i="5"/>
  <c r="FY20" i="5"/>
  <c r="FX20" i="5"/>
  <c r="FW20" i="5"/>
  <c r="FV20" i="5"/>
  <c r="FU20" i="5"/>
  <c r="FT20" i="5"/>
  <c r="FT40" i="5" s="1"/>
  <c r="FS20" i="5"/>
  <c r="FR20" i="5"/>
  <c r="FR40" i="5" s="1"/>
  <c r="FQ20" i="5"/>
  <c r="FP20" i="5"/>
  <c r="FP40" i="5" s="1"/>
  <c r="FO20" i="5"/>
  <c r="FN20" i="5"/>
  <c r="FN40" i="5" s="1"/>
  <c r="FM20" i="5"/>
  <c r="FL20" i="5"/>
  <c r="FL40" i="5" s="1"/>
  <c r="FK20" i="5"/>
  <c r="FJ20" i="5"/>
  <c r="FJ40" i="5" s="1"/>
  <c r="FI20" i="5"/>
  <c r="FH20" i="5"/>
  <c r="FH40" i="5" s="1"/>
  <c r="FG20" i="5"/>
  <c r="FF20" i="5"/>
  <c r="FF40" i="5" s="1"/>
  <c r="FE20" i="5"/>
  <c r="FD20" i="5"/>
  <c r="FD40" i="5" s="1"/>
  <c r="FC20" i="5"/>
  <c r="FB20" i="5"/>
  <c r="FB40" i="5" s="1"/>
  <c r="FA20" i="5"/>
  <c r="EZ20" i="5"/>
  <c r="EZ40" i="5" s="1"/>
  <c r="EY20" i="5"/>
  <c r="EX20" i="5"/>
  <c r="EW20" i="5"/>
  <c r="EV20" i="5"/>
  <c r="EV40" i="5" s="1"/>
  <c r="EU20" i="5"/>
  <c r="ET20" i="5"/>
  <c r="ES20" i="5"/>
  <c r="ER20" i="5"/>
  <c r="EQ20" i="5"/>
  <c r="EP20" i="5"/>
  <c r="EO20" i="5"/>
  <c r="EN20" i="5"/>
  <c r="EN40" i="5" s="1"/>
  <c r="EM20" i="5"/>
  <c r="EL20" i="5"/>
  <c r="EL40" i="5" s="1"/>
  <c r="EK20" i="5"/>
  <c r="EJ20" i="5"/>
  <c r="EJ40" i="5" s="1"/>
  <c r="EI20" i="5"/>
  <c r="EH20" i="5"/>
  <c r="EH40" i="5" s="1"/>
  <c r="EG20" i="5"/>
  <c r="EF20" i="5"/>
  <c r="EF40" i="5" s="1"/>
  <c r="EE20" i="5"/>
  <c r="ED20" i="5"/>
  <c r="ED40" i="5" s="1"/>
  <c r="EC20" i="5"/>
  <c r="EB20" i="5"/>
  <c r="EB40" i="5" s="1"/>
  <c r="EA20" i="5"/>
  <c r="DZ20" i="5"/>
  <c r="DZ40" i="5" s="1"/>
  <c r="DY20" i="5"/>
  <c r="DX20" i="5"/>
  <c r="DX40" i="5" s="1"/>
  <c r="DW20" i="5"/>
  <c r="DV20" i="5"/>
  <c r="DV40" i="5" s="1"/>
  <c r="DU20" i="5"/>
  <c r="DT20" i="5"/>
  <c r="DT40" i="5" s="1"/>
  <c r="DS20" i="5"/>
  <c r="DR20" i="5"/>
  <c r="DQ20" i="5"/>
  <c r="DP20" i="5"/>
  <c r="DP40" i="5" s="1"/>
  <c r="DO20" i="5"/>
  <c r="DN20" i="5"/>
  <c r="DM20" i="5"/>
  <c r="DL20" i="5"/>
  <c r="DK20" i="5"/>
  <c r="DJ20" i="5"/>
  <c r="DI20" i="5"/>
  <c r="DH20" i="5"/>
  <c r="DH40" i="5" s="1"/>
  <c r="DG20" i="5"/>
  <c r="DF20" i="5"/>
  <c r="DF40" i="5" s="1"/>
  <c r="DE20" i="5"/>
  <c r="DD20" i="5"/>
  <c r="DD40" i="5" s="1"/>
  <c r="DC20" i="5"/>
  <c r="DB20" i="5"/>
  <c r="DB40" i="5" s="1"/>
  <c r="DA20" i="5"/>
  <c r="CZ20" i="5"/>
  <c r="CZ40" i="5" s="1"/>
  <c r="CY20" i="5"/>
  <c r="CX20" i="5"/>
  <c r="CX40" i="5" s="1"/>
  <c r="CW20" i="5"/>
  <c r="GR19" i="5"/>
  <c r="GR39" i="5" s="1"/>
  <c r="GQ19" i="5"/>
  <c r="GP19" i="5"/>
  <c r="GP39" i="5" s="1"/>
  <c r="GO19" i="5"/>
  <c r="GN19" i="5"/>
  <c r="GN39" i="5" s="1"/>
  <c r="GM19" i="5"/>
  <c r="GL19" i="5"/>
  <c r="GL39" i="5" s="1"/>
  <c r="GK19" i="5"/>
  <c r="GJ19" i="5"/>
  <c r="GJ39" i="5" s="1"/>
  <c r="GI19" i="5"/>
  <c r="GH19" i="5"/>
  <c r="GG19" i="5"/>
  <c r="GF19" i="5"/>
  <c r="GF39" i="5" s="1"/>
  <c r="GE19" i="5"/>
  <c r="GD19" i="5"/>
  <c r="GC19" i="5"/>
  <c r="GB19" i="5"/>
  <c r="GA19" i="5"/>
  <c r="FZ19" i="5"/>
  <c r="FY19" i="5"/>
  <c r="FX19" i="5"/>
  <c r="FX39" i="5" s="1"/>
  <c r="FW19" i="5"/>
  <c r="FV19" i="5"/>
  <c r="FV39" i="5" s="1"/>
  <c r="FU19" i="5"/>
  <c r="FT19" i="5"/>
  <c r="FT39" i="5" s="1"/>
  <c r="FS19" i="5"/>
  <c r="FR19" i="5"/>
  <c r="FR39" i="5" s="1"/>
  <c r="FQ19" i="5"/>
  <c r="FP19" i="5"/>
  <c r="FP39" i="5" s="1"/>
  <c r="FO19" i="5"/>
  <c r="FN19" i="5"/>
  <c r="FN39" i="5" s="1"/>
  <c r="FM19" i="5"/>
  <c r="FL19" i="5"/>
  <c r="FL39" i="5" s="1"/>
  <c r="FK19" i="5"/>
  <c r="FJ19" i="5"/>
  <c r="FJ39" i="5" s="1"/>
  <c r="FI19" i="5"/>
  <c r="FH19" i="5"/>
  <c r="FH39" i="5" s="1"/>
  <c r="FG19" i="5"/>
  <c r="FF19" i="5"/>
  <c r="FF39" i="5" s="1"/>
  <c r="FE19" i="5"/>
  <c r="FD19" i="5"/>
  <c r="FD39" i="5" s="1"/>
  <c r="FC19" i="5"/>
  <c r="FB19" i="5"/>
  <c r="FA19" i="5"/>
  <c r="EZ19" i="5"/>
  <c r="EZ39" i="5" s="1"/>
  <c r="EY19" i="5"/>
  <c r="EX19" i="5"/>
  <c r="EW19" i="5"/>
  <c r="EV19" i="5"/>
  <c r="EU19" i="5"/>
  <c r="ET19" i="5"/>
  <c r="ES19" i="5"/>
  <c r="ER19" i="5"/>
  <c r="ER39" i="5" s="1"/>
  <c r="EQ19" i="5"/>
  <c r="EP19" i="5"/>
  <c r="EP39" i="5" s="1"/>
  <c r="EO19" i="5"/>
  <c r="EN19" i="5"/>
  <c r="EN39" i="5" s="1"/>
  <c r="EM19" i="5"/>
  <c r="EL19" i="5"/>
  <c r="EL39" i="5" s="1"/>
  <c r="EK19" i="5"/>
  <c r="EJ19" i="5"/>
  <c r="EJ39" i="5" s="1"/>
  <c r="EI19" i="5"/>
  <c r="EH19" i="5"/>
  <c r="EH39" i="5" s="1"/>
  <c r="EG19" i="5"/>
  <c r="EF19" i="5"/>
  <c r="EF39" i="5" s="1"/>
  <c r="EE19" i="5"/>
  <c r="ED19" i="5"/>
  <c r="ED39" i="5" s="1"/>
  <c r="EC19" i="5"/>
  <c r="EB19" i="5"/>
  <c r="EB39" i="5" s="1"/>
  <c r="EA19" i="5"/>
  <c r="DZ19" i="5"/>
  <c r="DZ39" i="5" s="1"/>
  <c r="DY19" i="5"/>
  <c r="DX19" i="5"/>
  <c r="DX39" i="5" s="1"/>
  <c r="DW19" i="5"/>
  <c r="DV19" i="5"/>
  <c r="DU19" i="5"/>
  <c r="DT19" i="5"/>
  <c r="DT39" i="5" s="1"/>
  <c r="DS19" i="5"/>
  <c r="DR19" i="5"/>
  <c r="DQ19" i="5"/>
  <c r="DP19" i="5"/>
  <c r="DO19" i="5"/>
  <c r="DN19" i="5"/>
  <c r="DM19" i="5"/>
  <c r="DL19" i="5"/>
  <c r="DL39" i="5" s="1"/>
  <c r="DK19" i="5"/>
  <c r="DJ19" i="5"/>
  <c r="DJ39" i="5" s="1"/>
  <c r="DI19" i="5"/>
  <c r="DH19" i="5"/>
  <c r="DH39" i="5" s="1"/>
  <c r="DG19" i="5"/>
  <c r="DF19" i="5"/>
  <c r="DF39" i="5" s="1"/>
  <c r="DE19" i="5"/>
  <c r="DD19" i="5"/>
  <c r="DD39" i="5" s="1"/>
  <c r="DC19" i="5"/>
  <c r="DB19" i="5"/>
  <c r="DB39" i="5" s="1"/>
  <c r="DA19" i="5"/>
  <c r="CZ19" i="5"/>
  <c r="CZ39" i="5" s="1"/>
  <c r="CY19" i="5"/>
  <c r="CX19" i="5"/>
  <c r="CX39" i="5" s="1"/>
  <c r="CW19" i="5"/>
  <c r="GR18" i="5"/>
  <c r="GR38" i="5" s="1"/>
  <c r="GQ18" i="5"/>
  <c r="GP18" i="5"/>
  <c r="GP38" i="5" s="1"/>
  <c r="GO18" i="5"/>
  <c r="GN18" i="5"/>
  <c r="GN38" i="5" s="1"/>
  <c r="GM18" i="5"/>
  <c r="GL18" i="5"/>
  <c r="GK18" i="5"/>
  <c r="GJ18" i="5"/>
  <c r="GJ38" i="5" s="1"/>
  <c r="GI18" i="5"/>
  <c r="GH18" i="5"/>
  <c r="GG18" i="5"/>
  <c r="GF18" i="5"/>
  <c r="GE18" i="5"/>
  <c r="GD18" i="5"/>
  <c r="GC18" i="5"/>
  <c r="GB18" i="5"/>
  <c r="GB38" i="5" s="1"/>
  <c r="GA18" i="5"/>
  <c r="FZ18" i="5"/>
  <c r="FZ38" i="5" s="1"/>
  <c r="FY18" i="5"/>
  <c r="FX18" i="5"/>
  <c r="FX38" i="5" s="1"/>
  <c r="FW18" i="5"/>
  <c r="FV18" i="5"/>
  <c r="FV38" i="5" s="1"/>
  <c r="FU18" i="5"/>
  <c r="FT18" i="5"/>
  <c r="FT38" i="5" s="1"/>
  <c r="FS18" i="5"/>
  <c r="FR18" i="5"/>
  <c r="FR38" i="5" s="1"/>
  <c r="FQ18" i="5"/>
  <c r="FP18" i="5"/>
  <c r="FP38" i="5" s="1"/>
  <c r="FO18" i="5"/>
  <c r="FN18" i="5"/>
  <c r="FN38" i="5" s="1"/>
  <c r="FM18" i="5"/>
  <c r="FL18" i="5"/>
  <c r="FL38" i="5" s="1"/>
  <c r="FK18" i="5"/>
  <c r="FJ18" i="5"/>
  <c r="FJ38" i="5" s="1"/>
  <c r="FI18" i="5"/>
  <c r="FH18" i="5"/>
  <c r="FH38" i="5" s="1"/>
  <c r="FG18" i="5"/>
  <c r="FF18" i="5"/>
  <c r="FE18" i="5"/>
  <c r="FD18" i="5"/>
  <c r="FD38" i="5" s="1"/>
  <c r="FC18" i="5"/>
  <c r="FB18" i="5"/>
  <c r="FA18" i="5"/>
  <c r="EZ18" i="5"/>
  <c r="EY18" i="5"/>
  <c r="EX18" i="5"/>
  <c r="EW18" i="5"/>
  <c r="EV18" i="5"/>
  <c r="EV38" i="5" s="1"/>
  <c r="EU18" i="5"/>
  <c r="ET18" i="5"/>
  <c r="ET38" i="5" s="1"/>
  <c r="ES18" i="5"/>
  <c r="ER18" i="5"/>
  <c r="ER38" i="5" s="1"/>
  <c r="EQ18" i="5"/>
  <c r="EP18" i="5"/>
  <c r="EP38" i="5" s="1"/>
  <c r="EO18" i="5"/>
  <c r="EN18" i="5"/>
  <c r="EN38" i="5" s="1"/>
  <c r="EM18" i="5"/>
  <c r="EL18" i="5"/>
  <c r="EL38" i="5" s="1"/>
  <c r="EK18" i="5"/>
  <c r="EJ18" i="5"/>
  <c r="EJ38" i="5" s="1"/>
  <c r="EI18" i="5"/>
  <c r="EH18" i="5"/>
  <c r="EH38" i="5" s="1"/>
  <c r="EG18" i="5"/>
  <c r="EF18" i="5"/>
  <c r="EF38" i="5" s="1"/>
  <c r="EE18" i="5"/>
  <c r="ED18" i="5"/>
  <c r="ED38" i="5" s="1"/>
  <c r="EC18" i="5"/>
  <c r="EB18" i="5"/>
  <c r="EB38" i="5" s="1"/>
  <c r="EA18" i="5"/>
  <c r="DZ18" i="5"/>
  <c r="DY18" i="5"/>
  <c r="DX18" i="5"/>
  <c r="DX38" i="5" s="1"/>
  <c r="DW18" i="5"/>
  <c r="DV18" i="5"/>
  <c r="DU18" i="5"/>
  <c r="DT18" i="5"/>
  <c r="DS18" i="5"/>
  <c r="DR18" i="5"/>
  <c r="DQ18" i="5"/>
  <c r="DP18" i="5"/>
  <c r="DP38" i="5" s="1"/>
  <c r="DO18" i="5"/>
  <c r="DN18" i="5"/>
  <c r="DN38" i="5" s="1"/>
  <c r="DM18" i="5"/>
  <c r="DL18" i="5"/>
  <c r="DL38" i="5" s="1"/>
  <c r="DK18" i="5"/>
  <c r="DJ18" i="5"/>
  <c r="DJ38" i="5" s="1"/>
  <c r="DI18" i="5"/>
  <c r="DH18" i="5"/>
  <c r="DH38" i="5" s="1"/>
  <c r="DG18" i="5"/>
  <c r="DF18" i="5"/>
  <c r="DF38" i="5" s="1"/>
  <c r="DE18" i="5"/>
  <c r="DD18" i="5"/>
  <c r="DD38" i="5" s="1"/>
  <c r="DC18" i="5"/>
  <c r="DB18" i="5"/>
  <c r="DB38" i="5" s="1"/>
  <c r="DA18" i="5"/>
  <c r="CZ18" i="5"/>
  <c r="CZ38" i="5" s="1"/>
  <c r="CY18" i="5"/>
  <c r="CX18" i="5"/>
  <c r="CX38" i="5" s="1"/>
  <c r="CW18" i="5"/>
  <c r="GR17" i="5"/>
  <c r="GR37" i="5" s="1"/>
  <c r="GQ17" i="5"/>
  <c r="GP17" i="5"/>
  <c r="GO17" i="5"/>
  <c r="GN17" i="5"/>
  <c r="GN37" i="5" s="1"/>
  <c r="GM17" i="5"/>
  <c r="GL17" i="5"/>
  <c r="GK17" i="5"/>
  <c r="GJ17" i="5"/>
  <c r="GI17" i="5"/>
  <c r="GH17" i="5"/>
  <c r="GG17" i="5"/>
  <c r="GF17" i="5"/>
  <c r="GF37" i="5" s="1"/>
  <c r="GE17" i="5"/>
  <c r="GD17" i="5"/>
  <c r="GD37" i="5" s="1"/>
  <c r="GC17" i="5"/>
  <c r="GB17" i="5"/>
  <c r="GB37" i="5" s="1"/>
  <c r="GA17" i="5"/>
  <c r="FZ17" i="5"/>
  <c r="FZ37" i="5" s="1"/>
  <c r="FY17" i="5"/>
  <c r="FX17" i="5"/>
  <c r="FX37" i="5" s="1"/>
  <c r="FW17" i="5"/>
  <c r="FV17" i="5"/>
  <c r="FV37" i="5" s="1"/>
  <c r="FU17" i="5"/>
  <c r="FT17" i="5"/>
  <c r="FT37" i="5" s="1"/>
  <c r="FS17" i="5"/>
  <c r="FR17" i="5"/>
  <c r="FR37" i="5" s="1"/>
  <c r="FQ17" i="5"/>
  <c r="FP17" i="5"/>
  <c r="FP37" i="5" s="1"/>
  <c r="FO17" i="5"/>
  <c r="FN17" i="5"/>
  <c r="FN37" i="5" s="1"/>
  <c r="FM17" i="5"/>
  <c r="FL17" i="5"/>
  <c r="FL37" i="5" s="1"/>
  <c r="FK17" i="5"/>
  <c r="FJ17" i="5"/>
  <c r="FI17" i="5"/>
  <c r="FH17" i="5"/>
  <c r="FH37" i="5" s="1"/>
  <c r="FG17" i="5"/>
  <c r="FF17" i="5"/>
  <c r="FE17" i="5"/>
  <c r="FD17" i="5"/>
  <c r="FC17" i="5"/>
  <c r="FB17" i="5"/>
  <c r="FA17" i="5"/>
  <c r="EZ17" i="5"/>
  <c r="EZ37" i="5" s="1"/>
  <c r="EY17" i="5"/>
  <c r="EX17" i="5"/>
  <c r="EX37" i="5" s="1"/>
  <c r="EW17" i="5"/>
  <c r="EV17" i="5"/>
  <c r="EV37" i="5" s="1"/>
  <c r="EU17" i="5"/>
  <c r="ET17" i="5"/>
  <c r="ET37" i="5" s="1"/>
  <c r="ES17" i="5"/>
  <c r="ER17" i="5"/>
  <c r="ER37" i="5" s="1"/>
  <c r="EQ17" i="5"/>
  <c r="EP17" i="5"/>
  <c r="EP37" i="5" s="1"/>
  <c r="EO17" i="5"/>
  <c r="EN17" i="5"/>
  <c r="EN37" i="5" s="1"/>
  <c r="EM17" i="5"/>
  <c r="EL17" i="5"/>
  <c r="EL37" i="5" s="1"/>
  <c r="EK17" i="5"/>
  <c r="EJ17" i="5"/>
  <c r="EJ37" i="5" s="1"/>
  <c r="EI17" i="5"/>
  <c r="EH17" i="5"/>
  <c r="EH37" i="5" s="1"/>
  <c r="EG17" i="5"/>
  <c r="EF17" i="5"/>
  <c r="EF37" i="5" s="1"/>
  <c r="EE17" i="5"/>
  <c r="ED17" i="5"/>
  <c r="EC17" i="5"/>
  <c r="EB17" i="5"/>
  <c r="EB37" i="5" s="1"/>
  <c r="EA17" i="5"/>
  <c r="DZ17" i="5"/>
  <c r="DY17" i="5"/>
  <c r="DX17" i="5"/>
  <c r="DW17" i="5"/>
  <c r="DV17" i="5"/>
  <c r="DU17" i="5"/>
  <c r="DT17" i="5"/>
  <c r="DT37" i="5" s="1"/>
  <c r="DS17" i="5"/>
  <c r="DR17" i="5"/>
  <c r="DR37" i="5" s="1"/>
  <c r="DQ17" i="5"/>
  <c r="DP17" i="5"/>
  <c r="DP37" i="5" s="1"/>
  <c r="DO17" i="5"/>
  <c r="DN17" i="5"/>
  <c r="DN37" i="5" s="1"/>
  <c r="DM17" i="5"/>
  <c r="DL17" i="5"/>
  <c r="DL37" i="5" s="1"/>
  <c r="DK17" i="5"/>
  <c r="DJ17" i="5"/>
  <c r="DJ37" i="5" s="1"/>
  <c r="DI17" i="5"/>
  <c r="DH17" i="5"/>
  <c r="DH37" i="5" s="1"/>
  <c r="DG17" i="5"/>
  <c r="DF17" i="5"/>
  <c r="DF37" i="5" s="1"/>
  <c r="DE17" i="5"/>
  <c r="DD17" i="5"/>
  <c r="DD37" i="5" s="1"/>
  <c r="DC17" i="5"/>
  <c r="DB17" i="5"/>
  <c r="DB37" i="5" s="1"/>
  <c r="DA17" i="5"/>
  <c r="CZ17" i="5"/>
  <c r="CZ37" i="5" s="1"/>
  <c r="CY17" i="5"/>
  <c r="CX17" i="5"/>
  <c r="CW17" i="5"/>
  <c r="GR16" i="5"/>
  <c r="GR36" i="5" s="1"/>
  <c r="GQ16" i="5"/>
  <c r="GP16" i="5"/>
  <c r="GO16" i="5"/>
  <c r="GN16" i="5"/>
  <c r="GM16" i="5"/>
  <c r="GL16" i="5"/>
  <c r="GK16" i="5"/>
  <c r="GJ16" i="5"/>
  <c r="GJ36" i="5" s="1"/>
  <c r="GI16" i="5"/>
  <c r="GH16" i="5"/>
  <c r="GH36" i="5" s="1"/>
  <c r="GG16" i="5"/>
  <c r="GF16" i="5"/>
  <c r="GF36" i="5" s="1"/>
  <c r="GE16" i="5"/>
  <c r="GD16" i="5"/>
  <c r="GD36" i="5" s="1"/>
  <c r="GC16" i="5"/>
  <c r="GB16" i="5"/>
  <c r="GB36" i="5" s="1"/>
  <c r="GA16" i="5"/>
  <c r="FZ16" i="5"/>
  <c r="FZ36" i="5" s="1"/>
  <c r="FY16" i="5"/>
  <c r="FX16" i="5"/>
  <c r="FX36" i="5" s="1"/>
  <c r="FW16" i="5"/>
  <c r="FV16" i="5"/>
  <c r="FV36" i="5" s="1"/>
  <c r="FU16" i="5"/>
  <c r="FT16" i="5"/>
  <c r="FT36" i="5" s="1"/>
  <c r="FS16" i="5"/>
  <c r="FR16" i="5"/>
  <c r="FR36" i="5" s="1"/>
  <c r="FQ16" i="5"/>
  <c r="FP16" i="5"/>
  <c r="FP36" i="5" s="1"/>
  <c r="FO16" i="5"/>
  <c r="FN16" i="5"/>
  <c r="FM16" i="5"/>
  <c r="FL16" i="5"/>
  <c r="FL36" i="5" s="1"/>
  <c r="FK16" i="5"/>
  <c r="FJ16" i="5"/>
  <c r="FI16" i="5"/>
  <c r="FH16" i="5"/>
  <c r="FG16" i="5"/>
  <c r="FF16" i="5"/>
  <c r="FE16" i="5"/>
  <c r="FD16" i="5"/>
  <c r="FD36" i="5" s="1"/>
  <c r="FC16" i="5"/>
  <c r="FB16" i="5"/>
  <c r="FB36" i="5" s="1"/>
  <c r="FA16" i="5"/>
  <c r="EZ16" i="5"/>
  <c r="EZ36" i="5" s="1"/>
  <c r="EY16" i="5"/>
  <c r="EX16" i="5"/>
  <c r="EX36" i="5" s="1"/>
  <c r="EW16" i="5"/>
  <c r="EV16" i="5"/>
  <c r="EV36" i="5" s="1"/>
  <c r="EU16" i="5"/>
  <c r="ET16" i="5"/>
  <c r="ET36" i="5" s="1"/>
  <c r="ES16" i="5"/>
  <c r="ER16" i="5"/>
  <c r="ER36" i="5" s="1"/>
  <c r="EQ16" i="5"/>
  <c r="EP16" i="5"/>
  <c r="EP36" i="5" s="1"/>
  <c r="EO16" i="5"/>
  <c r="EN16" i="5"/>
  <c r="EN36" i="5" s="1"/>
  <c r="EM16" i="5"/>
  <c r="EL16" i="5"/>
  <c r="EL36" i="5" s="1"/>
  <c r="EK16" i="5"/>
  <c r="EJ16" i="5"/>
  <c r="EJ36" i="5" s="1"/>
  <c r="EI16" i="5"/>
  <c r="EH16" i="5"/>
  <c r="EG16" i="5"/>
  <c r="EF16" i="5"/>
  <c r="EF36" i="5" s="1"/>
  <c r="EE16" i="5"/>
  <c r="ED16" i="5"/>
  <c r="EC16" i="5"/>
  <c r="EB16" i="5"/>
  <c r="EA16" i="5"/>
  <c r="DZ16" i="5"/>
  <c r="DY16" i="5"/>
  <c r="DX16" i="5"/>
  <c r="DX36" i="5" s="1"/>
  <c r="DW16" i="5"/>
  <c r="DV16" i="5"/>
  <c r="DV36" i="5" s="1"/>
  <c r="DU16" i="5"/>
  <c r="DT16" i="5"/>
  <c r="DT36" i="5" s="1"/>
  <c r="DS16" i="5"/>
  <c r="DR16" i="5"/>
  <c r="DR36" i="5" s="1"/>
  <c r="DQ16" i="5"/>
  <c r="DP16" i="5"/>
  <c r="DP36" i="5" s="1"/>
  <c r="DO16" i="5"/>
  <c r="DN16" i="5"/>
  <c r="DN36" i="5" s="1"/>
  <c r="DM16" i="5"/>
  <c r="DL16" i="5"/>
  <c r="DL36" i="5" s="1"/>
  <c r="DK16" i="5"/>
  <c r="DJ16" i="5"/>
  <c r="DJ36" i="5" s="1"/>
  <c r="DI16" i="5"/>
  <c r="DH16" i="5"/>
  <c r="DH36" i="5" s="1"/>
  <c r="DG16" i="5"/>
  <c r="DF16" i="5"/>
  <c r="DF36" i="5" s="1"/>
  <c r="DE16" i="5"/>
  <c r="DD16" i="5"/>
  <c r="DD36" i="5" s="1"/>
  <c r="DC16" i="5"/>
  <c r="DB16" i="5"/>
  <c r="DA16" i="5"/>
  <c r="CZ16" i="5"/>
  <c r="CZ36" i="5" s="1"/>
  <c r="CY16" i="5"/>
  <c r="CX16" i="5"/>
  <c r="CW16" i="5"/>
  <c r="GR15" i="5"/>
  <c r="GQ15" i="5"/>
  <c r="GP15" i="5"/>
  <c r="GO15" i="5"/>
  <c r="GN15" i="5"/>
  <c r="GN35" i="5" s="1"/>
  <c r="GM15" i="5"/>
  <c r="GL15" i="5"/>
  <c r="GL35" i="5" s="1"/>
  <c r="GK15" i="5"/>
  <c r="GJ15" i="5"/>
  <c r="GJ35" i="5" s="1"/>
  <c r="GI15" i="5"/>
  <c r="GH15" i="5"/>
  <c r="GH35" i="5" s="1"/>
  <c r="GG15" i="5"/>
  <c r="GF15" i="5"/>
  <c r="GF35" i="5" s="1"/>
  <c r="GE15" i="5"/>
  <c r="GD15" i="5"/>
  <c r="GD35" i="5" s="1"/>
  <c r="GC15" i="5"/>
  <c r="GB15" i="5"/>
  <c r="GB35" i="5" s="1"/>
  <c r="GA15" i="5"/>
  <c r="FZ15" i="5"/>
  <c r="FZ35" i="5" s="1"/>
  <c r="FY15" i="5"/>
  <c r="FX15" i="5"/>
  <c r="FX35" i="5" s="1"/>
  <c r="FW15" i="5"/>
  <c r="FV15" i="5"/>
  <c r="FV35" i="5" s="1"/>
  <c r="FU15" i="5"/>
  <c r="FT15" i="5"/>
  <c r="FT35" i="5" s="1"/>
  <c r="FS15" i="5"/>
  <c r="FR15" i="5"/>
  <c r="FQ15" i="5"/>
  <c r="FP15" i="5"/>
  <c r="FP35" i="5" s="1"/>
  <c r="FO15" i="5"/>
  <c r="FN15" i="5"/>
  <c r="FM15" i="5"/>
  <c r="FL15" i="5"/>
  <c r="FK15" i="5"/>
  <c r="FJ15" i="5"/>
  <c r="FI15" i="5"/>
  <c r="FH15" i="5"/>
  <c r="FH35" i="5" s="1"/>
  <c r="FG15" i="5"/>
  <c r="FF15" i="5"/>
  <c r="FF35" i="5" s="1"/>
  <c r="FE15" i="5"/>
  <c r="FD15" i="5"/>
  <c r="FD35" i="5" s="1"/>
  <c r="FC15" i="5"/>
  <c r="FB15" i="5"/>
  <c r="FB35" i="5" s="1"/>
  <c r="FA15" i="5"/>
  <c r="EZ15" i="5"/>
  <c r="EZ35" i="5" s="1"/>
  <c r="EY15" i="5"/>
  <c r="EX15" i="5"/>
  <c r="EX35" i="5" s="1"/>
  <c r="EW15" i="5"/>
  <c r="EV15" i="5"/>
  <c r="EV35" i="5" s="1"/>
  <c r="EU15" i="5"/>
  <c r="ET15" i="5"/>
  <c r="ET35" i="5" s="1"/>
  <c r="ES15" i="5"/>
  <c r="ER15" i="5"/>
  <c r="ER35" i="5" s="1"/>
  <c r="EQ15" i="5"/>
  <c r="EP15" i="5"/>
  <c r="EP35" i="5" s="1"/>
  <c r="EO15" i="5"/>
  <c r="EN15" i="5"/>
  <c r="EN35" i="5" s="1"/>
  <c r="EM15" i="5"/>
  <c r="EL15" i="5"/>
  <c r="EK15" i="5"/>
  <c r="EJ15" i="5"/>
  <c r="EJ35" i="5" s="1"/>
  <c r="EI15" i="5"/>
  <c r="EH15" i="5"/>
  <c r="EG15" i="5"/>
  <c r="EF15" i="5"/>
  <c r="EE15" i="5"/>
  <c r="ED15" i="5"/>
  <c r="EC15" i="5"/>
  <c r="EB15" i="5"/>
  <c r="EB35" i="5" s="1"/>
  <c r="EA15" i="5"/>
  <c r="DZ15" i="5"/>
  <c r="DZ35" i="5" s="1"/>
  <c r="DY15" i="5"/>
  <c r="DX15" i="5"/>
  <c r="DX35" i="5" s="1"/>
  <c r="DW15" i="5"/>
  <c r="DV15" i="5"/>
  <c r="DV35" i="5" s="1"/>
  <c r="DU15" i="5"/>
  <c r="DT15" i="5"/>
  <c r="DT35" i="5" s="1"/>
  <c r="DS15" i="5"/>
  <c r="DR15" i="5"/>
  <c r="DR35" i="5" s="1"/>
  <c r="DQ15" i="5"/>
  <c r="DP15" i="5"/>
  <c r="DP35" i="5" s="1"/>
  <c r="DO15" i="5"/>
  <c r="DN15" i="5"/>
  <c r="DN35" i="5" s="1"/>
  <c r="DM15" i="5"/>
  <c r="DL15" i="5"/>
  <c r="DL35" i="5" s="1"/>
  <c r="DK15" i="5"/>
  <c r="DJ15" i="5"/>
  <c r="DJ35" i="5" s="1"/>
  <c r="DI15" i="5"/>
  <c r="DH15" i="5"/>
  <c r="DH35" i="5" s="1"/>
  <c r="DG15" i="5"/>
  <c r="DF15" i="5"/>
  <c r="DE15" i="5"/>
  <c r="DD15" i="5"/>
  <c r="DD35" i="5" s="1"/>
  <c r="DC15" i="5"/>
  <c r="DB15" i="5"/>
  <c r="DA15" i="5"/>
  <c r="CZ15" i="5"/>
  <c r="CY15" i="5"/>
  <c r="CX15" i="5"/>
  <c r="CW15" i="5"/>
  <c r="GR14" i="5"/>
  <c r="GR34" i="5" s="1"/>
  <c r="GQ14" i="5"/>
  <c r="GP14" i="5"/>
  <c r="GP34" i="5" s="1"/>
  <c r="GO14" i="5"/>
  <c r="GN14" i="5"/>
  <c r="GN34" i="5" s="1"/>
  <c r="GM14" i="5"/>
  <c r="GL14" i="5"/>
  <c r="GL34" i="5" s="1"/>
  <c r="GK14" i="5"/>
  <c r="GJ14" i="5"/>
  <c r="GJ34" i="5" s="1"/>
  <c r="GI14" i="5"/>
  <c r="GH14" i="5"/>
  <c r="GH34" i="5" s="1"/>
  <c r="GG14" i="5"/>
  <c r="GF14" i="5"/>
  <c r="GF34" i="5" s="1"/>
  <c r="GE14" i="5"/>
  <c r="GD14" i="5"/>
  <c r="GD34" i="5" s="1"/>
  <c r="GC14" i="5"/>
  <c r="GB14" i="5"/>
  <c r="GB34" i="5" s="1"/>
  <c r="GA14" i="5"/>
  <c r="FZ14" i="5"/>
  <c r="FZ34" i="5" s="1"/>
  <c r="FY14" i="5"/>
  <c r="FX14" i="5"/>
  <c r="FX34" i="5" s="1"/>
  <c r="FW14" i="5"/>
  <c r="FV14" i="5"/>
  <c r="FU14" i="5"/>
  <c r="FT14" i="5"/>
  <c r="FT34" i="5" s="1"/>
  <c r="FS14" i="5"/>
  <c r="FR14" i="5"/>
  <c r="FQ14" i="5"/>
  <c r="FP14" i="5"/>
  <c r="FO14" i="5"/>
  <c r="FN14" i="5"/>
  <c r="FM14" i="5"/>
  <c r="FL14" i="5"/>
  <c r="FL34" i="5" s="1"/>
  <c r="FK14" i="5"/>
  <c r="FJ14" i="5"/>
  <c r="FJ34" i="5" s="1"/>
  <c r="FI14" i="5"/>
  <c r="FH14" i="5"/>
  <c r="FH34" i="5" s="1"/>
  <c r="FG14" i="5"/>
  <c r="FF14" i="5"/>
  <c r="FF34" i="5" s="1"/>
  <c r="FE14" i="5"/>
  <c r="FD14" i="5"/>
  <c r="FD34" i="5" s="1"/>
  <c r="FC14" i="5"/>
  <c r="FB14" i="5"/>
  <c r="FB34" i="5" s="1"/>
  <c r="FA14" i="5"/>
  <c r="EZ14" i="5"/>
  <c r="EZ34" i="5" s="1"/>
  <c r="EY14" i="5"/>
  <c r="EX14" i="5"/>
  <c r="EX34" i="5" s="1"/>
  <c r="EW14" i="5"/>
  <c r="EV14" i="5"/>
  <c r="EV34" i="5" s="1"/>
  <c r="EU14" i="5"/>
  <c r="ET14" i="5"/>
  <c r="ET34" i="5" s="1"/>
  <c r="ES14" i="5"/>
  <c r="ER14" i="5"/>
  <c r="ER34" i="5" s="1"/>
  <c r="EQ14" i="5"/>
  <c r="EP14" i="5"/>
  <c r="EO14" i="5"/>
  <c r="EN14" i="5"/>
  <c r="EN34" i="5" s="1"/>
  <c r="EM14" i="5"/>
  <c r="EL14" i="5"/>
  <c r="EK14" i="5"/>
  <c r="EJ14" i="5"/>
  <c r="EI14" i="5"/>
  <c r="EH14" i="5"/>
  <c r="EG14" i="5"/>
  <c r="EF14" i="5"/>
  <c r="EF34" i="5" s="1"/>
  <c r="EE14" i="5"/>
  <c r="ED14" i="5"/>
  <c r="ED34" i="5" s="1"/>
  <c r="EC14" i="5"/>
  <c r="EB14" i="5"/>
  <c r="EB34" i="5" s="1"/>
  <c r="EA14" i="5"/>
  <c r="DZ14" i="5"/>
  <c r="DZ34" i="5" s="1"/>
  <c r="DY14" i="5"/>
  <c r="DX14" i="5"/>
  <c r="DX34" i="5" s="1"/>
  <c r="DW14" i="5"/>
  <c r="DV14" i="5"/>
  <c r="DV34" i="5" s="1"/>
  <c r="DU14" i="5"/>
  <c r="DT14" i="5"/>
  <c r="DT34" i="5" s="1"/>
  <c r="DS14" i="5"/>
  <c r="DR14" i="5"/>
  <c r="DR34" i="5" s="1"/>
  <c r="DQ14" i="5"/>
  <c r="DP14" i="5"/>
  <c r="DP34" i="5" s="1"/>
  <c r="DO14" i="5"/>
  <c r="DN14" i="5"/>
  <c r="DN34" i="5" s="1"/>
  <c r="DM14" i="5"/>
  <c r="DL14" i="5"/>
  <c r="DL34" i="5" s="1"/>
  <c r="DK14" i="5"/>
  <c r="DJ14" i="5"/>
  <c r="DI14" i="5"/>
  <c r="DH14" i="5"/>
  <c r="DH34" i="5" s="1"/>
  <c r="DG14" i="5"/>
  <c r="DF14" i="5"/>
  <c r="DE14" i="5"/>
  <c r="DD14" i="5"/>
  <c r="DC14" i="5"/>
  <c r="DB14" i="5"/>
  <c r="DA14" i="5"/>
  <c r="CZ14" i="5"/>
  <c r="CZ34" i="5" s="1"/>
  <c r="CY14" i="5"/>
  <c r="CX14" i="5"/>
  <c r="CX34" i="5" s="1"/>
  <c r="CW14" i="5"/>
  <c r="GR13" i="5"/>
  <c r="GR33" i="5" s="1"/>
  <c r="GQ13" i="5"/>
  <c r="GP13" i="5"/>
  <c r="GP33" i="5" s="1"/>
  <c r="GO13" i="5"/>
  <c r="GN13" i="5"/>
  <c r="GN33" i="5" s="1"/>
  <c r="GM13" i="5"/>
  <c r="GL13" i="5"/>
  <c r="GL33" i="5" s="1"/>
  <c r="GK13" i="5"/>
  <c r="GJ13" i="5"/>
  <c r="GJ33" i="5" s="1"/>
  <c r="GI13" i="5"/>
  <c r="GH13" i="5"/>
  <c r="GH33" i="5" s="1"/>
  <c r="GG13" i="5"/>
  <c r="GF13" i="5"/>
  <c r="GF33" i="5" s="1"/>
  <c r="GE13" i="5"/>
  <c r="GD13" i="5"/>
  <c r="GD33" i="5" s="1"/>
  <c r="GC13" i="5"/>
  <c r="GB13" i="5"/>
  <c r="GB33" i="5" s="1"/>
  <c r="GA13" i="5"/>
  <c r="FZ13" i="5"/>
  <c r="FY13" i="5"/>
  <c r="FX13" i="5"/>
  <c r="FX33" i="5" s="1"/>
  <c r="FW13" i="5"/>
  <c r="FV13" i="5"/>
  <c r="FU13" i="5"/>
  <c r="FT13" i="5"/>
  <c r="FS13" i="5"/>
  <c r="FR13" i="5"/>
  <c r="FQ13" i="5"/>
  <c r="FP13" i="5"/>
  <c r="FP33" i="5" s="1"/>
  <c r="FO13" i="5"/>
  <c r="FN13" i="5"/>
  <c r="FN33" i="5" s="1"/>
  <c r="FM13" i="5"/>
  <c r="FL13" i="5"/>
  <c r="FL33" i="5" s="1"/>
  <c r="FK13" i="5"/>
  <c r="FJ13" i="5"/>
  <c r="FJ33" i="5" s="1"/>
  <c r="FI13" i="5"/>
  <c r="FH13" i="5"/>
  <c r="FH33" i="5" s="1"/>
  <c r="FG13" i="5"/>
  <c r="FF13" i="5"/>
  <c r="FF33" i="5" s="1"/>
  <c r="FE13" i="5"/>
  <c r="FD13" i="5"/>
  <c r="FD33" i="5" s="1"/>
  <c r="FC13" i="5"/>
  <c r="FB13" i="5"/>
  <c r="FB33" i="5" s="1"/>
  <c r="FA13" i="5"/>
  <c r="EZ13" i="5"/>
  <c r="EZ33" i="5" s="1"/>
  <c r="EY13" i="5"/>
  <c r="EX13" i="5"/>
  <c r="EX33" i="5" s="1"/>
  <c r="EW13" i="5"/>
  <c r="EV13" i="5"/>
  <c r="EV33" i="5" s="1"/>
  <c r="EU13" i="5"/>
  <c r="ET13" i="5"/>
  <c r="ES13" i="5"/>
  <c r="ER13" i="5"/>
  <c r="ER33" i="5" s="1"/>
  <c r="EQ13" i="5"/>
  <c r="EP13" i="5"/>
  <c r="EO13" i="5"/>
  <c r="EN13" i="5"/>
  <c r="EM13" i="5"/>
  <c r="EL13" i="5"/>
  <c r="EK13" i="5"/>
  <c r="EJ13" i="5"/>
  <c r="EJ33" i="5" s="1"/>
  <c r="EI13" i="5"/>
  <c r="EH13" i="5"/>
  <c r="EH33" i="5" s="1"/>
  <c r="EG13" i="5"/>
  <c r="EF13" i="5"/>
  <c r="EF33" i="5" s="1"/>
  <c r="EE13" i="5"/>
  <c r="ED13" i="5"/>
  <c r="ED33" i="5" s="1"/>
  <c r="EC13" i="5"/>
  <c r="EB13" i="5"/>
  <c r="EB33" i="5" s="1"/>
  <c r="EA13" i="5"/>
  <c r="DZ13" i="5"/>
  <c r="DZ33" i="5" s="1"/>
  <c r="DY13" i="5"/>
  <c r="DX13" i="5"/>
  <c r="DX33" i="5" s="1"/>
  <c r="DW13" i="5"/>
  <c r="DV13" i="5"/>
  <c r="DV33" i="5" s="1"/>
  <c r="DU13" i="5"/>
  <c r="DT13" i="5"/>
  <c r="DT33" i="5" s="1"/>
  <c r="DS13" i="5"/>
  <c r="DR13" i="5"/>
  <c r="DR33" i="5" s="1"/>
  <c r="DQ13" i="5"/>
  <c r="DP13" i="5"/>
  <c r="DP33" i="5" s="1"/>
  <c r="DO13" i="5"/>
  <c r="DN13" i="5"/>
  <c r="DM13" i="5"/>
  <c r="DL13" i="5"/>
  <c r="DL33" i="5" s="1"/>
  <c r="DK13" i="5"/>
  <c r="DJ13" i="5"/>
  <c r="DI13" i="5"/>
  <c r="DH13" i="5"/>
  <c r="DG13" i="5"/>
  <c r="DF13" i="5"/>
  <c r="DE13" i="5"/>
  <c r="DD13" i="5"/>
  <c r="DD33" i="5" s="1"/>
  <c r="DC13" i="5"/>
  <c r="DB13" i="5"/>
  <c r="DB33" i="5" s="1"/>
  <c r="DA13" i="5"/>
  <c r="CZ13" i="5"/>
  <c r="CZ33" i="5" s="1"/>
  <c r="CY13" i="5"/>
  <c r="CX13" i="5"/>
  <c r="CX33" i="5" s="1"/>
  <c r="CW13" i="5"/>
  <c r="GR12" i="5"/>
  <c r="GR32" i="5" s="1"/>
  <c r="GQ12" i="5"/>
  <c r="GP12" i="5"/>
  <c r="GP32" i="5" s="1"/>
  <c r="GO12" i="5"/>
  <c r="GN12" i="5"/>
  <c r="GN32" i="5" s="1"/>
  <c r="GM12" i="5"/>
  <c r="GL12" i="5"/>
  <c r="GL32" i="5" s="1"/>
  <c r="GK12" i="5"/>
  <c r="GJ12" i="5"/>
  <c r="GJ32" i="5" s="1"/>
  <c r="GJ27" i="5" s="1"/>
  <c r="GI12" i="5"/>
  <c r="GH12" i="5"/>
  <c r="GH32" i="5" s="1"/>
  <c r="GG12" i="5"/>
  <c r="GF12" i="5"/>
  <c r="GF32" i="5" s="1"/>
  <c r="GF27" i="5" s="1"/>
  <c r="GE12" i="5"/>
  <c r="GD12" i="5"/>
  <c r="GC12" i="5"/>
  <c r="GB12" i="5"/>
  <c r="GB32" i="5" s="1"/>
  <c r="GA12" i="5"/>
  <c r="FZ12" i="5"/>
  <c r="FY12" i="5"/>
  <c r="FX12" i="5"/>
  <c r="FW12" i="5"/>
  <c r="FV12" i="5"/>
  <c r="FU12" i="5"/>
  <c r="FT12" i="5"/>
  <c r="FT32" i="5" s="1"/>
  <c r="FT27" i="5" s="1"/>
  <c r="FS12" i="5"/>
  <c r="FR12" i="5"/>
  <c r="FR32" i="5" s="1"/>
  <c r="FR27" i="5" s="1"/>
  <c r="FQ12" i="5"/>
  <c r="FP12" i="5"/>
  <c r="FP32" i="5" s="1"/>
  <c r="FP27" i="5" s="1"/>
  <c r="FO12" i="5"/>
  <c r="FN12" i="5"/>
  <c r="FN32" i="5" s="1"/>
  <c r="FN27" i="5" s="1"/>
  <c r="FM12" i="5"/>
  <c r="FL12" i="5"/>
  <c r="FL32" i="5" s="1"/>
  <c r="FK12" i="5"/>
  <c r="FJ12" i="5"/>
  <c r="FJ32" i="5" s="1"/>
  <c r="FI12" i="5"/>
  <c r="FH12" i="5"/>
  <c r="FH32" i="5" s="1"/>
  <c r="FG12" i="5"/>
  <c r="FF12" i="5"/>
  <c r="FF32" i="5" s="1"/>
  <c r="FE12" i="5"/>
  <c r="FD12" i="5"/>
  <c r="FD32" i="5" s="1"/>
  <c r="FD27" i="5" s="1"/>
  <c r="FC12" i="5"/>
  <c r="FB12" i="5"/>
  <c r="FB32" i="5" s="1"/>
  <c r="FA12" i="5"/>
  <c r="EZ12" i="5"/>
  <c r="EZ32" i="5" s="1"/>
  <c r="EZ27" i="5" s="1"/>
  <c r="EY12" i="5"/>
  <c r="EX12" i="5"/>
  <c r="EW12" i="5"/>
  <c r="EV12" i="5"/>
  <c r="EV32" i="5" s="1"/>
  <c r="EU12" i="5"/>
  <c r="ET12" i="5"/>
  <c r="ES12" i="5"/>
  <c r="ER12" i="5"/>
  <c r="EQ12" i="5"/>
  <c r="EP12" i="5"/>
  <c r="EO12" i="5"/>
  <c r="EN12" i="5"/>
  <c r="EN32" i="5" s="1"/>
  <c r="EN27" i="5" s="1"/>
  <c r="EM12" i="5"/>
  <c r="EL12" i="5"/>
  <c r="EL32" i="5" s="1"/>
  <c r="EL27" i="5" s="1"/>
  <c r="EK12" i="5"/>
  <c r="EJ12" i="5"/>
  <c r="EJ32" i="5" s="1"/>
  <c r="EJ27" i="5" s="1"/>
  <c r="EI12" i="5"/>
  <c r="EH12" i="5"/>
  <c r="EH32" i="5" s="1"/>
  <c r="EH27" i="5" s="1"/>
  <c r="EG12" i="5"/>
  <c r="EF12" i="5"/>
  <c r="EF32" i="5" s="1"/>
  <c r="EE12" i="5"/>
  <c r="ED12" i="5"/>
  <c r="ED32" i="5" s="1"/>
  <c r="EC12" i="5"/>
  <c r="EB12" i="5"/>
  <c r="EB32" i="5" s="1"/>
  <c r="EA12" i="5"/>
  <c r="DZ12" i="5"/>
  <c r="DZ32" i="5" s="1"/>
  <c r="DY12" i="5"/>
  <c r="DX12" i="5"/>
  <c r="DX32" i="5" s="1"/>
  <c r="DX27" i="5" s="1"/>
  <c r="DW12" i="5"/>
  <c r="DV12" i="5"/>
  <c r="DV32" i="5" s="1"/>
  <c r="DU12" i="5"/>
  <c r="DT12" i="5"/>
  <c r="DT32" i="5" s="1"/>
  <c r="DT27" i="5" s="1"/>
  <c r="DS12" i="5"/>
  <c r="DR12" i="5"/>
  <c r="DQ12" i="5"/>
  <c r="DP12" i="5"/>
  <c r="DP32" i="5" s="1"/>
  <c r="DO12" i="5"/>
  <c r="DN12" i="5"/>
  <c r="DM12" i="5"/>
  <c r="DL12" i="5"/>
  <c r="DK12" i="5"/>
  <c r="DJ12" i="5"/>
  <c r="DI12" i="5"/>
  <c r="DH12" i="5"/>
  <c r="DH32" i="5" s="1"/>
  <c r="DH27" i="5" s="1"/>
  <c r="DG12" i="5"/>
  <c r="DF12" i="5"/>
  <c r="DF32" i="5" s="1"/>
  <c r="DF27" i="5" s="1"/>
  <c r="DE12" i="5"/>
  <c r="DD12" i="5"/>
  <c r="DD32" i="5" s="1"/>
  <c r="DD27" i="5" s="1"/>
  <c r="DC12" i="5"/>
  <c r="DB12" i="5"/>
  <c r="DB32" i="5" s="1"/>
  <c r="DA12" i="5"/>
  <c r="CZ12" i="5"/>
  <c r="CZ32" i="5" s="1"/>
  <c r="CY12" i="5"/>
  <c r="CX12" i="5"/>
  <c r="CX32" i="5" s="1"/>
  <c r="CW12" i="5"/>
  <c r="GR11" i="5"/>
  <c r="GR31" i="5" s="1"/>
  <c r="GQ11" i="5"/>
  <c r="GP11" i="5"/>
  <c r="GP31" i="5" s="1"/>
  <c r="GO11" i="5"/>
  <c r="GN11" i="5"/>
  <c r="GN31" i="5" s="1"/>
  <c r="GN26" i="5" s="1"/>
  <c r="GM11" i="5"/>
  <c r="GL11" i="5"/>
  <c r="GL31" i="5" s="1"/>
  <c r="GK11" i="5"/>
  <c r="GJ11" i="5"/>
  <c r="GJ31" i="5" s="1"/>
  <c r="GJ26" i="5" s="1"/>
  <c r="GI11" i="5"/>
  <c r="GH11" i="5"/>
  <c r="GG11" i="5"/>
  <c r="GF11" i="5"/>
  <c r="GF31" i="5" s="1"/>
  <c r="GE11" i="5"/>
  <c r="GD11" i="5"/>
  <c r="GC11" i="5"/>
  <c r="GB11" i="5"/>
  <c r="GA11" i="5"/>
  <c r="FZ11" i="5"/>
  <c r="FY11" i="5"/>
  <c r="FX11" i="5"/>
  <c r="FX31" i="5" s="1"/>
  <c r="FX26" i="5" s="1"/>
  <c r="FW11" i="5"/>
  <c r="FV11" i="5"/>
  <c r="FV31" i="5" s="1"/>
  <c r="FV26" i="5" s="1"/>
  <c r="FU11" i="5"/>
  <c r="FT11" i="5"/>
  <c r="FT31" i="5" s="1"/>
  <c r="FT26" i="5" s="1"/>
  <c r="FS11" i="5"/>
  <c r="FR11" i="5"/>
  <c r="FR31" i="5" s="1"/>
  <c r="FR26" i="5" s="1"/>
  <c r="FQ11" i="5"/>
  <c r="FP11" i="5"/>
  <c r="FP31" i="5" s="1"/>
  <c r="FO11" i="5"/>
  <c r="FN11" i="5"/>
  <c r="FN31" i="5" s="1"/>
  <c r="FM11" i="5"/>
  <c r="FL11" i="5"/>
  <c r="FL31" i="5" s="1"/>
  <c r="FK11" i="5"/>
  <c r="FJ11" i="5"/>
  <c r="FJ31" i="5" s="1"/>
  <c r="FI11" i="5"/>
  <c r="FH11" i="5"/>
  <c r="FH31" i="5" s="1"/>
  <c r="FH26" i="5" s="1"/>
  <c r="FG11" i="5"/>
  <c r="FF11" i="5"/>
  <c r="FF31" i="5" s="1"/>
  <c r="FE11" i="5"/>
  <c r="FD11" i="5"/>
  <c r="FD31" i="5" s="1"/>
  <c r="FD26" i="5" s="1"/>
  <c r="FC11" i="5"/>
  <c r="FB11" i="5"/>
  <c r="FA11" i="5"/>
  <c r="EZ11" i="5"/>
  <c r="EZ31" i="5" s="1"/>
  <c r="EY11" i="5"/>
  <c r="EX11" i="5"/>
  <c r="EW11" i="5"/>
  <c r="EV11" i="5"/>
  <c r="EU11" i="5"/>
  <c r="ET11" i="5"/>
  <c r="ES11" i="5"/>
  <c r="ER11" i="5"/>
  <c r="ER31" i="5" s="1"/>
  <c r="ER26" i="5" s="1"/>
  <c r="EQ11" i="5"/>
  <c r="EP11" i="5"/>
  <c r="EP31" i="5" s="1"/>
  <c r="EP26" i="5" s="1"/>
  <c r="EO11" i="5"/>
  <c r="EN11" i="5"/>
  <c r="EN31" i="5" s="1"/>
  <c r="EN26" i="5" s="1"/>
  <c r="EM11" i="5"/>
  <c r="EL11" i="5"/>
  <c r="EL31" i="5" s="1"/>
  <c r="EL26" i="5" s="1"/>
  <c r="EK11" i="5"/>
  <c r="EJ11" i="5"/>
  <c r="EJ31" i="5" s="1"/>
  <c r="EI11" i="5"/>
  <c r="EH11" i="5"/>
  <c r="EH31" i="5" s="1"/>
  <c r="EG11" i="5"/>
  <c r="EF11" i="5"/>
  <c r="EF31" i="5" s="1"/>
  <c r="EE11" i="5"/>
  <c r="ED11" i="5"/>
  <c r="ED31" i="5" s="1"/>
  <c r="EC11" i="5"/>
  <c r="EB11" i="5"/>
  <c r="EB31" i="5" s="1"/>
  <c r="EB26" i="5" s="1"/>
  <c r="EA11" i="5"/>
  <c r="DZ11" i="5"/>
  <c r="DZ31" i="5" s="1"/>
  <c r="DY11" i="5"/>
  <c r="DX11" i="5"/>
  <c r="DX31" i="5" s="1"/>
  <c r="DX26" i="5" s="1"/>
  <c r="DW11" i="5"/>
  <c r="DV11" i="5"/>
  <c r="DU11" i="5"/>
  <c r="DT11" i="5"/>
  <c r="DT31" i="5" s="1"/>
  <c r="DS11" i="5"/>
  <c r="DR11" i="5"/>
  <c r="DQ11" i="5"/>
  <c r="DP11" i="5"/>
  <c r="DO11" i="5"/>
  <c r="DN11" i="5"/>
  <c r="DM11" i="5"/>
  <c r="DL11" i="5"/>
  <c r="DL31" i="5" s="1"/>
  <c r="DL26" i="5" s="1"/>
  <c r="DK11" i="5"/>
  <c r="DJ11" i="5"/>
  <c r="DJ31" i="5" s="1"/>
  <c r="DJ26" i="5" s="1"/>
  <c r="DI11" i="5"/>
  <c r="DH11" i="5"/>
  <c r="DH31" i="5" s="1"/>
  <c r="DH26" i="5" s="1"/>
  <c r="DG11" i="5"/>
  <c r="DF11" i="5"/>
  <c r="DF31" i="5" s="1"/>
  <c r="DF26" i="5" s="1"/>
  <c r="DE11" i="5"/>
  <c r="DD11" i="5"/>
  <c r="DD31" i="5" s="1"/>
  <c r="DC11" i="5"/>
  <c r="DB11" i="5"/>
  <c r="DB31" i="5" s="1"/>
  <c r="DA11" i="5"/>
  <c r="CZ11" i="5"/>
  <c r="CZ31" i="5" s="1"/>
  <c r="CY11" i="5"/>
  <c r="CX11" i="5"/>
  <c r="CX31" i="5" s="1"/>
  <c r="CW11" i="5"/>
  <c r="GR10" i="5"/>
  <c r="GR25" i="5" s="1"/>
  <c r="GQ10" i="5"/>
  <c r="GP10" i="5"/>
  <c r="GP25" i="5" s="1"/>
  <c r="GO10" i="5"/>
  <c r="GN10" i="5"/>
  <c r="GN25" i="5" s="1"/>
  <c r="GM10" i="5"/>
  <c r="GL10" i="5"/>
  <c r="GK10" i="5"/>
  <c r="GJ10" i="5"/>
  <c r="GJ25" i="5" s="1"/>
  <c r="GI10" i="5"/>
  <c r="GH10" i="5"/>
  <c r="GH25" i="5" s="1"/>
  <c r="GG10" i="5"/>
  <c r="GF10" i="5"/>
  <c r="GF25" i="5" s="1"/>
  <c r="GE10" i="5"/>
  <c r="GD10" i="5"/>
  <c r="GD25" i="5" s="1"/>
  <c r="GC10" i="5"/>
  <c r="GB10" i="5"/>
  <c r="GB25" i="5" s="1"/>
  <c r="GA10" i="5"/>
  <c r="FZ10" i="5"/>
  <c r="FZ25" i="5" s="1"/>
  <c r="FY10" i="5"/>
  <c r="FX10" i="5"/>
  <c r="FX25" i="5" s="1"/>
  <c r="FW10" i="5"/>
  <c r="FV10" i="5"/>
  <c r="FU10" i="5"/>
  <c r="FT10" i="5"/>
  <c r="FT25" i="5" s="1"/>
  <c r="FS10" i="5"/>
  <c r="FR10" i="5"/>
  <c r="FR25" i="5" s="1"/>
  <c r="FQ10" i="5"/>
  <c r="FP10" i="5"/>
  <c r="FP25" i="5" s="1"/>
  <c r="FO10" i="5"/>
  <c r="FN10" i="5"/>
  <c r="FN25" i="5" s="1"/>
  <c r="FM10" i="5"/>
  <c r="FL10" i="5"/>
  <c r="FL25" i="5" s="1"/>
  <c r="FK10" i="5"/>
  <c r="FJ10" i="5"/>
  <c r="FJ25" i="5" s="1"/>
  <c r="FI10" i="5"/>
  <c r="FH10" i="5"/>
  <c r="FH25" i="5" s="1"/>
  <c r="FG10" i="5"/>
  <c r="FF10" i="5"/>
  <c r="FE10" i="5"/>
  <c r="FD10" i="5"/>
  <c r="FD25" i="5" s="1"/>
  <c r="FC10" i="5"/>
  <c r="FB10" i="5"/>
  <c r="FB25" i="5" s="1"/>
  <c r="FA10" i="5"/>
  <c r="EZ10" i="5"/>
  <c r="EZ25" i="5" s="1"/>
  <c r="EY10" i="5"/>
  <c r="EX10" i="5"/>
  <c r="EX25" i="5" s="1"/>
  <c r="EW10" i="5"/>
  <c r="EV10" i="5"/>
  <c r="EV25" i="5" s="1"/>
  <c r="EU10" i="5"/>
  <c r="ET10" i="5"/>
  <c r="ET25" i="5" s="1"/>
  <c r="ES10" i="5"/>
  <c r="ER10" i="5"/>
  <c r="ER25" i="5" s="1"/>
  <c r="EQ10" i="5"/>
  <c r="EP10" i="5"/>
  <c r="EO10" i="5"/>
  <c r="EN10" i="5"/>
  <c r="EN25" i="5" s="1"/>
  <c r="EM10" i="5"/>
  <c r="EL10" i="5"/>
  <c r="EL25" i="5" s="1"/>
  <c r="EK10" i="5"/>
  <c r="EJ10" i="5"/>
  <c r="EJ25" i="5" s="1"/>
  <c r="EI10" i="5"/>
  <c r="EH10" i="5"/>
  <c r="EH25" i="5" s="1"/>
  <c r="EG10" i="5"/>
  <c r="EF10" i="5"/>
  <c r="EF25" i="5" s="1"/>
  <c r="EE10" i="5"/>
  <c r="ED10" i="5"/>
  <c r="ED25" i="5" s="1"/>
  <c r="EC10" i="5"/>
  <c r="EB10" i="5"/>
  <c r="EB25" i="5" s="1"/>
  <c r="EA10" i="5"/>
  <c r="DZ10" i="5"/>
  <c r="DY10" i="5"/>
  <c r="DX10" i="5"/>
  <c r="DX25" i="5" s="1"/>
  <c r="DW10" i="5"/>
  <c r="DV10" i="5"/>
  <c r="DV25" i="5" s="1"/>
  <c r="DU10" i="5"/>
  <c r="DT10" i="5"/>
  <c r="DT25" i="5" s="1"/>
  <c r="DS10" i="5"/>
  <c r="DR10" i="5"/>
  <c r="DR25" i="5" s="1"/>
  <c r="DQ10" i="5"/>
  <c r="DP10" i="5"/>
  <c r="DP25" i="5" s="1"/>
  <c r="DO10" i="5"/>
  <c r="DN10" i="5"/>
  <c r="DN25" i="5" s="1"/>
  <c r="DM10" i="5"/>
  <c r="DL10" i="5"/>
  <c r="DL25" i="5" s="1"/>
  <c r="DK10" i="5"/>
  <c r="DJ10" i="5"/>
  <c r="DI10" i="5"/>
  <c r="DH10" i="5"/>
  <c r="DH25" i="5" s="1"/>
  <c r="DG10" i="5"/>
  <c r="DF10" i="5"/>
  <c r="DF25" i="5" s="1"/>
  <c r="DE10" i="5"/>
  <c r="DD10" i="5"/>
  <c r="DD25" i="5" s="1"/>
  <c r="DC10" i="5"/>
  <c r="DB10" i="5"/>
  <c r="DB25" i="5" s="1"/>
  <c r="DA10" i="5"/>
  <c r="CZ10" i="5"/>
  <c r="CZ25" i="5" s="1"/>
  <c r="CY10" i="5"/>
  <c r="CX10" i="5"/>
  <c r="CX25" i="5" s="1"/>
  <c r="CW10" i="5"/>
  <c r="GR9" i="5"/>
  <c r="GQ9" i="5"/>
  <c r="GP9" i="5"/>
  <c r="GO9" i="5"/>
  <c r="GN9" i="5"/>
  <c r="GM9" i="5"/>
  <c r="GL9" i="5"/>
  <c r="GK9" i="5"/>
  <c r="GJ9" i="5"/>
  <c r="GI9" i="5"/>
  <c r="GH9" i="5"/>
  <c r="GG9" i="5"/>
  <c r="GF9" i="5"/>
  <c r="GE9" i="5"/>
  <c r="GD9" i="5"/>
  <c r="GC9" i="5"/>
  <c r="GB9" i="5"/>
  <c r="GA9" i="5"/>
  <c r="FZ9" i="5"/>
  <c r="FY9" i="5"/>
  <c r="FX9" i="5"/>
  <c r="FW9" i="5"/>
  <c r="FV9" i="5"/>
  <c r="FU9" i="5"/>
  <c r="FT9" i="5"/>
  <c r="FS9" i="5"/>
  <c r="FR9" i="5"/>
  <c r="FQ9" i="5"/>
  <c r="FP9" i="5"/>
  <c r="FO9" i="5"/>
  <c r="FN9" i="5"/>
  <c r="FM9" i="5"/>
  <c r="FL9" i="5"/>
  <c r="FK9" i="5"/>
  <c r="FJ9" i="5"/>
  <c r="FI9" i="5"/>
  <c r="FH9" i="5"/>
  <c r="FG9" i="5"/>
  <c r="FF9" i="5"/>
  <c r="FE9" i="5"/>
  <c r="FD9" i="5"/>
  <c r="FC9" i="5"/>
  <c r="FB9" i="5"/>
  <c r="FA9" i="5"/>
  <c r="EZ9" i="5"/>
  <c r="EY9" i="5"/>
  <c r="EX9" i="5"/>
  <c r="EW9" i="5"/>
  <c r="EV9" i="5"/>
  <c r="EU9" i="5"/>
  <c r="ET9" i="5"/>
  <c r="ES9" i="5"/>
  <c r="ER9" i="5"/>
  <c r="EQ9" i="5"/>
  <c r="EP9" i="5"/>
  <c r="EO9" i="5"/>
  <c r="EN9" i="5"/>
  <c r="EM9" i="5"/>
  <c r="EL9" i="5"/>
  <c r="EK9" i="5"/>
  <c r="EJ9" i="5"/>
  <c r="EI9" i="5"/>
  <c r="EH9" i="5"/>
  <c r="EG9" i="5"/>
  <c r="EF9" i="5"/>
  <c r="EE9" i="5"/>
  <c r="ED9" i="5"/>
  <c r="EC9" i="5"/>
  <c r="EB9" i="5"/>
  <c r="EA9" i="5"/>
  <c r="DZ9" i="5"/>
  <c r="DY9" i="5"/>
  <c r="DX9" i="5"/>
  <c r="DW9" i="5"/>
  <c r="DV9" i="5"/>
  <c r="DU9" i="5"/>
  <c r="DT9" i="5"/>
  <c r="DS9" i="5"/>
  <c r="DR9" i="5"/>
  <c r="DQ9" i="5"/>
  <c r="DP9" i="5"/>
  <c r="DO9" i="5"/>
  <c r="DN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GR8" i="5"/>
  <c r="GQ8" i="5"/>
  <c r="GP8" i="5"/>
  <c r="GO8" i="5"/>
  <c r="GN8" i="5"/>
  <c r="GM8" i="5"/>
  <c r="GL8" i="5"/>
  <c r="GK8" i="5"/>
  <c r="GJ8" i="5"/>
  <c r="GI8" i="5"/>
  <c r="GH8" i="5"/>
  <c r="GG8" i="5"/>
  <c r="GF8" i="5"/>
  <c r="GE8" i="5"/>
  <c r="GD8" i="5"/>
  <c r="GC8" i="5"/>
  <c r="GB8" i="5"/>
  <c r="GA8" i="5"/>
  <c r="FZ8" i="5"/>
  <c r="FY8" i="5"/>
  <c r="FX8" i="5"/>
  <c r="FW8" i="5"/>
  <c r="FV8" i="5"/>
  <c r="FU8" i="5"/>
  <c r="FT8" i="5"/>
  <c r="FS8" i="5"/>
  <c r="FR8" i="5"/>
  <c r="FQ8" i="5"/>
  <c r="FP8" i="5"/>
  <c r="FO8" i="5"/>
  <c r="FN8" i="5"/>
  <c r="FM8" i="5"/>
  <c r="FL8" i="5"/>
  <c r="FK8" i="5"/>
  <c r="FJ8" i="5"/>
  <c r="FI8" i="5"/>
  <c r="FH8" i="5"/>
  <c r="FG8" i="5"/>
  <c r="FF8" i="5"/>
  <c r="FE8" i="5"/>
  <c r="FD8" i="5"/>
  <c r="FC8" i="5"/>
  <c r="FB8" i="5"/>
  <c r="FA8" i="5"/>
  <c r="EZ8" i="5"/>
  <c r="EY8" i="5"/>
  <c r="EX8" i="5"/>
  <c r="EW8" i="5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GR7" i="5"/>
  <c r="GQ7" i="5"/>
  <c r="GP7" i="5"/>
  <c r="GO7" i="5"/>
  <c r="GN7" i="5"/>
  <c r="GM7" i="5"/>
  <c r="GL7" i="5"/>
  <c r="GK7" i="5"/>
  <c r="GJ7" i="5"/>
  <c r="GI7" i="5"/>
  <c r="GH7" i="5"/>
  <c r="GG7" i="5"/>
  <c r="GF7" i="5"/>
  <c r="GE7" i="5"/>
  <c r="GD7" i="5"/>
  <c r="GC7" i="5"/>
  <c r="GB7" i="5"/>
  <c r="GA7" i="5"/>
  <c r="FZ7" i="5"/>
  <c r="FY7" i="5"/>
  <c r="FX7" i="5"/>
  <c r="FW7" i="5"/>
  <c r="FV7" i="5"/>
  <c r="FU7" i="5"/>
  <c r="FT7" i="5"/>
  <c r="FS7" i="5"/>
  <c r="FR7" i="5"/>
  <c r="FQ7" i="5"/>
  <c r="FP7" i="5"/>
  <c r="FO7" i="5"/>
  <c r="FN7" i="5"/>
  <c r="FM7" i="5"/>
  <c r="FL7" i="5"/>
  <c r="FK7" i="5"/>
  <c r="FJ7" i="5"/>
  <c r="FI7" i="5"/>
  <c r="FH7" i="5"/>
  <c r="FG7" i="5"/>
  <c r="FF7" i="5"/>
  <c r="FE7" i="5"/>
  <c r="FD7" i="5"/>
  <c r="FC7" i="5"/>
  <c r="FB7" i="5"/>
  <c r="FA7" i="5"/>
  <c r="EZ7" i="5"/>
  <c r="EY7" i="5"/>
  <c r="EX7" i="5"/>
  <c r="EW7" i="5"/>
  <c r="EV7" i="5"/>
  <c r="EU7" i="5"/>
  <c r="ET7" i="5"/>
  <c r="ES7" i="5"/>
  <c r="ER7" i="5"/>
  <c r="EQ7" i="5"/>
  <c r="EP7" i="5"/>
  <c r="EO7" i="5"/>
  <c r="EN7" i="5"/>
  <c r="EM7" i="5"/>
  <c r="EL7" i="5"/>
  <c r="EK7" i="5"/>
  <c r="EJ7" i="5"/>
  <c r="EI7" i="5"/>
  <c r="EH7" i="5"/>
  <c r="EG7" i="5"/>
  <c r="EF7" i="5"/>
  <c r="EE7" i="5"/>
  <c r="ED7" i="5"/>
  <c r="EC7" i="5"/>
  <c r="EB7" i="5"/>
  <c r="EA7" i="5"/>
  <c r="DZ7" i="5"/>
  <c r="DY7" i="5"/>
  <c r="DX7" i="5"/>
  <c r="DW7" i="5"/>
  <c r="DV7" i="5"/>
  <c r="DU7" i="5"/>
  <c r="DT7" i="5"/>
  <c r="DS7" i="5"/>
  <c r="DR7" i="5"/>
  <c r="DQ7" i="5"/>
  <c r="DP7" i="5"/>
  <c r="DO7" i="5"/>
  <c r="DN7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GR6" i="5"/>
  <c r="GQ6" i="5"/>
  <c r="GP6" i="5"/>
  <c r="GO6" i="5"/>
  <c r="GN6" i="5"/>
  <c r="GM6" i="5"/>
  <c r="GL6" i="5"/>
  <c r="GK6" i="5"/>
  <c r="GJ6" i="5"/>
  <c r="GI6" i="5"/>
  <c r="GH6" i="5"/>
  <c r="GG6" i="5"/>
  <c r="GF6" i="5"/>
  <c r="GE6" i="5"/>
  <c r="GD6" i="5"/>
  <c r="GC6" i="5"/>
  <c r="GB6" i="5"/>
  <c r="GA6" i="5"/>
  <c r="FZ6" i="5"/>
  <c r="FY6" i="5"/>
  <c r="FX6" i="5"/>
  <c r="FW6" i="5"/>
  <c r="FV6" i="5"/>
  <c r="FU6" i="5"/>
  <c r="FT6" i="5"/>
  <c r="FS6" i="5"/>
  <c r="FR6" i="5"/>
  <c r="FQ6" i="5"/>
  <c r="FP6" i="5"/>
  <c r="FO6" i="5"/>
  <c r="FN6" i="5"/>
  <c r="FM6" i="5"/>
  <c r="FL6" i="5"/>
  <c r="FK6" i="5"/>
  <c r="FJ6" i="5"/>
  <c r="FI6" i="5"/>
  <c r="FH6" i="5"/>
  <c r="FG6" i="5"/>
  <c r="FF6" i="5"/>
  <c r="FE6" i="5"/>
  <c r="FD6" i="5"/>
  <c r="FC6" i="5"/>
  <c r="FB6" i="5"/>
  <c r="FA6" i="5"/>
  <c r="EZ6" i="5"/>
  <c r="EY6" i="5"/>
  <c r="EX6" i="5"/>
  <c r="EW6" i="5"/>
  <c r="EV6" i="5"/>
  <c r="EU6" i="5"/>
  <c r="ET6" i="5"/>
  <c r="ES6" i="5"/>
  <c r="ER6" i="5"/>
  <c r="EQ6" i="5"/>
  <c r="EP6" i="5"/>
  <c r="EO6" i="5"/>
  <c r="EN6" i="5"/>
  <c r="EM6" i="5"/>
  <c r="EL6" i="5"/>
  <c r="EK6" i="5"/>
  <c r="EJ6" i="5"/>
  <c r="EI6" i="5"/>
  <c r="EH6" i="5"/>
  <c r="EG6" i="5"/>
  <c r="EF6" i="5"/>
  <c r="EE6" i="5"/>
  <c r="ED6" i="5"/>
  <c r="EC6" i="5"/>
  <c r="EB6" i="5"/>
  <c r="EA6" i="5"/>
  <c r="DZ6" i="5"/>
  <c r="DY6" i="5"/>
  <c r="DX6" i="5"/>
  <c r="DW6" i="5"/>
  <c r="DV6" i="5"/>
  <c r="DU6" i="5"/>
  <c r="DT6" i="5"/>
  <c r="DS6" i="5"/>
  <c r="DR6" i="5"/>
  <c r="DQ6" i="5"/>
  <c r="DP6" i="5"/>
  <c r="DO6" i="5"/>
  <c r="DN6" i="5"/>
  <c r="DM6" i="5"/>
  <c r="DL6" i="5"/>
  <c r="DK6" i="5"/>
  <c r="DJ6" i="5"/>
  <c r="DI6" i="5"/>
  <c r="DH6" i="5"/>
  <c r="DG6" i="5"/>
  <c r="DF6" i="5"/>
  <c r="DE6" i="5"/>
  <c r="DD6" i="5"/>
  <c r="DC6" i="5"/>
  <c r="DB6" i="5"/>
  <c r="DA6" i="5"/>
  <c r="CZ6" i="5"/>
  <c r="CY6" i="5"/>
  <c r="CX6" i="5"/>
  <c r="CW6" i="5"/>
  <c r="GR5" i="5"/>
  <c r="GQ5" i="5"/>
  <c r="GP5" i="5"/>
  <c r="GO5" i="5"/>
  <c r="GN5" i="5"/>
  <c r="GM5" i="5"/>
  <c r="GL5" i="5"/>
  <c r="GL25" i="5" s="1"/>
  <c r="GK5" i="5"/>
  <c r="GJ5" i="5"/>
  <c r="GI5" i="5"/>
  <c r="GH5" i="5"/>
  <c r="GG5" i="5"/>
  <c r="GF5" i="5"/>
  <c r="GE5" i="5"/>
  <c r="GD5" i="5"/>
  <c r="GC5" i="5"/>
  <c r="GB5" i="5"/>
  <c r="GA5" i="5"/>
  <c r="FZ5" i="5"/>
  <c r="FY5" i="5"/>
  <c r="FX5" i="5"/>
  <c r="FW5" i="5"/>
  <c r="FV5" i="5"/>
  <c r="FV25" i="5" s="1"/>
  <c r="FU5" i="5"/>
  <c r="FT5" i="5"/>
  <c r="FS5" i="5"/>
  <c r="FR5" i="5"/>
  <c r="FQ5" i="5"/>
  <c r="FP5" i="5"/>
  <c r="FO5" i="5"/>
  <c r="FN5" i="5"/>
  <c r="FM5" i="5"/>
  <c r="FL5" i="5"/>
  <c r="FK5" i="5"/>
  <c r="FJ5" i="5"/>
  <c r="FI5" i="5"/>
  <c r="FH5" i="5"/>
  <c r="FG5" i="5"/>
  <c r="FF5" i="5"/>
  <c r="FF25" i="5" s="1"/>
  <c r="FE5" i="5"/>
  <c r="FD5" i="5"/>
  <c r="FC5" i="5"/>
  <c r="FB5" i="5"/>
  <c r="FA5" i="5"/>
  <c r="EZ5" i="5"/>
  <c r="EY5" i="5"/>
  <c r="EX5" i="5"/>
  <c r="EW5" i="5"/>
  <c r="EV5" i="5"/>
  <c r="EU5" i="5"/>
  <c r="ET5" i="5"/>
  <c r="ES5" i="5"/>
  <c r="ER5" i="5"/>
  <c r="EQ5" i="5"/>
  <c r="EP5" i="5"/>
  <c r="EP25" i="5" s="1"/>
  <c r="EO5" i="5"/>
  <c r="EN5" i="5"/>
  <c r="EM5" i="5"/>
  <c r="EL5" i="5"/>
  <c r="EK5" i="5"/>
  <c r="EJ5" i="5"/>
  <c r="EI5" i="5"/>
  <c r="EH5" i="5"/>
  <c r="EG5" i="5"/>
  <c r="EF5" i="5"/>
  <c r="EE5" i="5"/>
  <c r="ED5" i="5"/>
  <c r="EC5" i="5"/>
  <c r="EB5" i="5"/>
  <c r="EA5" i="5"/>
  <c r="DZ5" i="5"/>
  <c r="DZ25" i="5" s="1"/>
  <c r="DY5" i="5"/>
  <c r="DX5" i="5"/>
  <c r="DW5" i="5"/>
  <c r="DV5" i="5"/>
  <c r="DU5" i="5"/>
  <c r="DT5" i="5"/>
  <c r="DS5" i="5"/>
  <c r="DR5" i="5"/>
  <c r="DQ5" i="5"/>
  <c r="DP5" i="5"/>
  <c r="DO5" i="5"/>
  <c r="DN5" i="5"/>
  <c r="DM5" i="5"/>
  <c r="DL5" i="5"/>
  <c r="DK5" i="5"/>
  <c r="DJ5" i="5"/>
  <c r="DJ25" i="5" s="1"/>
  <c r="DI5" i="5"/>
  <c r="DH5" i="5"/>
  <c r="DG5" i="5"/>
  <c r="DF5" i="5"/>
  <c r="DE5" i="5"/>
  <c r="DD5" i="5"/>
  <c r="DC5" i="5"/>
  <c r="DB5" i="5"/>
  <c r="DA5" i="5"/>
  <c r="CZ5" i="5"/>
  <c r="CY5" i="5"/>
  <c r="CX5" i="5"/>
  <c r="CW5" i="5"/>
  <c r="GR4" i="5"/>
  <c r="GQ4" i="5"/>
  <c r="GP4" i="5"/>
  <c r="GO4" i="5"/>
  <c r="GN4" i="5"/>
  <c r="GM4" i="5"/>
  <c r="GL4" i="5"/>
  <c r="GK4" i="5"/>
  <c r="GJ4" i="5"/>
  <c r="GI4" i="5"/>
  <c r="GH4" i="5"/>
  <c r="GG4" i="5"/>
  <c r="GF4" i="5"/>
  <c r="GE4" i="5"/>
  <c r="GD4" i="5"/>
  <c r="GC4" i="5"/>
  <c r="GB4" i="5"/>
  <c r="GA4" i="5"/>
  <c r="FZ4" i="5"/>
  <c r="FY4" i="5"/>
  <c r="FX4" i="5"/>
  <c r="FW4" i="5"/>
  <c r="FV4" i="5"/>
  <c r="FU4" i="5"/>
  <c r="FT4" i="5"/>
  <c r="FS4" i="5"/>
  <c r="FR4" i="5"/>
  <c r="FQ4" i="5"/>
  <c r="FP4" i="5"/>
  <c r="FO4" i="5"/>
  <c r="FN4" i="5"/>
  <c r="FM4" i="5"/>
  <c r="FL4" i="5"/>
  <c r="FK4" i="5"/>
  <c r="FJ4" i="5"/>
  <c r="FI4" i="5"/>
  <c r="FH4" i="5"/>
  <c r="FG4" i="5"/>
  <c r="FF4" i="5"/>
  <c r="FE4" i="5"/>
  <c r="FD4" i="5"/>
  <c r="FC4" i="5"/>
  <c r="FB4" i="5"/>
  <c r="FA4" i="5"/>
  <c r="EZ4" i="5"/>
  <c r="EY4" i="5"/>
  <c r="EX4" i="5"/>
  <c r="EW4" i="5"/>
  <c r="EV4" i="5"/>
  <c r="EU4" i="5"/>
  <c r="ET4" i="5"/>
  <c r="ES4" i="5"/>
  <c r="ER4" i="5"/>
  <c r="EQ4" i="5"/>
  <c r="EP4" i="5"/>
  <c r="EO4" i="5"/>
  <c r="EN4" i="5"/>
  <c r="EM4" i="5"/>
  <c r="EL4" i="5"/>
  <c r="EK4" i="5"/>
  <c r="EJ4" i="5"/>
  <c r="EI4" i="5"/>
  <c r="EH4" i="5"/>
  <c r="EG4" i="5"/>
  <c r="EF4" i="5"/>
  <c r="EE4" i="5"/>
  <c r="ED4" i="5"/>
  <c r="EC4" i="5"/>
  <c r="EB4" i="5"/>
  <c r="EA4" i="5"/>
  <c r="DZ4" i="5"/>
  <c r="DY4" i="5"/>
  <c r="DX4" i="5"/>
  <c r="DW4" i="5"/>
  <c r="DV4" i="5"/>
  <c r="DU4" i="5"/>
  <c r="DT4" i="5"/>
  <c r="DS4" i="5"/>
  <c r="DR4" i="5"/>
  <c r="DQ4" i="5"/>
  <c r="DP4" i="5"/>
  <c r="DO4" i="5"/>
  <c r="DN4" i="5"/>
  <c r="DM4" i="5"/>
  <c r="DL4" i="5"/>
  <c r="DK4" i="5"/>
  <c r="DJ4" i="5"/>
  <c r="DI4" i="5"/>
  <c r="DH4" i="5"/>
  <c r="DG4" i="5"/>
  <c r="DF4" i="5"/>
  <c r="DE4" i="5"/>
  <c r="DD4" i="5"/>
  <c r="DC4" i="5"/>
  <c r="DB4" i="5"/>
  <c r="DA4" i="5"/>
  <c r="CZ4" i="5"/>
  <c r="CY4" i="5"/>
  <c r="CX4" i="5"/>
  <c r="CW4" i="5"/>
  <c r="GR3" i="5"/>
  <c r="GR23" i="5" s="1"/>
  <c r="GQ3" i="5"/>
  <c r="GP3" i="5"/>
  <c r="GP23" i="5" s="1"/>
  <c r="GO3" i="5"/>
  <c r="GN3" i="5"/>
  <c r="GN24" i="5" s="1"/>
  <c r="GM3" i="5"/>
  <c r="GL3" i="5"/>
  <c r="GL24" i="5" s="1"/>
  <c r="GK3" i="5"/>
  <c r="GJ3" i="5"/>
  <c r="GJ24" i="5" s="1"/>
  <c r="GI3" i="5"/>
  <c r="GH3" i="5"/>
  <c r="GH24" i="5" s="1"/>
  <c r="GG3" i="5"/>
  <c r="GF3" i="5"/>
  <c r="GF24" i="5" s="1"/>
  <c r="GE3" i="5"/>
  <c r="GD3" i="5"/>
  <c r="GD24" i="5" s="1"/>
  <c r="GC3" i="5"/>
  <c r="GB3" i="5"/>
  <c r="GB23" i="5" s="1"/>
  <c r="GA3" i="5"/>
  <c r="FZ3" i="5"/>
  <c r="FZ23" i="5" s="1"/>
  <c r="FY3" i="5"/>
  <c r="FX3" i="5"/>
  <c r="FX24" i="5" s="1"/>
  <c r="FW3" i="5"/>
  <c r="FV3" i="5"/>
  <c r="FV24" i="5" s="1"/>
  <c r="FU3" i="5"/>
  <c r="FT3" i="5"/>
  <c r="FT24" i="5" s="1"/>
  <c r="FS3" i="5"/>
  <c r="FR3" i="5"/>
  <c r="FR24" i="5" s="1"/>
  <c r="FQ3" i="5"/>
  <c r="FP3" i="5"/>
  <c r="FP24" i="5" s="1"/>
  <c r="FO3" i="5"/>
  <c r="FN3" i="5"/>
  <c r="FN24" i="5" s="1"/>
  <c r="FM3" i="5"/>
  <c r="FL3" i="5"/>
  <c r="FL23" i="5" s="1"/>
  <c r="FK3" i="5"/>
  <c r="FJ3" i="5"/>
  <c r="FJ23" i="5" s="1"/>
  <c r="FI3" i="5"/>
  <c r="FH3" i="5"/>
  <c r="FH24" i="5" s="1"/>
  <c r="FG3" i="5"/>
  <c r="FF3" i="5"/>
  <c r="FF24" i="5" s="1"/>
  <c r="FE3" i="5"/>
  <c r="FD3" i="5"/>
  <c r="FD24" i="5" s="1"/>
  <c r="FC3" i="5"/>
  <c r="FB3" i="5"/>
  <c r="FB24" i="5" s="1"/>
  <c r="FA3" i="5"/>
  <c r="EZ3" i="5"/>
  <c r="EZ24" i="5" s="1"/>
  <c r="EY3" i="5"/>
  <c r="EX3" i="5"/>
  <c r="EX24" i="5" s="1"/>
  <c r="EW3" i="5"/>
  <c r="EV3" i="5"/>
  <c r="EV23" i="5" s="1"/>
  <c r="EU3" i="5"/>
  <c r="ET3" i="5"/>
  <c r="ET23" i="5" s="1"/>
  <c r="ES3" i="5"/>
  <c r="ER3" i="5"/>
  <c r="ER24" i="5" s="1"/>
  <c r="EQ3" i="5"/>
  <c r="EP3" i="5"/>
  <c r="EP24" i="5" s="1"/>
  <c r="EO3" i="5"/>
  <c r="EN3" i="5"/>
  <c r="EN24" i="5" s="1"/>
  <c r="EM3" i="5"/>
  <c r="EL3" i="5"/>
  <c r="EL24" i="5" s="1"/>
  <c r="EK3" i="5"/>
  <c r="EJ3" i="5"/>
  <c r="EJ24" i="5" s="1"/>
  <c r="EI3" i="5"/>
  <c r="EH3" i="5"/>
  <c r="EH24" i="5" s="1"/>
  <c r="EG3" i="5"/>
  <c r="EF3" i="5"/>
  <c r="EF23" i="5" s="1"/>
  <c r="EE3" i="5"/>
  <c r="ED3" i="5"/>
  <c r="ED23" i="5" s="1"/>
  <c r="EC3" i="5"/>
  <c r="EB3" i="5"/>
  <c r="EB24" i="5" s="1"/>
  <c r="EA3" i="5"/>
  <c r="DZ3" i="5"/>
  <c r="DZ24" i="5" s="1"/>
  <c r="DY3" i="5"/>
  <c r="DX3" i="5"/>
  <c r="DX24" i="5" s="1"/>
  <c r="DW3" i="5"/>
  <c r="DV3" i="5"/>
  <c r="DV24" i="5" s="1"/>
  <c r="DU3" i="5"/>
  <c r="DT3" i="5"/>
  <c r="DT24" i="5" s="1"/>
  <c r="DS3" i="5"/>
  <c r="DR3" i="5"/>
  <c r="DR24" i="5" s="1"/>
  <c r="DQ3" i="5"/>
  <c r="DP3" i="5"/>
  <c r="DP23" i="5" s="1"/>
  <c r="DO3" i="5"/>
  <c r="DN3" i="5"/>
  <c r="DN23" i="5" s="1"/>
  <c r="DM3" i="5"/>
  <c r="DL3" i="5"/>
  <c r="DL24" i="5" s="1"/>
  <c r="DK3" i="5"/>
  <c r="DJ3" i="5"/>
  <c r="DJ24" i="5" s="1"/>
  <c r="DI3" i="5"/>
  <c r="DH3" i="5"/>
  <c r="DH24" i="5" s="1"/>
  <c r="DG3" i="5"/>
  <c r="DF3" i="5"/>
  <c r="DF24" i="5" s="1"/>
  <c r="DE3" i="5"/>
  <c r="DD3" i="5"/>
  <c r="DD24" i="5" s="1"/>
  <c r="DC3" i="5"/>
  <c r="DB3" i="5"/>
  <c r="DB24" i="5" s="1"/>
  <c r="DA3" i="5"/>
  <c r="CZ3" i="5"/>
  <c r="CZ23" i="5" s="1"/>
  <c r="CY3" i="5"/>
  <c r="CX3" i="5"/>
  <c r="CX23" i="5" s="1"/>
  <c r="CW3" i="5"/>
  <c r="GR2" i="5"/>
  <c r="GQ2" i="5"/>
  <c r="GP2" i="5"/>
  <c r="GO2" i="5"/>
  <c r="GN2" i="5"/>
  <c r="GM2" i="5"/>
  <c r="GL2" i="5"/>
  <c r="GK2" i="5"/>
  <c r="GJ2" i="5"/>
  <c r="GI2" i="5"/>
  <c r="GH2" i="5"/>
  <c r="GG2" i="5"/>
  <c r="GF2" i="5"/>
  <c r="GE2" i="5"/>
  <c r="GD2" i="5"/>
  <c r="GC2" i="5"/>
  <c r="GB2" i="5"/>
  <c r="GA2" i="5"/>
  <c r="FZ2" i="5"/>
  <c r="FY2" i="5"/>
  <c r="FX2" i="5"/>
  <c r="FW2" i="5"/>
  <c r="FV2" i="5"/>
  <c r="FU2" i="5"/>
  <c r="FT2" i="5"/>
  <c r="FS2" i="5"/>
  <c r="FR2" i="5"/>
  <c r="FQ2" i="5"/>
  <c r="FP2" i="5"/>
  <c r="FO2" i="5"/>
  <c r="FN2" i="5"/>
  <c r="FM2" i="5"/>
  <c r="FL2" i="5"/>
  <c r="FK2" i="5"/>
  <c r="FJ2" i="5"/>
  <c r="FI2" i="5"/>
  <c r="FH2" i="5"/>
  <c r="FG2" i="5"/>
  <c r="FF2" i="5"/>
  <c r="FE2" i="5"/>
  <c r="FD2" i="5"/>
  <c r="FC2" i="5"/>
  <c r="FB2" i="5"/>
  <c r="FA2" i="5"/>
  <c r="EZ2" i="5"/>
  <c r="EY2" i="5"/>
  <c r="EX2" i="5"/>
  <c r="EW2" i="5"/>
  <c r="EV2" i="5"/>
  <c r="EU2" i="5"/>
  <c r="ET2" i="5"/>
  <c r="ES2" i="5"/>
  <c r="ER2" i="5"/>
  <c r="EQ2" i="5"/>
  <c r="EP2" i="5"/>
  <c r="EO2" i="5"/>
  <c r="EN2" i="5"/>
  <c r="EM2" i="5"/>
  <c r="EL2" i="5"/>
  <c r="EK2" i="5"/>
  <c r="EJ2" i="5"/>
  <c r="EI2" i="5"/>
  <c r="EH2" i="5"/>
  <c r="EG2" i="5"/>
  <c r="EF2" i="5"/>
  <c r="EE2" i="5"/>
  <c r="ED2" i="5"/>
  <c r="EC2" i="5"/>
  <c r="EB2" i="5"/>
  <c r="EA2" i="5"/>
  <c r="DZ2" i="5"/>
  <c r="DY2" i="5"/>
  <c r="DX2" i="5"/>
  <c r="DW2" i="5"/>
  <c r="DV2" i="5"/>
  <c r="DU2" i="5"/>
  <c r="DT2" i="5"/>
  <c r="DS2" i="5"/>
  <c r="DR2" i="5"/>
  <c r="DQ2" i="5"/>
  <c r="DP2" i="5"/>
  <c r="DO2" i="5"/>
  <c r="DN2" i="5"/>
  <c r="DM2" i="5"/>
  <c r="DL2" i="5"/>
  <c r="DK2" i="5"/>
  <c r="DJ2" i="5"/>
  <c r="DI2" i="5"/>
  <c r="DH2" i="5"/>
  <c r="DG2" i="5"/>
  <c r="DF2" i="5"/>
  <c r="DE2" i="5"/>
  <c r="DD2" i="5"/>
  <c r="DC2" i="5"/>
  <c r="DB2" i="5"/>
  <c r="DA2" i="5"/>
  <c r="CZ2" i="5"/>
  <c r="CY2" i="5"/>
  <c r="CX2" i="5"/>
  <c r="CW2" i="5"/>
  <c r="GR1" i="5"/>
  <c r="GQ1" i="5"/>
  <c r="GP1" i="5"/>
  <c r="GO1" i="5"/>
  <c r="GN1" i="5"/>
  <c r="GM1" i="5"/>
  <c r="GL1" i="5"/>
  <c r="GK1" i="5"/>
  <c r="GJ1" i="5"/>
  <c r="GI1" i="5"/>
  <c r="GH1" i="5"/>
  <c r="GG1" i="5"/>
  <c r="GF1" i="5"/>
  <c r="GE1" i="5"/>
  <c r="GD1" i="5"/>
  <c r="GC1" i="5"/>
  <c r="GB1" i="5"/>
  <c r="GA1" i="5"/>
  <c r="FZ1" i="5"/>
  <c r="FY1" i="5"/>
  <c r="FX1" i="5"/>
  <c r="FW1" i="5"/>
  <c r="FV1" i="5"/>
  <c r="FU1" i="5"/>
  <c r="FT1" i="5"/>
  <c r="FS1" i="5"/>
  <c r="FR1" i="5"/>
  <c r="FQ1" i="5"/>
  <c r="FP1" i="5"/>
  <c r="FO1" i="5"/>
  <c r="FN1" i="5"/>
  <c r="FM1" i="5"/>
  <c r="FL1" i="5"/>
  <c r="FK1" i="5"/>
  <c r="FJ1" i="5"/>
  <c r="FI1" i="5"/>
  <c r="FH1" i="5"/>
  <c r="FG1" i="5"/>
  <c r="FF1" i="5"/>
  <c r="FE1" i="5"/>
  <c r="FD1" i="5"/>
  <c r="FC1" i="5"/>
  <c r="FB1" i="5"/>
  <c r="FA1" i="5"/>
  <c r="EZ1" i="5"/>
  <c r="EY1" i="5"/>
  <c r="EX1" i="5"/>
  <c r="EW1" i="5"/>
  <c r="EV1" i="5"/>
  <c r="EU1" i="5"/>
  <c r="ET1" i="5"/>
  <c r="ES1" i="5"/>
  <c r="ER1" i="5"/>
  <c r="EQ1" i="5"/>
  <c r="EP1" i="5"/>
  <c r="EO1" i="5"/>
  <c r="EN1" i="5"/>
  <c r="EM1" i="5"/>
  <c r="EL1" i="5"/>
  <c r="EK1" i="5"/>
  <c r="EJ1" i="5"/>
  <c r="EI1" i="5"/>
  <c r="EH1" i="5"/>
  <c r="EG1" i="5"/>
  <c r="EF1" i="5"/>
  <c r="EE1" i="5"/>
  <c r="ED1" i="5"/>
  <c r="EC1" i="5"/>
  <c r="EB1" i="5"/>
  <c r="EA1" i="5"/>
  <c r="DZ1" i="5"/>
  <c r="DY1" i="5"/>
  <c r="DX1" i="5"/>
  <c r="DW1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J42" i="5"/>
  <c r="CH42" i="5"/>
  <c r="CP41" i="5"/>
  <c r="CN41" i="5"/>
  <c r="CL41" i="5"/>
  <c r="CR40" i="5"/>
  <c r="CP40" i="5"/>
  <c r="CD40" i="5"/>
  <c r="CV39" i="5"/>
  <c r="CT39" i="5"/>
  <c r="CF39" i="5"/>
  <c r="CD39" i="5"/>
  <c r="CL38" i="5"/>
  <c r="CJ38" i="5"/>
  <c r="CH38" i="5"/>
  <c r="CN37" i="5"/>
  <c r="CL37" i="5"/>
  <c r="CT36" i="5"/>
  <c r="CR36" i="5"/>
  <c r="CP36" i="5"/>
  <c r="CV35" i="5"/>
  <c r="CT35" i="5"/>
  <c r="CH35" i="5"/>
  <c r="CF35" i="5"/>
  <c r="CD35" i="5"/>
  <c r="CH34" i="5"/>
  <c r="CP33" i="5"/>
  <c r="CN33" i="5"/>
  <c r="CL33" i="5"/>
  <c r="CD32" i="5"/>
  <c r="CV31" i="5"/>
  <c r="CT31" i="5"/>
  <c r="CT26" i="5" s="1"/>
  <c r="CU29" i="5"/>
  <c r="CS29" i="5"/>
  <c r="CQ29" i="5"/>
  <c r="CO29" i="5"/>
  <c r="CM29" i="5"/>
  <c r="CK29" i="5"/>
  <c r="CI29" i="5"/>
  <c r="CG29" i="5"/>
  <c r="CE29" i="5"/>
  <c r="CC29" i="5"/>
  <c r="CU28" i="5"/>
  <c r="CS28" i="5"/>
  <c r="CQ28" i="5"/>
  <c r="CO28" i="5"/>
  <c r="CM28" i="5"/>
  <c r="CK28" i="5"/>
  <c r="CI28" i="5"/>
  <c r="CG28" i="5"/>
  <c r="CE28" i="5"/>
  <c r="CC28" i="5"/>
  <c r="CU27" i="5"/>
  <c r="CS27" i="5"/>
  <c r="CQ27" i="5"/>
  <c r="CO27" i="5"/>
  <c r="CM27" i="5"/>
  <c r="CK27" i="5"/>
  <c r="CI27" i="5"/>
  <c r="CG27" i="5"/>
  <c r="CE27" i="5"/>
  <c r="CC27" i="5"/>
  <c r="CU26" i="5"/>
  <c r="CS26" i="5"/>
  <c r="CQ26" i="5"/>
  <c r="CO26" i="5"/>
  <c r="CM26" i="5"/>
  <c r="CK26" i="5"/>
  <c r="CI26" i="5"/>
  <c r="CG26" i="5"/>
  <c r="CE26" i="5"/>
  <c r="CC26" i="5"/>
  <c r="CU25" i="5"/>
  <c r="CS25" i="5"/>
  <c r="CQ25" i="5"/>
  <c r="CO25" i="5"/>
  <c r="CM25" i="5"/>
  <c r="CK25" i="5"/>
  <c r="CI25" i="5"/>
  <c r="CG25" i="5"/>
  <c r="CE25" i="5"/>
  <c r="CC25" i="5"/>
  <c r="CU24" i="5"/>
  <c r="CS24" i="5"/>
  <c r="CQ24" i="5"/>
  <c r="CO24" i="5"/>
  <c r="CM24" i="5"/>
  <c r="CK24" i="5"/>
  <c r="CI24" i="5"/>
  <c r="CG24" i="5"/>
  <c r="CE24" i="5"/>
  <c r="CC24" i="5"/>
  <c r="CU23" i="5"/>
  <c r="CS23" i="5"/>
  <c r="CQ23" i="5"/>
  <c r="CO23" i="5"/>
  <c r="CM23" i="5"/>
  <c r="CK23" i="5"/>
  <c r="CI23" i="5"/>
  <c r="CG23" i="5"/>
  <c r="CE23" i="5"/>
  <c r="CC23" i="5"/>
  <c r="CV22" i="5"/>
  <c r="CV42" i="5" s="1"/>
  <c r="CU22" i="5"/>
  <c r="CT22" i="5"/>
  <c r="CT42" i="5" s="1"/>
  <c r="CS22" i="5"/>
  <c r="CR22" i="5"/>
  <c r="CR42" i="5" s="1"/>
  <c r="CQ22" i="5"/>
  <c r="CP22" i="5"/>
  <c r="CP42" i="5" s="1"/>
  <c r="CO22" i="5"/>
  <c r="CN22" i="5"/>
  <c r="CN42" i="5" s="1"/>
  <c r="CM22" i="5"/>
  <c r="CL22" i="5"/>
  <c r="CL42" i="5" s="1"/>
  <c r="CK22" i="5"/>
  <c r="CJ22" i="5"/>
  <c r="CI22" i="5"/>
  <c r="CH22" i="5"/>
  <c r="CG22" i="5"/>
  <c r="CF22" i="5"/>
  <c r="CF42" i="5" s="1"/>
  <c r="CE22" i="5"/>
  <c r="CD22" i="5"/>
  <c r="CD42" i="5" s="1"/>
  <c r="CC22" i="5"/>
  <c r="CV21" i="5"/>
  <c r="CV41" i="5" s="1"/>
  <c r="CU21" i="5"/>
  <c r="CT21" i="5"/>
  <c r="CT41" i="5" s="1"/>
  <c r="CS21" i="5"/>
  <c r="CR21" i="5"/>
  <c r="CR41" i="5" s="1"/>
  <c r="CQ21" i="5"/>
  <c r="CP21" i="5"/>
  <c r="CO21" i="5"/>
  <c r="CN21" i="5"/>
  <c r="CM21" i="5"/>
  <c r="CL21" i="5"/>
  <c r="CK21" i="5"/>
  <c r="CJ21" i="5"/>
  <c r="CJ41" i="5" s="1"/>
  <c r="CI21" i="5"/>
  <c r="CH21" i="5"/>
  <c r="CH41" i="5" s="1"/>
  <c r="CG21" i="5"/>
  <c r="CF21" i="5"/>
  <c r="CF41" i="5" s="1"/>
  <c r="CE21" i="5"/>
  <c r="CD21" i="5"/>
  <c r="CD41" i="5" s="1"/>
  <c r="CC21" i="5"/>
  <c r="CV20" i="5"/>
  <c r="CV40" i="5" s="1"/>
  <c r="CU20" i="5"/>
  <c r="CT20" i="5"/>
  <c r="CT40" i="5" s="1"/>
  <c r="CS20" i="5"/>
  <c r="CR20" i="5"/>
  <c r="CQ20" i="5"/>
  <c r="CP20" i="5"/>
  <c r="CO20" i="5"/>
  <c r="CN20" i="5"/>
  <c r="CN40" i="5" s="1"/>
  <c r="CM20" i="5"/>
  <c r="CL20" i="5"/>
  <c r="CL40" i="5" s="1"/>
  <c r="CK20" i="5"/>
  <c r="CJ20" i="5"/>
  <c r="CJ40" i="5" s="1"/>
  <c r="CI20" i="5"/>
  <c r="CH20" i="5"/>
  <c r="CH40" i="5" s="1"/>
  <c r="CG20" i="5"/>
  <c r="CF20" i="5"/>
  <c r="CF40" i="5" s="1"/>
  <c r="CE20" i="5"/>
  <c r="CD20" i="5"/>
  <c r="CC20" i="5"/>
  <c r="CV19" i="5"/>
  <c r="CU19" i="5"/>
  <c r="CT19" i="5"/>
  <c r="CS19" i="5"/>
  <c r="CR19" i="5"/>
  <c r="CR39" i="5" s="1"/>
  <c r="CQ19" i="5"/>
  <c r="CP19" i="5"/>
  <c r="CP39" i="5" s="1"/>
  <c r="CO19" i="5"/>
  <c r="CN19" i="5"/>
  <c r="CN39" i="5" s="1"/>
  <c r="CM19" i="5"/>
  <c r="CL19" i="5"/>
  <c r="CL39" i="5" s="1"/>
  <c r="CK19" i="5"/>
  <c r="CJ19" i="5"/>
  <c r="CJ39" i="5" s="1"/>
  <c r="CI19" i="5"/>
  <c r="CH19" i="5"/>
  <c r="CH39" i="5" s="1"/>
  <c r="CG19" i="5"/>
  <c r="CF19" i="5"/>
  <c r="CE19" i="5"/>
  <c r="CD19" i="5"/>
  <c r="CC19" i="5"/>
  <c r="CV18" i="5"/>
  <c r="CV38" i="5" s="1"/>
  <c r="CU18" i="5"/>
  <c r="CT18" i="5"/>
  <c r="CT38" i="5" s="1"/>
  <c r="CS18" i="5"/>
  <c r="CR18" i="5"/>
  <c r="CR38" i="5" s="1"/>
  <c r="CQ18" i="5"/>
  <c r="CP18" i="5"/>
  <c r="CP38" i="5" s="1"/>
  <c r="CO18" i="5"/>
  <c r="CN18" i="5"/>
  <c r="CN38" i="5" s="1"/>
  <c r="CM18" i="5"/>
  <c r="CL18" i="5"/>
  <c r="CK18" i="5"/>
  <c r="CJ18" i="5"/>
  <c r="CI18" i="5"/>
  <c r="CH18" i="5"/>
  <c r="CG18" i="5"/>
  <c r="CF18" i="5"/>
  <c r="CF38" i="5" s="1"/>
  <c r="CE18" i="5"/>
  <c r="CD18" i="5"/>
  <c r="CD38" i="5" s="1"/>
  <c r="CC18" i="5"/>
  <c r="CV17" i="5"/>
  <c r="CV37" i="5" s="1"/>
  <c r="CU17" i="5"/>
  <c r="CT17" i="5"/>
  <c r="CT37" i="5" s="1"/>
  <c r="CS17" i="5"/>
  <c r="CR17" i="5"/>
  <c r="CR37" i="5" s="1"/>
  <c r="CQ17" i="5"/>
  <c r="CP17" i="5"/>
  <c r="CP37" i="5" s="1"/>
  <c r="CO17" i="5"/>
  <c r="CN17" i="5"/>
  <c r="CM17" i="5"/>
  <c r="CL17" i="5"/>
  <c r="CK17" i="5"/>
  <c r="CJ17" i="5"/>
  <c r="CJ37" i="5" s="1"/>
  <c r="CI17" i="5"/>
  <c r="CH17" i="5"/>
  <c r="CH37" i="5" s="1"/>
  <c r="CG17" i="5"/>
  <c r="CF17" i="5"/>
  <c r="CF37" i="5" s="1"/>
  <c r="CE17" i="5"/>
  <c r="CD17" i="5"/>
  <c r="CD37" i="5" s="1"/>
  <c r="CC17" i="5"/>
  <c r="CV16" i="5"/>
  <c r="CV36" i="5" s="1"/>
  <c r="CU16" i="5"/>
  <c r="CT16" i="5"/>
  <c r="CS16" i="5"/>
  <c r="CR16" i="5"/>
  <c r="CQ16" i="5"/>
  <c r="CP16" i="5"/>
  <c r="CO16" i="5"/>
  <c r="CN16" i="5"/>
  <c r="CN36" i="5" s="1"/>
  <c r="CM16" i="5"/>
  <c r="CL16" i="5"/>
  <c r="CL36" i="5" s="1"/>
  <c r="CK16" i="5"/>
  <c r="CJ16" i="5"/>
  <c r="CJ36" i="5" s="1"/>
  <c r="CI16" i="5"/>
  <c r="CH16" i="5"/>
  <c r="CH36" i="5" s="1"/>
  <c r="CG16" i="5"/>
  <c r="CF16" i="5"/>
  <c r="CF36" i="5" s="1"/>
  <c r="CE16" i="5"/>
  <c r="CD16" i="5"/>
  <c r="CD36" i="5" s="1"/>
  <c r="CC16" i="5"/>
  <c r="CV15" i="5"/>
  <c r="CU15" i="5"/>
  <c r="CT15" i="5"/>
  <c r="CS15" i="5"/>
  <c r="CR15" i="5"/>
  <c r="CR35" i="5" s="1"/>
  <c r="CQ15" i="5"/>
  <c r="CP15" i="5"/>
  <c r="CP35" i="5" s="1"/>
  <c r="CO15" i="5"/>
  <c r="CN15" i="5"/>
  <c r="CN35" i="5" s="1"/>
  <c r="CM15" i="5"/>
  <c r="CL15" i="5"/>
  <c r="CL35" i="5" s="1"/>
  <c r="CK15" i="5"/>
  <c r="CJ15" i="5"/>
  <c r="CJ35" i="5" s="1"/>
  <c r="CI15" i="5"/>
  <c r="CH15" i="5"/>
  <c r="CG15" i="5"/>
  <c r="CF15" i="5"/>
  <c r="CE15" i="5"/>
  <c r="CD15" i="5"/>
  <c r="CC15" i="5"/>
  <c r="CV14" i="5"/>
  <c r="CV34" i="5" s="1"/>
  <c r="CU14" i="5"/>
  <c r="CT14" i="5"/>
  <c r="CT34" i="5" s="1"/>
  <c r="CS14" i="5"/>
  <c r="CR14" i="5"/>
  <c r="CR34" i="5" s="1"/>
  <c r="CQ14" i="5"/>
  <c r="CP14" i="5"/>
  <c r="CP34" i="5" s="1"/>
  <c r="CO14" i="5"/>
  <c r="CN14" i="5"/>
  <c r="CN34" i="5" s="1"/>
  <c r="CM14" i="5"/>
  <c r="CL14" i="5"/>
  <c r="CL34" i="5" s="1"/>
  <c r="CK14" i="5"/>
  <c r="CJ14" i="5"/>
  <c r="CJ34" i="5" s="1"/>
  <c r="CI14" i="5"/>
  <c r="CH14" i="5"/>
  <c r="CG14" i="5"/>
  <c r="CF14" i="5"/>
  <c r="CF34" i="5" s="1"/>
  <c r="CE14" i="5"/>
  <c r="CD14" i="5"/>
  <c r="CD34" i="5" s="1"/>
  <c r="CC14" i="5"/>
  <c r="CV13" i="5"/>
  <c r="CV33" i="5" s="1"/>
  <c r="CU13" i="5"/>
  <c r="CT13" i="5"/>
  <c r="CT33" i="5" s="1"/>
  <c r="CS13" i="5"/>
  <c r="CR13" i="5"/>
  <c r="CR33" i="5" s="1"/>
  <c r="CQ13" i="5"/>
  <c r="CP13" i="5"/>
  <c r="CO13" i="5"/>
  <c r="CN13" i="5"/>
  <c r="CM13" i="5"/>
  <c r="CL13" i="5"/>
  <c r="CK13" i="5"/>
  <c r="CJ13" i="5"/>
  <c r="CJ33" i="5" s="1"/>
  <c r="CI13" i="5"/>
  <c r="CH13" i="5"/>
  <c r="CH33" i="5" s="1"/>
  <c r="CG13" i="5"/>
  <c r="CF13" i="5"/>
  <c r="CF33" i="5" s="1"/>
  <c r="CE13" i="5"/>
  <c r="CD13" i="5"/>
  <c r="CD33" i="5" s="1"/>
  <c r="CC13" i="5"/>
  <c r="CV12" i="5"/>
  <c r="CV32" i="5" s="1"/>
  <c r="CU12" i="5"/>
  <c r="CT12" i="5"/>
  <c r="CT32" i="5" s="1"/>
  <c r="CS12" i="5"/>
  <c r="CR12" i="5"/>
  <c r="CR32" i="5" s="1"/>
  <c r="CQ12" i="5"/>
  <c r="CP12" i="5"/>
  <c r="CP32" i="5" s="1"/>
  <c r="CO12" i="5"/>
  <c r="CN12" i="5"/>
  <c r="CN32" i="5" s="1"/>
  <c r="CM12" i="5"/>
  <c r="CL12" i="5"/>
  <c r="CL32" i="5" s="1"/>
  <c r="CK12" i="5"/>
  <c r="CJ12" i="5"/>
  <c r="CJ32" i="5" s="1"/>
  <c r="CI12" i="5"/>
  <c r="CH12" i="5"/>
  <c r="CH32" i="5" s="1"/>
  <c r="CH27" i="5" s="1"/>
  <c r="CG12" i="5"/>
  <c r="CF12" i="5"/>
  <c r="CF32" i="5" s="1"/>
  <c r="CE12" i="5"/>
  <c r="CD12" i="5"/>
  <c r="CC12" i="5"/>
  <c r="CV11" i="5"/>
  <c r="CU11" i="5"/>
  <c r="CT11" i="5"/>
  <c r="CS11" i="5"/>
  <c r="CR11" i="5"/>
  <c r="CR31" i="5" s="1"/>
  <c r="CQ11" i="5"/>
  <c r="CP11" i="5"/>
  <c r="CP31" i="5" s="1"/>
  <c r="CO11" i="5"/>
  <c r="CN11" i="5"/>
  <c r="CN31" i="5" s="1"/>
  <c r="CM11" i="5"/>
  <c r="CL11" i="5"/>
  <c r="CL31" i="5" s="1"/>
  <c r="CL26" i="5" s="1"/>
  <c r="CK11" i="5"/>
  <c r="CJ11" i="5"/>
  <c r="CJ31" i="5" s="1"/>
  <c r="CI11" i="5"/>
  <c r="CH11" i="5"/>
  <c r="CH31" i="5" s="1"/>
  <c r="CG11" i="5"/>
  <c r="CF11" i="5"/>
  <c r="CF31" i="5" s="1"/>
  <c r="CE11" i="5"/>
  <c r="CD11" i="5"/>
  <c r="CD31" i="5" s="1"/>
  <c r="CC11" i="5"/>
  <c r="CV10" i="5"/>
  <c r="CV25" i="5" s="1"/>
  <c r="CU10" i="5"/>
  <c r="CT10" i="5"/>
  <c r="CT25" i="5" s="1"/>
  <c r="CS10" i="5"/>
  <c r="CR10" i="5"/>
  <c r="CQ10" i="5"/>
  <c r="CP10" i="5"/>
  <c r="CP25" i="5" s="1"/>
  <c r="CO10" i="5"/>
  <c r="CN10" i="5"/>
  <c r="CN25" i="5" s="1"/>
  <c r="CM10" i="5"/>
  <c r="CL10" i="5"/>
  <c r="CL25" i="5" s="1"/>
  <c r="CK10" i="5"/>
  <c r="CJ10" i="5"/>
  <c r="CJ25" i="5" s="1"/>
  <c r="CI10" i="5"/>
  <c r="CH10" i="5"/>
  <c r="CH25" i="5" s="1"/>
  <c r="CG10" i="5"/>
  <c r="CF10" i="5"/>
  <c r="CF25" i="5" s="1"/>
  <c r="CE10" i="5"/>
  <c r="CD10" i="5"/>
  <c r="CD25" i="5" s="1"/>
  <c r="CC10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CG6" i="5"/>
  <c r="CF6" i="5"/>
  <c r="CE6" i="5"/>
  <c r="CD6" i="5"/>
  <c r="CC6" i="5"/>
  <c r="CV5" i="5"/>
  <c r="CV24" i="5" s="1"/>
  <c r="CU5" i="5"/>
  <c r="CT5" i="5"/>
  <c r="CS5" i="5"/>
  <c r="CR5" i="5"/>
  <c r="CR25" i="5" s="1"/>
  <c r="CQ5" i="5"/>
  <c r="CP5" i="5"/>
  <c r="CO5" i="5"/>
  <c r="CN5" i="5"/>
  <c r="CM5" i="5"/>
  <c r="CL5" i="5"/>
  <c r="CK5" i="5"/>
  <c r="CJ5" i="5"/>
  <c r="CI5" i="5"/>
  <c r="CH5" i="5"/>
  <c r="CG5" i="5"/>
  <c r="CF5" i="5"/>
  <c r="CF24" i="5" s="1"/>
  <c r="CE5" i="5"/>
  <c r="CD5" i="5"/>
  <c r="CC5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V3" i="5"/>
  <c r="CV23" i="5" s="1"/>
  <c r="CU3" i="5"/>
  <c r="CT3" i="5"/>
  <c r="CT23" i="5" s="1"/>
  <c r="CS3" i="5"/>
  <c r="CR3" i="5"/>
  <c r="CR24" i="5" s="1"/>
  <c r="CQ3" i="5"/>
  <c r="CP3" i="5"/>
  <c r="CP24" i="5" s="1"/>
  <c r="CO3" i="5"/>
  <c r="CN3" i="5"/>
  <c r="CN24" i="5" s="1"/>
  <c r="CM3" i="5"/>
  <c r="CL3" i="5"/>
  <c r="CL24" i="5" s="1"/>
  <c r="CK3" i="5"/>
  <c r="CJ3" i="5"/>
  <c r="CJ24" i="5" s="1"/>
  <c r="CI3" i="5"/>
  <c r="CH3" i="5"/>
  <c r="CH24" i="5" s="1"/>
  <c r="CG3" i="5"/>
  <c r="CF3" i="5"/>
  <c r="CF23" i="5" s="1"/>
  <c r="CE3" i="5"/>
  <c r="CD3" i="5"/>
  <c r="CD23" i="5" s="1"/>
  <c r="CC3" i="5"/>
  <c r="CV2" i="5"/>
  <c r="CU2" i="5"/>
  <c r="CT2" i="5"/>
  <c r="CS2" i="5"/>
  <c r="CR2" i="5"/>
  <c r="CQ2" i="5"/>
  <c r="CP2" i="5"/>
  <c r="CO2" i="5"/>
  <c r="CN2" i="5"/>
  <c r="CM2" i="5"/>
  <c r="CL2" i="5"/>
  <c r="CK2" i="5"/>
  <c r="CJ2" i="5"/>
  <c r="CI2" i="5"/>
  <c r="CH2" i="5"/>
  <c r="CG2" i="5"/>
  <c r="CF2" i="5"/>
  <c r="CE2" i="5"/>
  <c r="CD2" i="5"/>
  <c r="CC2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BP42" i="5"/>
  <c r="BN42" i="5"/>
  <c r="CB41" i="5"/>
  <c r="BZ41" i="5"/>
  <c r="BT41" i="5"/>
  <c r="BR41" i="5"/>
  <c r="BX40" i="5"/>
  <c r="BV40" i="5"/>
  <c r="BP40" i="5"/>
  <c r="BN40" i="5"/>
  <c r="CB39" i="5"/>
  <c r="BZ39" i="5"/>
  <c r="BL39" i="5"/>
  <c r="BJ39" i="5"/>
  <c r="BV38" i="5"/>
  <c r="BP38" i="5"/>
  <c r="BN38" i="5"/>
  <c r="BT37" i="5"/>
  <c r="BR37" i="5"/>
  <c r="BX36" i="5"/>
  <c r="BV36" i="5"/>
  <c r="CB35" i="5"/>
  <c r="BZ35" i="5"/>
  <c r="BL35" i="5"/>
  <c r="BJ35" i="5"/>
  <c r="BP34" i="5"/>
  <c r="BN34" i="5"/>
  <c r="BT33" i="5"/>
  <c r="BR33" i="5"/>
  <c r="BX32" i="5"/>
  <c r="BV32" i="5"/>
  <c r="CB31" i="5"/>
  <c r="CB26" i="5" s="1"/>
  <c r="BZ31" i="5"/>
  <c r="BL31" i="5"/>
  <c r="BJ31" i="5"/>
  <c r="CA29" i="5"/>
  <c r="BY29" i="5"/>
  <c r="BW29" i="5"/>
  <c r="BU29" i="5"/>
  <c r="BS29" i="5"/>
  <c r="BQ29" i="5"/>
  <c r="BO29" i="5"/>
  <c r="BM29" i="5"/>
  <c r="BK29" i="5"/>
  <c r="BI29" i="5"/>
  <c r="CA28" i="5"/>
  <c r="BY28" i="5"/>
  <c r="BW28" i="5"/>
  <c r="BU28" i="5"/>
  <c r="BS28" i="5"/>
  <c r="BQ28" i="5"/>
  <c r="BO28" i="5"/>
  <c r="BM28" i="5"/>
  <c r="BK28" i="5"/>
  <c r="BI28" i="5"/>
  <c r="CA27" i="5"/>
  <c r="BY27" i="5"/>
  <c r="BW27" i="5"/>
  <c r="BU27" i="5"/>
  <c r="BS27" i="5"/>
  <c r="BQ27" i="5"/>
  <c r="BO27" i="5"/>
  <c r="BM27" i="5"/>
  <c r="BK27" i="5"/>
  <c r="BI27" i="5"/>
  <c r="CA26" i="5"/>
  <c r="BY26" i="5"/>
  <c r="BW26" i="5"/>
  <c r="BU26" i="5"/>
  <c r="BS26" i="5"/>
  <c r="BQ26" i="5"/>
  <c r="BO26" i="5"/>
  <c r="BM26" i="5"/>
  <c r="BK26" i="5"/>
  <c r="BI26" i="5"/>
  <c r="CA25" i="5"/>
  <c r="BY25" i="5"/>
  <c r="BW25" i="5"/>
  <c r="BU25" i="5"/>
  <c r="BS25" i="5"/>
  <c r="BQ25" i="5"/>
  <c r="BO25" i="5"/>
  <c r="BM25" i="5"/>
  <c r="BK25" i="5"/>
  <c r="BI25" i="5"/>
  <c r="CB24" i="5"/>
  <c r="CA24" i="5"/>
  <c r="BZ24" i="5"/>
  <c r="BY24" i="5"/>
  <c r="BW24" i="5"/>
  <c r="BU24" i="5"/>
  <c r="BS24" i="5"/>
  <c r="BQ24" i="5"/>
  <c r="BO24" i="5"/>
  <c r="BM24" i="5"/>
  <c r="BL24" i="5"/>
  <c r="BK24" i="5"/>
  <c r="BJ24" i="5"/>
  <c r="BI24" i="5"/>
  <c r="CA23" i="5"/>
  <c r="BY23" i="5"/>
  <c r="BW23" i="5"/>
  <c r="BU23" i="5"/>
  <c r="BS23" i="5"/>
  <c r="BQ23" i="5"/>
  <c r="BO23" i="5"/>
  <c r="BM23" i="5"/>
  <c r="BK23" i="5"/>
  <c r="BI23" i="5"/>
  <c r="CB22" i="5"/>
  <c r="CB42" i="5" s="1"/>
  <c r="CA22" i="5"/>
  <c r="BZ22" i="5"/>
  <c r="BZ42" i="5" s="1"/>
  <c r="BY22" i="5"/>
  <c r="BX22" i="5"/>
  <c r="BX42" i="5" s="1"/>
  <c r="BW22" i="5"/>
  <c r="BV22" i="5"/>
  <c r="BV42" i="5" s="1"/>
  <c r="BU22" i="5"/>
  <c r="BT22" i="5"/>
  <c r="BT42" i="5" s="1"/>
  <c r="BS22" i="5"/>
  <c r="BR22" i="5"/>
  <c r="BR42" i="5" s="1"/>
  <c r="BQ22" i="5"/>
  <c r="BP22" i="5"/>
  <c r="BO22" i="5"/>
  <c r="BN22" i="5"/>
  <c r="BM22" i="5"/>
  <c r="BL22" i="5"/>
  <c r="BL42" i="5" s="1"/>
  <c r="BK22" i="5"/>
  <c r="BJ22" i="5"/>
  <c r="BJ42" i="5" s="1"/>
  <c r="BI22" i="5"/>
  <c r="CB21" i="5"/>
  <c r="CA21" i="5"/>
  <c r="BZ21" i="5"/>
  <c r="BY21" i="5"/>
  <c r="BX21" i="5"/>
  <c r="BX41" i="5" s="1"/>
  <c r="BW21" i="5"/>
  <c r="BV21" i="5"/>
  <c r="BV41" i="5" s="1"/>
  <c r="BU21" i="5"/>
  <c r="BT21" i="5"/>
  <c r="BS21" i="5"/>
  <c r="BR21" i="5"/>
  <c r="BQ21" i="5"/>
  <c r="BP21" i="5"/>
  <c r="BP41" i="5" s="1"/>
  <c r="BO21" i="5"/>
  <c r="BN21" i="5"/>
  <c r="BN41" i="5" s="1"/>
  <c r="BM21" i="5"/>
  <c r="BL21" i="5"/>
  <c r="BL41" i="5" s="1"/>
  <c r="BK21" i="5"/>
  <c r="BJ21" i="5"/>
  <c r="BJ41" i="5" s="1"/>
  <c r="BI21" i="5"/>
  <c r="CB20" i="5"/>
  <c r="CB40" i="5" s="1"/>
  <c r="CA20" i="5"/>
  <c r="BZ20" i="5"/>
  <c r="BZ40" i="5" s="1"/>
  <c r="BY20" i="5"/>
  <c r="BX20" i="5"/>
  <c r="BW20" i="5"/>
  <c r="BV20" i="5"/>
  <c r="BU20" i="5"/>
  <c r="BT20" i="5"/>
  <c r="BT40" i="5" s="1"/>
  <c r="BS20" i="5"/>
  <c r="BR20" i="5"/>
  <c r="BR40" i="5" s="1"/>
  <c r="BQ20" i="5"/>
  <c r="BP20" i="5"/>
  <c r="BO20" i="5"/>
  <c r="BN20" i="5"/>
  <c r="BM20" i="5"/>
  <c r="BL20" i="5"/>
  <c r="BL40" i="5" s="1"/>
  <c r="BK20" i="5"/>
  <c r="BJ20" i="5"/>
  <c r="BJ40" i="5" s="1"/>
  <c r="BI20" i="5"/>
  <c r="CB19" i="5"/>
  <c r="CA19" i="5"/>
  <c r="BZ19" i="5"/>
  <c r="BY19" i="5"/>
  <c r="BX19" i="5"/>
  <c r="BX39" i="5" s="1"/>
  <c r="BW19" i="5"/>
  <c r="BV19" i="5"/>
  <c r="BV39" i="5" s="1"/>
  <c r="BU19" i="5"/>
  <c r="BT19" i="5"/>
  <c r="BT39" i="5" s="1"/>
  <c r="BS19" i="5"/>
  <c r="BR19" i="5"/>
  <c r="BR39" i="5" s="1"/>
  <c r="BQ19" i="5"/>
  <c r="BP19" i="5"/>
  <c r="BP39" i="5" s="1"/>
  <c r="BO19" i="5"/>
  <c r="BN19" i="5"/>
  <c r="BN39" i="5" s="1"/>
  <c r="BM19" i="5"/>
  <c r="BL19" i="5"/>
  <c r="BK19" i="5"/>
  <c r="BJ19" i="5"/>
  <c r="BI19" i="5"/>
  <c r="CB18" i="5"/>
  <c r="CB38" i="5" s="1"/>
  <c r="CA18" i="5"/>
  <c r="BZ18" i="5"/>
  <c r="BZ38" i="5" s="1"/>
  <c r="BY18" i="5"/>
  <c r="BX18" i="5"/>
  <c r="BX38" i="5" s="1"/>
  <c r="BW18" i="5"/>
  <c r="BV18" i="5"/>
  <c r="BU18" i="5"/>
  <c r="BT18" i="5"/>
  <c r="BT38" i="5" s="1"/>
  <c r="BS18" i="5"/>
  <c r="BR18" i="5"/>
  <c r="BR38" i="5" s="1"/>
  <c r="BQ18" i="5"/>
  <c r="BP18" i="5"/>
  <c r="BO18" i="5"/>
  <c r="BN18" i="5"/>
  <c r="BM18" i="5"/>
  <c r="BL18" i="5"/>
  <c r="BL38" i="5" s="1"/>
  <c r="BK18" i="5"/>
  <c r="BJ18" i="5"/>
  <c r="BJ38" i="5" s="1"/>
  <c r="BI18" i="5"/>
  <c r="CB17" i="5"/>
  <c r="CB37" i="5" s="1"/>
  <c r="CA17" i="5"/>
  <c r="BZ17" i="5"/>
  <c r="BZ37" i="5" s="1"/>
  <c r="BY17" i="5"/>
  <c r="BX17" i="5"/>
  <c r="BX37" i="5" s="1"/>
  <c r="BW17" i="5"/>
  <c r="BV17" i="5"/>
  <c r="BV37" i="5" s="1"/>
  <c r="BU17" i="5"/>
  <c r="BT17" i="5"/>
  <c r="BS17" i="5"/>
  <c r="BR17" i="5"/>
  <c r="BQ17" i="5"/>
  <c r="BP17" i="5"/>
  <c r="BP37" i="5" s="1"/>
  <c r="BO17" i="5"/>
  <c r="BN17" i="5"/>
  <c r="BN37" i="5" s="1"/>
  <c r="BM17" i="5"/>
  <c r="BL17" i="5"/>
  <c r="BL37" i="5" s="1"/>
  <c r="BK17" i="5"/>
  <c r="BJ17" i="5"/>
  <c r="BJ37" i="5" s="1"/>
  <c r="BI17" i="5"/>
  <c r="CB16" i="5"/>
  <c r="CB36" i="5" s="1"/>
  <c r="CA16" i="5"/>
  <c r="BZ16" i="5"/>
  <c r="BZ36" i="5" s="1"/>
  <c r="BY16" i="5"/>
  <c r="BX16" i="5"/>
  <c r="BW16" i="5"/>
  <c r="BV16" i="5"/>
  <c r="BU16" i="5"/>
  <c r="BT16" i="5"/>
  <c r="BT36" i="5" s="1"/>
  <c r="BS16" i="5"/>
  <c r="BR16" i="5"/>
  <c r="BR36" i="5" s="1"/>
  <c r="BQ16" i="5"/>
  <c r="BP16" i="5"/>
  <c r="BP36" i="5" s="1"/>
  <c r="BO16" i="5"/>
  <c r="BN16" i="5"/>
  <c r="BN36" i="5" s="1"/>
  <c r="BM16" i="5"/>
  <c r="BL16" i="5"/>
  <c r="BL36" i="5" s="1"/>
  <c r="BK16" i="5"/>
  <c r="BJ16" i="5"/>
  <c r="BJ36" i="5" s="1"/>
  <c r="BI16" i="5"/>
  <c r="CB15" i="5"/>
  <c r="CA15" i="5"/>
  <c r="BZ15" i="5"/>
  <c r="BY15" i="5"/>
  <c r="BX15" i="5"/>
  <c r="BX35" i="5" s="1"/>
  <c r="BW15" i="5"/>
  <c r="BV15" i="5"/>
  <c r="BV35" i="5" s="1"/>
  <c r="BU15" i="5"/>
  <c r="BT15" i="5"/>
  <c r="BT35" i="5" s="1"/>
  <c r="BS15" i="5"/>
  <c r="BR15" i="5"/>
  <c r="BR35" i="5" s="1"/>
  <c r="BQ15" i="5"/>
  <c r="BP15" i="5"/>
  <c r="BP35" i="5" s="1"/>
  <c r="BO15" i="5"/>
  <c r="BN15" i="5"/>
  <c r="BN35" i="5" s="1"/>
  <c r="BM15" i="5"/>
  <c r="BL15" i="5"/>
  <c r="BK15" i="5"/>
  <c r="BJ15" i="5"/>
  <c r="BI15" i="5"/>
  <c r="CB14" i="5"/>
  <c r="CB34" i="5" s="1"/>
  <c r="CA14" i="5"/>
  <c r="BZ14" i="5"/>
  <c r="BZ34" i="5" s="1"/>
  <c r="BY14" i="5"/>
  <c r="BX14" i="5"/>
  <c r="BX34" i="5" s="1"/>
  <c r="BW14" i="5"/>
  <c r="BV14" i="5"/>
  <c r="BV34" i="5" s="1"/>
  <c r="BU14" i="5"/>
  <c r="BT14" i="5"/>
  <c r="BT34" i="5" s="1"/>
  <c r="BS14" i="5"/>
  <c r="BR14" i="5"/>
  <c r="BR34" i="5" s="1"/>
  <c r="BQ14" i="5"/>
  <c r="BP14" i="5"/>
  <c r="BO14" i="5"/>
  <c r="BN14" i="5"/>
  <c r="BM14" i="5"/>
  <c r="BL14" i="5"/>
  <c r="BL34" i="5" s="1"/>
  <c r="BK14" i="5"/>
  <c r="BJ14" i="5"/>
  <c r="BJ34" i="5" s="1"/>
  <c r="BI14" i="5"/>
  <c r="CB13" i="5"/>
  <c r="CB33" i="5" s="1"/>
  <c r="CA13" i="5"/>
  <c r="BZ13" i="5"/>
  <c r="BZ33" i="5" s="1"/>
  <c r="BY13" i="5"/>
  <c r="BX13" i="5"/>
  <c r="BX33" i="5" s="1"/>
  <c r="BW13" i="5"/>
  <c r="BV13" i="5"/>
  <c r="BV33" i="5" s="1"/>
  <c r="BU13" i="5"/>
  <c r="BT13" i="5"/>
  <c r="BS13" i="5"/>
  <c r="BR13" i="5"/>
  <c r="BQ13" i="5"/>
  <c r="BP13" i="5"/>
  <c r="BP33" i="5" s="1"/>
  <c r="BO13" i="5"/>
  <c r="BN13" i="5"/>
  <c r="BN33" i="5" s="1"/>
  <c r="BM13" i="5"/>
  <c r="BL13" i="5"/>
  <c r="BL33" i="5" s="1"/>
  <c r="BK13" i="5"/>
  <c r="BJ13" i="5"/>
  <c r="BJ33" i="5" s="1"/>
  <c r="BI13" i="5"/>
  <c r="CB12" i="5"/>
  <c r="CB32" i="5" s="1"/>
  <c r="CA12" i="5"/>
  <c r="BZ12" i="5"/>
  <c r="BZ32" i="5" s="1"/>
  <c r="BY12" i="5"/>
  <c r="BX12" i="5"/>
  <c r="BW12" i="5"/>
  <c r="BV12" i="5"/>
  <c r="BU12" i="5"/>
  <c r="BT12" i="5"/>
  <c r="BT32" i="5" s="1"/>
  <c r="BT27" i="5" s="1"/>
  <c r="BS12" i="5"/>
  <c r="BR12" i="5"/>
  <c r="BR32" i="5" s="1"/>
  <c r="BQ12" i="5"/>
  <c r="BP12" i="5"/>
  <c r="BP32" i="5" s="1"/>
  <c r="BO12" i="5"/>
  <c r="BN12" i="5"/>
  <c r="BN32" i="5" s="1"/>
  <c r="BM12" i="5"/>
  <c r="BL12" i="5"/>
  <c r="BL32" i="5" s="1"/>
  <c r="BK12" i="5"/>
  <c r="BJ12" i="5"/>
  <c r="BJ32" i="5" s="1"/>
  <c r="BI12" i="5"/>
  <c r="CB11" i="5"/>
  <c r="CA11" i="5"/>
  <c r="BZ11" i="5"/>
  <c r="BY11" i="5"/>
  <c r="BX11" i="5"/>
  <c r="BX31" i="5" s="1"/>
  <c r="BX26" i="5" s="1"/>
  <c r="BW11" i="5"/>
  <c r="BV11" i="5"/>
  <c r="BV31" i="5" s="1"/>
  <c r="BU11" i="5"/>
  <c r="BT11" i="5"/>
  <c r="BT31" i="5" s="1"/>
  <c r="BS11" i="5"/>
  <c r="BR11" i="5"/>
  <c r="BR31" i="5" s="1"/>
  <c r="BQ11" i="5"/>
  <c r="BP11" i="5"/>
  <c r="BP31" i="5" s="1"/>
  <c r="BO11" i="5"/>
  <c r="BN11" i="5"/>
  <c r="BN31" i="5" s="1"/>
  <c r="BM11" i="5"/>
  <c r="BL11" i="5"/>
  <c r="BK11" i="5"/>
  <c r="BJ11" i="5"/>
  <c r="BI11" i="5"/>
  <c r="CB10" i="5"/>
  <c r="CB25" i="5" s="1"/>
  <c r="CA10" i="5"/>
  <c r="BZ10" i="5"/>
  <c r="BZ25" i="5" s="1"/>
  <c r="BY10" i="5"/>
  <c r="BX10" i="5"/>
  <c r="BW10" i="5"/>
  <c r="BV10" i="5"/>
  <c r="BU10" i="5"/>
  <c r="BT10" i="5"/>
  <c r="BT25" i="5" s="1"/>
  <c r="BS10" i="5"/>
  <c r="BR10" i="5"/>
  <c r="BR25" i="5" s="1"/>
  <c r="BQ10" i="5"/>
  <c r="BP10" i="5"/>
  <c r="BP25" i="5" s="1"/>
  <c r="BO10" i="5"/>
  <c r="BN10" i="5"/>
  <c r="BM10" i="5"/>
  <c r="BL10" i="5"/>
  <c r="BL25" i="5" s="1"/>
  <c r="BK10" i="5"/>
  <c r="BJ10" i="5"/>
  <c r="BJ25" i="5" s="1"/>
  <c r="BI10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CB5" i="5"/>
  <c r="CA5" i="5"/>
  <c r="BZ5" i="5"/>
  <c r="BY5" i="5"/>
  <c r="BX5" i="5"/>
  <c r="BX25" i="5" s="1"/>
  <c r="BW5" i="5"/>
  <c r="BV5" i="5"/>
  <c r="BV25" i="5" s="1"/>
  <c r="BU5" i="5"/>
  <c r="BT5" i="5"/>
  <c r="BS5" i="5"/>
  <c r="BR5" i="5"/>
  <c r="BQ5" i="5"/>
  <c r="BP5" i="5"/>
  <c r="BO5" i="5"/>
  <c r="BN5" i="5"/>
  <c r="BN25" i="5" s="1"/>
  <c r="BM5" i="5"/>
  <c r="BL5" i="5"/>
  <c r="BK5" i="5"/>
  <c r="BJ5" i="5"/>
  <c r="BI5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CB3" i="5"/>
  <c r="CB23" i="5" s="1"/>
  <c r="CA3" i="5"/>
  <c r="BZ3" i="5"/>
  <c r="BZ23" i="5" s="1"/>
  <c r="BY3" i="5"/>
  <c r="BX3" i="5"/>
  <c r="BX24" i="5" s="1"/>
  <c r="BW3" i="5"/>
  <c r="BV3" i="5"/>
  <c r="BV24" i="5" s="1"/>
  <c r="BU3" i="5"/>
  <c r="BT3" i="5"/>
  <c r="BT24" i="5" s="1"/>
  <c r="BS3" i="5"/>
  <c r="BR3" i="5"/>
  <c r="BR24" i="5" s="1"/>
  <c r="BQ3" i="5"/>
  <c r="BP3" i="5"/>
  <c r="BP24" i="5" s="1"/>
  <c r="BO3" i="5"/>
  <c r="BN3" i="5"/>
  <c r="BN24" i="5" s="1"/>
  <c r="BM3" i="5"/>
  <c r="BL3" i="5"/>
  <c r="BL23" i="5" s="1"/>
  <c r="BK3" i="5"/>
  <c r="BJ3" i="5"/>
  <c r="BJ23" i="5" s="1"/>
  <c r="BI3" i="5"/>
  <c r="CB2" i="5"/>
  <c r="CA2" i="5"/>
  <c r="BZ2" i="5"/>
  <c r="BY2" i="5"/>
  <c r="BX2" i="5"/>
  <c r="BW2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AT42" i="5"/>
  <c r="BH41" i="5"/>
  <c r="AZ41" i="5"/>
  <c r="AX41" i="5"/>
  <c r="BB40" i="5"/>
  <c r="AV40" i="5"/>
  <c r="BH39" i="5"/>
  <c r="BF39" i="5"/>
  <c r="AP39" i="5"/>
  <c r="BD38" i="5"/>
  <c r="AV38" i="5"/>
  <c r="AT38" i="5"/>
  <c r="AX37" i="5"/>
  <c r="AR37" i="5"/>
  <c r="BD36" i="5"/>
  <c r="BB36" i="5"/>
  <c r="BF35" i="5"/>
  <c r="AZ35" i="5"/>
  <c r="AR35" i="5"/>
  <c r="AP35" i="5"/>
  <c r="AT34" i="5"/>
  <c r="BH33" i="5"/>
  <c r="AZ33" i="5"/>
  <c r="AX33" i="5"/>
  <c r="AV32" i="5"/>
  <c r="BH31" i="5"/>
  <c r="BF31" i="5"/>
  <c r="BG29" i="5"/>
  <c r="BE29" i="5"/>
  <c r="BC29" i="5"/>
  <c r="BA29" i="5"/>
  <c r="AY29" i="5"/>
  <c r="AW29" i="5"/>
  <c r="AU29" i="5"/>
  <c r="AS29" i="5"/>
  <c r="AQ29" i="5"/>
  <c r="AO29" i="5"/>
  <c r="BG28" i="5"/>
  <c r="BE28" i="5"/>
  <c r="BC28" i="5"/>
  <c r="BA28" i="5"/>
  <c r="AY28" i="5"/>
  <c r="AW28" i="5"/>
  <c r="AU28" i="5"/>
  <c r="AS28" i="5"/>
  <c r="AQ28" i="5"/>
  <c r="AO28" i="5"/>
  <c r="BG27" i="5"/>
  <c r="BE27" i="5"/>
  <c r="BC27" i="5"/>
  <c r="BA27" i="5"/>
  <c r="AY27" i="5"/>
  <c r="AW27" i="5"/>
  <c r="AU27" i="5"/>
  <c r="AS27" i="5"/>
  <c r="AQ27" i="5"/>
  <c r="AO27" i="5"/>
  <c r="BG26" i="5"/>
  <c r="BE26" i="5"/>
  <c r="BC26" i="5"/>
  <c r="BA26" i="5"/>
  <c r="AY26" i="5"/>
  <c r="AW26" i="5"/>
  <c r="AU26" i="5"/>
  <c r="AS26" i="5"/>
  <c r="AQ26" i="5"/>
  <c r="AO26" i="5"/>
  <c r="BG25" i="5"/>
  <c r="BE25" i="5"/>
  <c r="BC25" i="5"/>
  <c r="BA25" i="5"/>
  <c r="AY25" i="5"/>
  <c r="AW25" i="5"/>
  <c r="AU25" i="5"/>
  <c r="AS25" i="5"/>
  <c r="AQ25" i="5"/>
  <c r="AO25" i="5"/>
  <c r="BH24" i="5"/>
  <c r="BG24" i="5"/>
  <c r="BF24" i="5"/>
  <c r="BE24" i="5"/>
  <c r="BC24" i="5"/>
  <c r="BA24" i="5"/>
  <c r="AY24" i="5"/>
  <c r="AW24" i="5"/>
  <c r="AU24" i="5"/>
  <c r="AS24" i="5"/>
  <c r="AR24" i="5"/>
  <c r="AQ24" i="5"/>
  <c r="AP24" i="5"/>
  <c r="AO24" i="5"/>
  <c r="BG23" i="5"/>
  <c r="BE23" i="5"/>
  <c r="BC23" i="5"/>
  <c r="BA23" i="5"/>
  <c r="AY23" i="5"/>
  <c r="AW23" i="5"/>
  <c r="AU23" i="5"/>
  <c r="AS23" i="5"/>
  <c r="AQ23" i="5"/>
  <c r="AO23" i="5"/>
  <c r="BH22" i="5"/>
  <c r="BH42" i="5" s="1"/>
  <c r="BG22" i="5"/>
  <c r="BF22" i="5"/>
  <c r="BF42" i="5" s="1"/>
  <c r="BE22" i="5"/>
  <c r="BD22" i="5"/>
  <c r="BD42" i="5" s="1"/>
  <c r="BC22" i="5"/>
  <c r="BB22" i="5"/>
  <c r="BB42" i="5" s="1"/>
  <c r="BA22" i="5"/>
  <c r="AZ22" i="5"/>
  <c r="AZ42" i="5" s="1"/>
  <c r="AY22" i="5"/>
  <c r="AX22" i="5"/>
  <c r="AX42" i="5" s="1"/>
  <c r="AW22" i="5"/>
  <c r="AV22" i="5"/>
  <c r="AV42" i="5" s="1"/>
  <c r="AU22" i="5"/>
  <c r="AT22" i="5"/>
  <c r="AS22" i="5"/>
  <c r="AR22" i="5"/>
  <c r="AR42" i="5" s="1"/>
  <c r="AQ22" i="5"/>
  <c r="AP22" i="5"/>
  <c r="AP42" i="5" s="1"/>
  <c r="AO22" i="5"/>
  <c r="BH21" i="5"/>
  <c r="BG21" i="5"/>
  <c r="BF21" i="5"/>
  <c r="BF41" i="5" s="1"/>
  <c r="BE21" i="5"/>
  <c r="BD21" i="5"/>
  <c r="BD41" i="5" s="1"/>
  <c r="BC21" i="5"/>
  <c r="BB21" i="5"/>
  <c r="BB41" i="5" s="1"/>
  <c r="BA21" i="5"/>
  <c r="AZ21" i="5"/>
  <c r="AY21" i="5"/>
  <c r="AX21" i="5"/>
  <c r="AW21" i="5"/>
  <c r="AV21" i="5"/>
  <c r="AV41" i="5" s="1"/>
  <c r="AU21" i="5"/>
  <c r="AT21" i="5"/>
  <c r="AT41" i="5" s="1"/>
  <c r="AS21" i="5"/>
  <c r="AR21" i="5"/>
  <c r="AR41" i="5" s="1"/>
  <c r="AQ21" i="5"/>
  <c r="AP21" i="5"/>
  <c r="AP41" i="5" s="1"/>
  <c r="AO21" i="5"/>
  <c r="BH20" i="5"/>
  <c r="BH40" i="5" s="1"/>
  <c r="BG20" i="5"/>
  <c r="BF20" i="5"/>
  <c r="BF40" i="5" s="1"/>
  <c r="BE20" i="5"/>
  <c r="BD20" i="5"/>
  <c r="BD40" i="5" s="1"/>
  <c r="BC20" i="5"/>
  <c r="BB20" i="5"/>
  <c r="BA20" i="5"/>
  <c r="AZ20" i="5"/>
  <c r="AZ40" i="5" s="1"/>
  <c r="AY20" i="5"/>
  <c r="AX20" i="5"/>
  <c r="AX40" i="5" s="1"/>
  <c r="AW20" i="5"/>
  <c r="AV20" i="5"/>
  <c r="AU20" i="5"/>
  <c r="AT20" i="5"/>
  <c r="AT40" i="5" s="1"/>
  <c r="AS20" i="5"/>
  <c r="AR20" i="5"/>
  <c r="AR40" i="5" s="1"/>
  <c r="AQ20" i="5"/>
  <c r="AP20" i="5"/>
  <c r="AP40" i="5" s="1"/>
  <c r="AO20" i="5"/>
  <c r="BH19" i="5"/>
  <c r="BG19" i="5"/>
  <c r="BF19" i="5"/>
  <c r="BE19" i="5"/>
  <c r="BD19" i="5"/>
  <c r="BD39" i="5" s="1"/>
  <c r="BC19" i="5"/>
  <c r="BB19" i="5"/>
  <c r="BB39" i="5" s="1"/>
  <c r="BA19" i="5"/>
  <c r="AZ19" i="5"/>
  <c r="AZ39" i="5" s="1"/>
  <c r="AY19" i="5"/>
  <c r="AX19" i="5"/>
  <c r="AX39" i="5" s="1"/>
  <c r="AW19" i="5"/>
  <c r="AV19" i="5"/>
  <c r="AV39" i="5" s="1"/>
  <c r="AU19" i="5"/>
  <c r="AT19" i="5"/>
  <c r="AT39" i="5" s="1"/>
  <c r="AS19" i="5"/>
  <c r="AR19" i="5"/>
  <c r="AR39" i="5" s="1"/>
  <c r="AQ19" i="5"/>
  <c r="AP19" i="5"/>
  <c r="AO19" i="5"/>
  <c r="BH18" i="5"/>
  <c r="BH38" i="5" s="1"/>
  <c r="BG18" i="5"/>
  <c r="BF18" i="5"/>
  <c r="BF38" i="5" s="1"/>
  <c r="BE18" i="5"/>
  <c r="BD18" i="5"/>
  <c r="BC18" i="5"/>
  <c r="BB18" i="5"/>
  <c r="BB38" i="5" s="1"/>
  <c r="BA18" i="5"/>
  <c r="AZ18" i="5"/>
  <c r="AZ38" i="5" s="1"/>
  <c r="AY18" i="5"/>
  <c r="AX18" i="5"/>
  <c r="AX38" i="5" s="1"/>
  <c r="AW18" i="5"/>
  <c r="AV18" i="5"/>
  <c r="AU18" i="5"/>
  <c r="AT18" i="5"/>
  <c r="AS18" i="5"/>
  <c r="AR18" i="5"/>
  <c r="AR38" i="5" s="1"/>
  <c r="AQ18" i="5"/>
  <c r="AP18" i="5"/>
  <c r="AP38" i="5" s="1"/>
  <c r="AO18" i="5"/>
  <c r="BH17" i="5"/>
  <c r="BH37" i="5" s="1"/>
  <c r="BG17" i="5"/>
  <c r="BF17" i="5"/>
  <c r="BF37" i="5" s="1"/>
  <c r="BE17" i="5"/>
  <c r="BD17" i="5"/>
  <c r="BD37" i="5" s="1"/>
  <c r="BC17" i="5"/>
  <c r="BB17" i="5"/>
  <c r="BB37" i="5" s="1"/>
  <c r="BA17" i="5"/>
  <c r="AZ17" i="5"/>
  <c r="AZ37" i="5" s="1"/>
  <c r="AY17" i="5"/>
  <c r="AX17" i="5"/>
  <c r="AW17" i="5"/>
  <c r="AV17" i="5"/>
  <c r="AV37" i="5" s="1"/>
  <c r="AU17" i="5"/>
  <c r="AT17" i="5"/>
  <c r="AT37" i="5" s="1"/>
  <c r="AS17" i="5"/>
  <c r="AR17" i="5"/>
  <c r="AQ17" i="5"/>
  <c r="AP17" i="5"/>
  <c r="AP37" i="5" s="1"/>
  <c r="AO17" i="5"/>
  <c r="BH16" i="5"/>
  <c r="BH36" i="5" s="1"/>
  <c r="BG16" i="5"/>
  <c r="BF16" i="5"/>
  <c r="BF36" i="5" s="1"/>
  <c r="BE16" i="5"/>
  <c r="BD16" i="5"/>
  <c r="BC16" i="5"/>
  <c r="BB16" i="5"/>
  <c r="BA16" i="5"/>
  <c r="AZ16" i="5"/>
  <c r="AZ36" i="5" s="1"/>
  <c r="AY16" i="5"/>
  <c r="AX16" i="5"/>
  <c r="AX36" i="5" s="1"/>
  <c r="AW16" i="5"/>
  <c r="AV16" i="5"/>
  <c r="AV36" i="5" s="1"/>
  <c r="AU16" i="5"/>
  <c r="AT16" i="5"/>
  <c r="AT36" i="5" s="1"/>
  <c r="AS16" i="5"/>
  <c r="AR16" i="5"/>
  <c r="AR36" i="5" s="1"/>
  <c r="AQ16" i="5"/>
  <c r="AP16" i="5"/>
  <c r="AP36" i="5" s="1"/>
  <c r="AO16" i="5"/>
  <c r="BH15" i="5"/>
  <c r="BH35" i="5" s="1"/>
  <c r="BG15" i="5"/>
  <c r="BF15" i="5"/>
  <c r="BE15" i="5"/>
  <c r="BD15" i="5"/>
  <c r="BD35" i="5" s="1"/>
  <c r="BC15" i="5"/>
  <c r="BB15" i="5"/>
  <c r="BB35" i="5" s="1"/>
  <c r="BA15" i="5"/>
  <c r="AZ15" i="5"/>
  <c r="AY15" i="5"/>
  <c r="AX15" i="5"/>
  <c r="AX35" i="5" s="1"/>
  <c r="AW15" i="5"/>
  <c r="AV15" i="5"/>
  <c r="AV35" i="5" s="1"/>
  <c r="AU15" i="5"/>
  <c r="AT15" i="5"/>
  <c r="AT35" i="5" s="1"/>
  <c r="AS15" i="5"/>
  <c r="AR15" i="5"/>
  <c r="AQ15" i="5"/>
  <c r="AP15" i="5"/>
  <c r="AO15" i="5"/>
  <c r="BH14" i="5"/>
  <c r="BH34" i="5" s="1"/>
  <c r="BG14" i="5"/>
  <c r="BF14" i="5"/>
  <c r="BF34" i="5" s="1"/>
  <c r="BE14" i="5"/>
  <c r="BD14" i="5"/>
  <c r="BD34" i="5" s="1"/>
  <c r="BC14" i="5"/>
  <c r="BB14" i="5"/>
  <c r="BB34" i="5" s="1"/>
  <c r="BA14" i="5"/>
  <c r="AZ14" i="5"/>
  <c r="AZ34" i="5" s="1"/>
  <c r="AY14" i="5"/>
  <c r="AX14" i="5"/>
  <c r="AX34" i="5" s="1"/>
  <c r="AW14" i="5"/>
  <c r="AV14" i="5"/>
  <c r="AV34" i="5" s="1"/>
  <c r="AU14" i="5"/>
  <c r="AT14" i="5"/>
  <c r="AS14" i="5"/>
  <c r="AR14" i="5"/>
  <c r="AR34" i="5" s="1"/>
  <c r="AQ14" i="5"/>
  <c r="AP14" i="5"/>
  <c r="AP34" i="5" s="1"/>
  <c r="AO14" i="5"/>
  <c r="BH13" i="5"/>
  <c r="BG13" i="5"/>
  <c r="BF13" i="5"/>
  <c r="BF33" i="5" s="1"/>
  <c r="BE13" i="5"/>
  <c r="BD13" i="5"/>
  <c r="BD33" i="5" s="1"/>
  <c r="BC13" i="5"/>
  <c r="BB13" i="5"/>
  <c r="BB33" i="5" s="1"/>
  <c r="BA13" i="5"/>
  <c r="AZ13" i="5"/>
  <c r="AY13" i="5"/>
  <c r="AX13" i="5"/>
  <c r="AW13" i="5"/>
  <c r="AV13" i="5"/>
  <c r="AV33" i="5" s="1"/>
  <c r="AU13" i="5"/>
  <c r="AT13" i="5"/>
  <c r="AT33" i="5" s="1"/>
  <c r="AS13" i="5"/>
  <c r="AR13" i="5"/>
  <c r="AR33" i="5" s="1"/>
  <c r="AQ13" i="5"/>
  <c r="AP13" i="5"/>
  <c r="AP33" i="5" s="1"/>
  <c r="AO13" i="5"/>
  <c r="BH12" i="5"/>
  <c r="BH32" i="5" s="1"/>
  <c r="BH27" i="5" s="1"/>
  <c r="BG12" i="5"/>
  <c r="BF12" i="5"/>
  <c r="BF32" i="5" s="1"/>
  <c r="BE12" i="5"/>
  <c r="BD12" i="5"/>
  <c r="BD32" i="5" s="1"/>
  <c r="BC12" i="5"/>
  <c r="BB12" i="5"/>
  <c r="BB32" i="5" s="1"/>
  <c r="BA12" i="5"/>
  <c r="AZ12" i="5"/>
  <c r="AZ32" i="5" s="1"/>
  <c r="AY12" i="5"/>
  <c r="AX12" i="5"/>
  <c r="AX32" i="5" s="1"/>
  <c r="AW12" i="5"/>
  <c r="AV12" i="5"/>
  <c r="AU12" i="5"/>
  <c r="AT12" i="5"/>
  <c r="AT32" i="5" s="1"/>
  <c r="AS12" i="5"/>
  <c r="AR12" i="5"/>
  <c r="AR32" i="5" s="1"/>
  <c r="AR27" i="5" s="1"/>
  <c r="AQ12" i="5"/>
  <c r="AP12" i="5"/>
  <c r="AP32" i="5" s="1"/>
  <c r="AO12" i="5"/>
  <c r="BH11" i="5"/>
  <c r="BG11" i="5"/>
  <c r="BF11" i="5"/>
  <c r="BE11" i="5"/>
  <c r="BD11" i="5"/>
  <c r="BD31" i="5" s="1"/>
  <c r="BC11" i="5"/>
  <c r="BB11" i="5"/>
  <c r="BB31" i="5" s="1"/>
  <c r="BA11" i="5"/>
  <c r="AZ11" i="5"/>
  <c r="AZ31" i="5" s="1"/>
  <c r="AY11" i="5"/>
  <c r="AX11" i="5"/>
  <c r="AX31" i="5" s="1"/>
  <c r="AW11" i="5"/>
  <c r="AV11" i="5"/>
  <c r="AV31" i="5" s="1"/>
  <c r="AV26" i="5" s="1"/>
  <c r="AU11" i="5"/>
  <c r="AT11" i="5"/>
  <c r="AT31" i="5" s="1"/>
  <c r="AS11" i="5"/>
  <c r="AR11" i="5"/>
  <c r="AR31" i="5" s="1"/>
  <c r="AQ11" i="5"/>
  <c r="AP11" i="5"/>
  <c r="AP31" i="5" s="1"/>
  <c r="AO11" i="5"/>
  <c r="BH10" i="5"/>
  <c r="BH25" i="5" s="1"/>
  <c r="BG10" i="5"/>
  <c r="BF10" i="5"/>
  <c r="BE10" i="5"/>
  <c r="BD10" i="5"/>
  <c r="BC10" i="5"/>
  <c r="BB10" i="5"/>
  <c r="BA10" i="5"/>
  <c r="AZ10" i="5"/>
  <c r="AZ25" i="5" s="1"/>
  <c r="AY10" i="5"/>
  <c r="AX10" i="5"/>
  <c r="AX25" i="5" s="1"/>
  <c r="AW10" i="5"/>
  <c r="AV10" i="5"/>
  <c r="AU10" i="5"/>
  <c r="AT10" i="5"/>
  <c r="AT25" i="5" s="1"/>
  <c r="AS10" i="5"/>
  <c r="AR10" i="5"/>
  <c r="AR25" i="5" s="1"/>
  <c r="AQ10" i="5"/>
  <c r="AP10" i="5"/>
  <c r="AO10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BH5" i="5"/>
  <c r="BG5" i="5"/>
  <c r="BF5" i="5"/>
  <c r="BF25" i="5" s="1"/>
  <c r="BE5" i="5"/>
  <c r="BD5" i="5"/>
  <c r="BD25" i="5" s="1"/>
  <c r="BC5" i="5"/>
  <c r="BB5" i="5"/>
  <c r="BB25" i="5" s="1"/>
  <c r="BA5" i="5"/>
  <c r="AZ5" i="5"/>
  <c r="AY5" i="5"/>
  <c r="AX5" i="5"/>
  <c r="AW5" i="5"/>
  <c r="AV5" i="5"/>
  <c r="AV25" i="5" s="1"/>
  <c r="AU5" i="5"/>
  <c r="AT5" i="5"/>
  <c r="AS5" i="5"/>
  <c r="AR5" i="5"/>
  <c r="AQ5" i="5"/>
  <c r="AP5" i="5"/>
  <c r="AP25" i="5" s="1"/>
  <c r="AO5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BH3" i="5"/>
  <c r="BH23" i="5" s="1"/>
  <c r="BG3" i="5"/>
  <c r="BF3" i="5"/>
  <c r="BF23" i="5" s="1"/>
  <c r="BE3" i="5"/>
  <c r="BD3" i="5"/>
  <c r="BD24" i="5" s="1"/>
  <c r="BC3" i="5"/>
  <c r="BB3" i="5"/>
  <c r="BB24" i="5" s="1"/>
  <c r="BA3" i="5"/>
  <c r="AZ3" i="5"/>
  <c r="AZ24" i="5" s="1"/>
  <c r="AY3" i="5"/>
  <c r="AX3" i="5"/>
  <c r="AX24" i="5" s="1"/>
  <c r="AW3" i="5"/>
  <c r="AV3" i="5"/>
  <c r="AV24" i="5" s="1"/>
  <c r="AU3" i="5"/>
  <c r="AT3" i="5"/>
  <c r="AT24" i="5" s="1"/>
  <c r="AS3" i="5"/>
  <c r="AR3" i="5"/>
  <c r="AR23" i="5" s="1"/>
  <c r="AQ3" i="5"/>
  <c r="AP3" i="5"/>
  <c r="AP23" i="5" s="1"/>
  <c r="AO3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B42" i="5"/>
  <c r="Z42" i="5"/>
  <c r="AH41" i="5"/>
  <c r="AF41" i="5"/>
  <c r="AD41" i="5"/>
  <c r="AJ40" i="5"/>
  <c r="AH40" i="5"/>
  <c r="V40" i="5"/>
  <c r="AN39" i="5"/>
  <c r="AL39" i="5"/>
  <c r="X39" i="5"/>
  <c r="V39" i="5"/>
  <c r="AD38" i="5"/>
  <c r="AB38" i="5"/>
  <c r="Z38" i="5"/>
  <c r="AF37" i="5"/>
  <c r="AD37" i="5"/>
  <c r="AL36" i="5"/>
  <c r="AJ36" i="5"/>
  <c r="AH36" i="5"/>
  <c r="AN35" i="5"/>
  <c r="AL35" i="5"/>
  <c r="Z35" i="5"/>
  <c r="X35" i="5"/>
  <c r="V35" i="5"/>
  <c r="AB34" i="5"/>
  <c r="Z34" i="5"/>
  <c r="AH33" i="5"/>
  <c r="AF33" i="5"/>
  <c r="AD33" i="5"/>
  <c r="AJ32" i="5"/>
  <c r="AH32" i="5"/>
  <c r="AH27" i="5" s="1"/>
  <c r="V32" i="5"/>
  <c r="AN31" i="5"/>
  <c r="AL31" i="5"/>
  <c r="V31" i="5"/>
  <c r="AM29" i="5"/>
  <c r="AK29" i="5"/>
  <c r="AI29" i="5"/>
  <c r="AG29" i="5"/>
  <c r="AE29" i="5"/>
  <c r="AC29" i="5"/>
  <c r="AA29" i="5"/>
  <c r="Y29" i="5"/>
  <c r="W29" i="5"/>
  <c r="U29" i="5"/>
  <c r="AM28" i="5"/>
  <c r="AK28" i="5"/>
  <c r="AI28" i="5"/>
  <c r="AG28" i="5"/>
  <c r="AE28" i="5"/>
  <c r="AC28" i="5"/>
  <c r="AA28" i="5"/>
  <c r="Y28" i="5"/>
  <c r="W28" i="5"/>
  <c r="U28" i="5"/>
  <c r="AM27" i="5"/>
  <c r="AK27" i="5"/>
  <c r="AI27" i="5"/>
  <c r="AG27" i="5"/>
  <c r="AE27" i="5"/>
  <c r="AC27" i="5"/>
  <c r="AA27" i="5"/>
  <c r="Y27" i="5"/>
  <c r="W27" i="5"/>
  <c r="U27" i="5"/>
  <c r="AM26" i="5"/>
  <c r="AK26" i="5"/>
  <c r="AI26" i="5"/>
  <c r="AG26" i="5"/>
  <c r="AE26" i="5"/>
  <c r="AC26" i="5"/>
  <c r="AA26" i="5"/>
  <c r="Y26" i="5"/>
  <c r="W26" i="5"/>
  <c r="U26" i="5"/>
  <c r="AM25" i="5"/>
  <c r="AK25" i="5"/>
  <c r="AI25" i="5"/>
  <c r="AG25" i="5"/>
  <c r="AE25" i="5"/>
  <c r="AC25" i="5"/>
  <c r="AA25" i="5"/>
  <c r="Y25" i="5"/>
  <c r="W25" i="5"/>
  <c r="U25" i="5"/>
  <c r="AN24" i="5"/>
  <c r="AM24" i="5"/>
  <c r="AK24" i="5"/>
  <c r="AI24" i="5"/>
  <c r="AG24" i="5"/>
  <c r="AE24" i="5"/>
  <c r="AC24" i="5"/>
  <c r="AA24" i="5"/>
  <c r="Y24" i="5"/>
  <c r="X24" i="5"/>
  <c r="W24" i="5"/>
  <c r="U24" i="5"/>
  <c r="AM23" i="5"/>
  <c r="AK23" i="5"/>
  <c r="AI23" i="5"/>
  <c r="AG23" i="5"/>
  <c r="AE23" i="5"/>
  <c r="AC23" i="5"/>
  <c r="AA23" i="5"/>
  <c r="Y23" i="5"/>
  <c r="W23" i="5"/>
  <c r="U23" i="5"/>
  <c r="AN22" i="5"/>
  <c r="AN42" i="5" s="1"/>
  <c r="AM22" i="5"/>
  <c r="AL22" i="5"/>
  <c r="AL42" i="5" s="1"/>
  <c r="AK22" i="5"/>
  <c r="AJ22" i="5"/>
  <c r="AJ42" i="5" s="1"/>
  <c r="AI22" i="5"/>
  <c r="AH22" i="5"/>
  <c r="AH42" i="5" s="1"/>
  <c r="AG22" i="5"/>
  <c r="AF22" i="5"/>
  <c r="AF42" i="5" s="1"/>
  <c r="AE22" i="5"/>
  <c r="AD22" i="5"/>
  <c r="AD42" i="5" s="1"/>
  <c r="AC22" i="5"/>
  <c r="AB22" i="5"/>
  <c r="AA22" i="5"/>
  <c r="Z22" i="5"/>
  <c r="Y22" i="5"/>
  <c r="X22" i="5"/>
  <c r="X42" i="5" s="1"/>
  <c r="W22" i="5"/>
  <c r="V22" i="5"/>
  <c r="V42" i="5" s="1"/>
  <c r="U22" i="5"/>
  <c r="AN21" i="5"/>
  <c r="AN41" i="5" s="1"/>
  <c r="AM21" i="5"/>
  <c r="AL21" i="5"/>
  <c r="AL41" i="5" s="1"/>
  <c r="AK21" i="5"/>
  <c r="AJ21" i="5"/>
  <c r="AJ41" i="5" s="1"/>
  <c r="AI21" i="5"/>
  <c r="AH21" i="5"/>
  <c r="AG21" i="5"/>
  <c r="AF21" i="5"/>
  <c r="AE21" i="5"/>
  <c r="AD21" i="5"/>
  <c r="AC21" i="5"/>
  <c r="AB21" i="5"/>
  <c r="AB41" i="5" s="1"/>
  <c r="AA21" i="5"/>
  <c r="Z21" i="5"/>
  <c r="Z41" i="5" s="1"/>
  <c r="Y21" i="5"/>
  <c r="X21" i="5"/>
  <c r="X41" i="5" s="1"/>
  <c r="W21" i="5"/>
  <c r="V21" i="5"/>
  <c r="V41" i="5" s="1"/>
  <c r="U21" i="5"/>
  <c r="AN20" i="5"/>
  <c r="AN40" i="5" s="1"/>
  <c r="AM20" i="5"/>
  <c r="AL20" i="5"/>
  <c r="AL40" i="5" s="1"/>
  <c r="AK20" i="5"/>
  <c r="AJ20" i="5"/>
  <c r="AI20" i="5"/>
  <c r="AH20" i="5"/>
  <c r="AG20" i="5"/>
  <c r="AF20" i="5"/>
  <c r="AF40" i="5" s="1"/>
  <c r="AE20" i="5"/>
  <c r="AD20" i="5"/>
  <c r="AD40" i="5" s="1"/>
  <c r="AC20" i="5"/>
  <c r="AB20" i="5"/>
  <c r="AB40" i="5" s="1"/>
  <c r="AA20" i="5"/>
  <c r="Z20" i="5"/>
  <c r="Z40" i="5" s="1"/>
  <c r="Y20" i="5"/>
  <c r="X20" i="5"/>
  <c r="X40" i="5" s="1"/>
  <c r="W20" i="5"/>
  <c r="V20" i="5"/>
  <c r="U20" i="5"/>
  <c r="AN19" i="5"/>
  <c r="AM19" i="5"/>
  <c r="AL19" i="5"/>
  <c r="AK19" i="5"/>
  <c r="AJ19" i="5"/>
  <c r="AJ39" i="5" s="1"/>
  <c r="AI19" i="5"/>
  <c r="AH19" i="5"/>
  <c r="AH39" i="5" s="1"/>
  <c r="AG19" i="5"/>
  <c r="AF19" i="5"/>
  <c r="AF39" i="5" s="1"/>
  <c r="AE19" i="5"/>
  <c r="AD19" i="5"/>
  <c r="AD39" i="5" s="1"/>
  <c r="AC19" i="5"/>
  <c r="AB19" i="5"/>
  <c r="AB39" i="5" s="1"/>
  <c r="AA19" i="5"/>
  <c r="Z19" i="5"/>
  <c r="Z39" i="5" s="1"/>
  <c r="Y19" i="5"/>
  <c r="X19" i="5"/>
  <c r="W19" i="5"/>
  <c r="V19" i="5"/>
  <c r="U19" i="5"/>
  <c r="AN18" i="5"/>
  <c r="AN38" i="5" s="1"/>
  <c r="AM18" i="5"/>
  <c r="AL18" i="5"/>
  <c r="AL38" i="5" s="1"/>
  <c r="AK18" i="5"/>
  <c r="AJ18" i="5"/>
  <c r="AJ38" i="5" s="1"/>
  <c r="AI18" i="5"/>
  <c r="AH18" i="5"/>
  <c r="AH38" i="5" s="1"/>
  <c r="AG18" i="5"/>
  <c r="AF18" i="5"/>
  <c r="AF38" i="5" s="1"/>
  <c r="AE18" i="5"/>
  <c r="AD18" i="5"/>
  <c r="AC18" i="5"/>
  <c r="AB18" i="5"/>
  <c r="AA18" i="5"/>
  <c r="Z18" i="5"/>
  <c r="Y18" i="5"/>
  <c r="X18" i="5"/>
  <c r="X38" i="5" s="1"/>
  <c r="W18" i="5"/>
  <c r="V18" i="5"/>
  <c r="V38" i="5" s="1"/>
  <c r="U18" i="5"/>
  <c r="AN17" i="5"/>
  <c r="AN37" i="5" s="1"/>
  <c r="AM17" i="5"/>
  <c r="AL17" i="5"/>
  <c r="AL37" i="5" s="1"/>
  <c r="AK17" i="5"/>
  <c r="AJ17" i="5"/>
  <c r="AJ37" i="5" s="1"/>
  <c r="AI17" i="5"/>
  <c r="AH17" i="5"/>
  <c r="AH37" i="5" s="1"/>
  <c r="AG17" i="5"/>
  <c r="AF17" i="5"/>
  <c r="AE17" i="5"/>
  <c r="AD17" i="5"/>
  <c r="AC17" i="5"/>
  <c r="AB17" i="5"/>
  <c r="AB37" i="5" s="1"/>
  <c r="AA17" i="5"/>
  <c r="Z17" i="5"/>
  <c r="Z37" i="5" s="1"/>
  <c r="Y17" i="5"/>
  <c r="X17" i="5"/>
  <c r="X37" i="5" s="1"/>
  <c r="W17" i="5"/>
  <c r="V17" i="5"/>
  <c r="V37" i="5" s="1"/>
  <c r="U17" i="5"/>
  <c r="AN16" i="5"/>
  <c r="AN36" i="5" s="1"/>
  <c r="AM16" i="5"/>
  <c r="AL16" i="5"/>
  <c r="AK16" i="5"/>
  <c r="AJ16" i="5"/>
  <c r="AI16" i="5"/>
  <c r="AH16" i="5"/>
  <c r="AG16" i="5"/>
  <c r="AF16" i="5"/>
  <c r="AF36" i="5" s="1"/>
  <c r="AE16" i="5"/>
  <c r="AD16" i="5"/>
  <c r="AD36" i="5" s="1"/>
  <c r="AC16" i="5"/>
  <c r="AB16" i="5"/>
  <c r="AB36" i="5" s="1"/>
  <c r="AA16" i="5"/>
  <c r="Z16" i="5"/>
  <c r="Z36" i="5" s="1"/>
  <c r="Y16" i="5"/>
  <c r="X16" i="5"/>
  <c r="X36" i="5" s="1"/>
  <c r="W16" i="5"/>
  <c r="V16" i="5"/>
  <c r="V36" i="5" s="1"/>
  <c r="U16" i="5"/>
  <c r="AN15" i="5"/>
  <c r="AM15" i="5"/>
  <c r="AL15" i="5"/>
  <c r="AK15" i="5"/>
  <c r="AJ15" i="5"/>
  <c r="AJ35" i="5" s="1"/>
  <c r="AI15" i="5"/>
  <c r="AH15" i="5"/>
  <c r="AH35" i="5" s="1"/>
  <c r="AG15" i="5"/>
  <c r="AF15" i="5"/>
  <c r="AF35" i="5" s="1"/>
  <c r="AE15" i="5"/>
  <c r="AD15" i="5"/>
  <c r="AD35" i="5" s="1"/>
  <c r="AC15" i="5"/>
  <c r="AB15" i="5"/>
  <c r="AB35" i="5" s="1"/>
  <c r="AA15" i="5"/>
  <c r="Z15" i="5"/>
  <c r="Y15" i="5"/>
  <c r="X15" i="5"/>
  <c r="W15" i="5"/>
  <c r="V15" i="5"/>
  <c r="U15" i="5"/>
  <c r="AN14" i="5"/>
  <c r="AN34" i="5" s="1"/>
  <c r="AM14" i="5"/>
  <c r="AL14" i="5"/>
  <c r="AL34" i="5" s="1"/>
  <c r="AK14" i="5"/>
  <c r="AJ14" i="5"/>
  <c r="AJ34" i="5" s="1"/>
  <c r="AI14" i="5"/>
  <c r="AH14" i="5"/>
  <c r="AH34" i="5" s="1"/>
  <c r="AG14" i="5"/>
  <c r="AF14" i="5"/>
  <c r="AF34" i="5" s="1"/>
  <c r="AE14" i="5"/>
  <c r="AD14" i="5"/>
  <c r="AD34" i="5" s="1"/>
  <c r="AC14" i="5"/>
  <c r="AB14" i="5"/>
  <c r="AA14" i="5"/>
  <c r="Z14" i="5"/>
  <c r="Y14" i="5"/>
  <c r="X14" i="5"/>
  <c r="X34" i="5" s="1"/>
  <c r="W14" i="5"/>
  <c r="V14" i="5"/>
  <c r="V34" i="5" s="1"/>
  <c r="U14" i="5"/>
  <c r="AN13" i="5"/>
  <c r="AN33" i="5" s="1"/>
  <c r="AM13" i="5"/>
  <c r="AL13" i="5"/>
  <c r="AL33" i="5" s="1"/>
  <c r="AK13" i="5"/>
  <c r="AJ13" i="5"/>
  <c r="AJ33" i="5" s="1"/>
  <c r="AI13" i="5"/>
  <c r="AH13" i="5"/>
  <c r="AG13" i="5"/>
  <c r="AF13" i="5"/>
  <c r="AE13" i="5"/>
  <c r="AD13" i="5"/>
  <c r="AC13" i="5"/>
  <c r="AB13" i="5"/>
  <c r="AB33" i="5" s="1"/>
  <c r="AA13" i="5"/>
  <c r="Z13" i="5"/>
  <c r="Z33" i="5" s="1"/>
  <c r="Y13" i="5"/>
  <c r="X13" i="5"/>
  <c r="X33" i="5" s="1"/>
  <c r="W13" i="5"/>
  <c r="V13" i="5"/>
  <c r="V33" i="5" s="1"/>
  <c r="U13" i="5"/>
  <c r="AN12" i="5"/>
  <c r="AN32" i="5" s="1"/>
  <c r="AM12" i="5"/>
  <c r="AL12" i="5"/>
  <c r="AL32" i="5" s="1"/>
  <c r="AK12" i="5"/>
  <c r="AJ12" i="5"/>
  <c r="AI12" i="5"/>
  <c r="AH12" i="5"/>
  <c r="AG12" i="5"/>
  <c r="AF12" i="5"/>
  <c r="AF32" i="5" s="1"/>
  <c r="AF27" i="5" s="1"/>
  <c r="AE12" i="5"/>
  <c r="AD12" i="5"/>
  <c r="AD32" i="5" s="1"/>
  <c r="AD27" i="5" s="1"/>
  <c r="AC12" i="5"/>
  <c r="AB12" i="5"/>
  <c r="AB32" i="5" s="1"/>
  <c r="AA12" i="5"/>
  <c r="Z12" i="5"/>
  <c r="Z32" i="5" s="1"/>
  <c r="Y12" i="5"/>
  <c r="X12" i="5"/>
  <c r="X32" i="5" s="1"/>
  <c r="W12" i="5"/>
  <c r="V12" i="5"/>
  <c r="U12" i="5"/>
  <c r="AN11" i="5"/>
  <c r="AM11" i="5"/>
  <c r="AL11" i="5"/>
  <c r="AK11" i="5"/>
  <c r="AJ11" i="5"/>
  <c r="AJ31" i="5" s="1"/>
  <c r="AJ26" i="5" s="1"/>
  <c r="AI11" i="5"/>
  <c r="AH11" i="5"/>
  <c r="AH31" i="5" s="1"/>
  <c r="AH26" i="5" s="1"/>
  <c r="AG11" i="5"/>
  <c r="AF11" i="5"/>
  <c r="AF31" i="5" s="1"/>
  <c r="AE11" i="5"/>
  <c r="AD11" i="5"/>
  <c r="AD31" i="5" s="1"/>
  <c r="AC11" i="5"/>
  <c r="AB11" i="5"/>
  <c r="AB31" i="5" s="1"/>
  <c r="AA11" i="5"/>
  <c r="Z11" i="5"/>
  <c r="Z31" i="5" s="1"/>
  <c r="Y11" i="5"/>
  <c r="X11" i="5"/>
  <c r="X31" i="5" s="1"/>
  <c r="W11" i="5"/>
  <c r="V11" i="5"/>
  <c r="U11" i="5"/>
  <c r="AN10" i="5"/>
  <c r="AN25" i="5" s="1"/>
  <c r="AM10" i="5"/>
  <c r="AL10" i="5"/>
  <c r="AL25" i="5" s="1"/>
  <c r="AK10" i="5"/>
  <c r="AJ10" i="5"/>
  <c r="AI10" i="5"/>
  <c r="AH10" i="5"/>
  <c r="AH25" i="5" s="1"/>
  <c r="AG10" i="5"/>
  <c r="AF10" i="5"/>
  <c r="AF25" i="5" s="1"/>
  <c r="AE10" i="5"/>
  <c r="AD10" i="5"/>
  <c r="AD25" i="5" s="1"/>
  <c r="AC10" i="5"/>
  <c r="AB10" i="5"/>
  <c r="AA10" i="5"/>
  <c r="Z10" i="5"/>
  <c r="Y10" i="5"/>
  <c r="X10" i="5"/>
  <c r="X25" i="5" s="1"/>
  <c r="W10" i="5"/>
  <c r="V10" i="5"/>
  <c r="V25" i="5" s="1"/>
  <c r="U10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AN5" i="5"/>
  <c r="AM5" i="5"/>
  <c r="AL5" i="5"/>
  <c r="AL24" i="5" s="1"/>
  <c r="AK5" i="5"/>
  <c r="AJ5" i="5"/>
  <c r="AJ25" i="5" s="1"/>
  <c r="AI5" i="5"/>
  <c r="AH5" i="5"/>
  <c r="AG5" i="5"/>
  <c r="AF5" i="5"/>
  <c r="AE5" i="5"/>
  <c r="AD5" i="5"/>
  <c r="AC5" i="5"/>
  <c r="AB5" i="5"/>
  <c r="AB25" i="5" s="1"/>
  <c r="AA5" i="5"/>
  <c r="Z5" i="5"/>
  <c r="Z25" i="5" s="1"/>
  <c r="Y5" i="5"/>
  <c r="X5" i="5"/>
  <c r="W5" i="5"/>
  <c r="V5" i="5"/>
  <c r="V24" i="5" s="1"/>
  <c r="U5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AN3" i="5"/>
  <c r="AN23" i="5" s="1"/>
  <c r="AM3" i="5"/>
  <c r="AL3" i="5"/>
  <c r="AL23" i="5" s="1"/>
  <c r="AK3" i="5"/>
  <c r="AJ3" i="5"/>
  <c r="AJ24" i="5" s="1"/>
  <c r="AI3" i="5"/>
  <c r="AH3" i="5"/>
  <c r="AH24" i="5" s="1"/>
  <c r="AG3" i="5"/>
  <c r="AF3" i="5"/>
  <c r="AF24" i="5" s="1"/>
  <c r="AE3" i="5"/>
  <c r="AD3" i="5"/>
  <c r="AD24" i="5" s="1"/>
  <c r="AC3" i="5"/>
  <c r="AB3" i="5"/>
  <c r="AB24" i="5" s="1"/>
  <c r="AA3" i="5"/>
  <c r="Z3" i="5"/>
  <c r="Z24" i="5" s="1"/>
  <c r="Y3" i="5"/>
  <c r="X3" i="5"/>
  <c r="X23" i="5" s="1"/>
  <c r="W3" i="5"/>
  <c r="V3" i="5"/>
  <c r="V23" i="5" s="1"/>
  <c r="U3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35" i="5"/>
  <c r="T31" i="5"/>
  <c r="S29" i="5"/>
  <c r="S28" i="5"/>
  <c r="S27" i="5"/>
  <c r="S26" i="5"/>
  <c r="S25" i="5"/>
  <c r="S24" i="5"/>
  <c r="S23" i="5"/>
  <c r="T22" i="5"/>
  <c r="T42" i="5" s="1"/>
  <c r="S22" i="5"/>
  <c r="T21" i="5"/>
  <c r="T41" i="5" s="1"/>
  <c r="S21" i="5"/>
  <c r="T20" i="5"/>
  <c r="T40" i="5" s="1"/>
  <c r="S20" i="5"/>
  <c r="T19" i="5"/>
  <c r="T39" i="5" s="1"/>
  <c r="S19" i="5"/>
  <c r="T18" i="5"/>
  <c r="T38" i="5" s="1"/>
  <c r="S18" i="5"/>
  <c r="T17" i="5"/>
  <c r="T37" i="5" s="1"/>
  <c r="S17" i="5"/>
  <c r="T16" i="5"/>
  <c r="T36" i="5" s="1"/>
  <c r="S16" i="5"/>
  <c r="T15" i="5"/>
  <c r="S15" i="5"/>
  <c r="T14" i="5"/>
  <c r="T34" i="5" s="1"/>
  <c r="S14" i="5"/>
  <c r="T13" i="5"/>
  <c r="T33" i="5" s="1"/>
  <c r="S13" i="5"/>
  <c r="T12" i="5"/>
  <c r="T32" i="5" s="1"/>
  <c r="T27" i="5" s="1"/>
  <c r="S12" i="5"/>
  <c r="T11" i="5"/>
  <c r="S11" i="5"/>
  <c r="T10" i="5"/>
  <c r="T25" i="5" s="1"/>
  <c r="S10" i="5"/>
  <c r="T9" i="5"/>
  <c r="S9" i="5"/>
  <c r="T8" i="5"/>
  <c r="S8" i="5"/>
  <c r="T7" i="5"/>
  <c r="S7" i="5"/>
  <c r="T6" i="5"/>
  <c r="S6" i="5"/>
  <c r="T5" i="5"/>
  <c r="T23" i="5" s="1"/>
  <c r="S5" i="5"/>
  <c r="T4" i="5"/>
  <c r="S4" i="5"/>
  <c r="T3" i="5"/>
  <c r="T24" i="5" s="1"/>
  <c r="S3" i="5"/>
  <c r="T2" i="5"/>
  <c r="S2" i="5"/>
  <c r="T1" i="5"/>
  <c r="S1" i="5"/>
  <c r="R31" i="5"/>
  <c r="Q29" i="5"/>
  <c r="Q28" i="5"/>
  <c r="Q27" i="5"/>
  <c r="Q26" i="5"/>
  <c r="Q25" i="5"/>
  <c r="Q24" i="5"/>
  <c r="Q23" i="5"/>
  <c r="R22" i="5"/>
  <c r="R42" i="5" s="1"/>
  <c r="Q22" i="5"/>
  <c r="R21" i="5"/>
  <c r="R41" i="5" s="1"/>
  <c r="Q21" i="5"/>
  <c r="R20" i="5"/>
  <c r="R40" i="5" s="1"/>
  <c r="Q20" i="5"/>
  <c r="R19" i="5"/>
  <c r="R39" i="5" s="1"/>
  <c r="Q19" i="5"/>
  <c r="R18" i="5"/>
  <c r="R38" i="5" s="1"/>
  <c r="Q18" i="5"/>
  <c r="R17" i="5"/>
  <c r="R37" i="5" s="1"/>
  <c r="Q17" i="5"/>
  <c r="R16" i="5"/>
  <c r="R36" i="5" s="1"/>
  <c r="Q16" i="5"/>
  <c r="R15" i="5"/>
  <c r="R35" i="5" s="1"/>
  <c r="Q15" i="5"/>
  <c r="R14" i="5"/>
  <c r="R34" i="5" s="1"/>
  <c r="Q14" i="5"/>
  <c r="R13" i="5"/>
  <c r="R33" i="5" s="1"/>
  <c r="Q13" i="5"/>
  <c r="R12" i="5"/>
  <c r="R32" i="5" s="1"/>
  <c r="R27" i="5" s="1"/>
  <c r="Q12" i="5"/>
  <c r="R11" i="5"/>
  <c r="Q11" i="5"/>
  <c r="R10" i="5"/>
  <c r="R25" i="5" s="1"/>
  <c r="Q10" i="5"/>
  <c r="R9" i="5"/>
  <c r="Q9" i="5"/>
  <c r="R8" i="5"/>
  <c r="Q8" i="5"/>
  <c r="R7" i="5"/>
  <c r="Q7" i="5"/>
  <c r="R6" i="5"/>
  <c r="Q6" i="5"/>
  <c r="R5" i="5"/>
  <c r="Q5" i="5"/>
  <c r="R4" i="5"/>
  <c r="Q4" i="5"/>
  <c r="R3" i="5"/>
  <c r="R24" i="5" s="1"/>
  <c r="Q3" i="5"/>
  <c r="R2" i="5"/>
  <c r="Q2" i="5"/>
  <c r="R1" i="5"/>
  <c r="Q1" i="5"/>
  <c r="P31" i="5"/>
  <c r="O29" i="5"/>
  <c r="O28" i="5"/>
  <c r="O27" i="5"/>
  <c r="O26" i="5"/>
  <c r="O25" i="5"/>
  <c r="O24" i="5"/>
  <c r="O23" i="5"/>
  <c r="P22" i="5"/>
  <c r="P42" i="5" s="1"/>
  <c r="O22" i="5"/>
  <c r="P21" i="5"/>
  <c r="P41" i="5" s="1"/>
  <c r="O21" i="5"/>
  <c r="P20" i="5"/>
  <c r="P40" i="5" s="1"/>
  <c r="O20" i="5"/>
  <c r="P19" i="5"/>
  <c r="P39" i="5" s="1"/>
  <c r="O19" i="5"/>
  <c r="P18" i="5"/>
  <c r="P38" i="5" s="1"/>
  <c r="O18" i="5"/>
  <c r="P17" i="5"/>
  <c r="P37" i="5" s="1"/>
  <c r="O17" i="5"/>
  <c r="P16" i="5"/>
  <c r="P36" i="5" s="1"/>
  <c r="O16" i="5"/>
  <c r="P15" i="5"/>
  <c r="P35" i="5" s="1"/>
  <c r="O15" i="5"/>
  <c r="P14" i="5"/>
  <c r="P34" i="5" s="1"/>
  <c r="O14" i="5"/>
  <c r="P13" i="5"/>
  <c r="P33" i="5" s="1"/>
  <c r="O13" i="5"/>
  <c r="P12" i="5"/>
  <c r="P32" i="5" s="1"/>
  <c r="P27" i="5" s="1"/>
  <c r="O12" i="5"/>
  <c r="P11" i="5"/>
  <c r="O11" i="5"/>
  <c r="P10" i="5"/>
  <c r="P25" i="5" s="1"/>
  <c r="O10" i="5"/>
  <c r="P9" i="5"/>
  <c r="O9" i="5"/>
  <c r="P8" i="5"/>
  <c r="O8" i="5"/>
  <c r="P7" i="5"/>
  <c r="O7" i="5"/>
  <c r="P6" i="5"/>
  <c r="O6" i="5"/>
  <c r="P5" i="5"/>
  <c r="P24" i="5" s="1"/>
  <c r="O5" i="5"/>
  <c r="P4" i="5"/>
  <c r="O4" i="5"/>
  <c r="P3" i="5"/>
  <c r="O3" i="5"/>
  <c r="P2" i="5"/>
  <c r="O2" i="5"/>
  <c r="P1" i="5"/>
  <c r="O1" i="5"/>
  <c r="N37" i="5"/>
  <c r="N35" i="5"/>
  <c r="N31" i="5"/>
  <c r="M29" i="5"/>
  <c r="M28" i="5"/>
  <c r="M27" i="5"/>
  <c r="M26" i="5"/>
  <c r="M25" i="5"/>
  <c r="M24" i="5"/>
  <c r="M23" i="5"/>
  <c r="N22" i="5"/>
  <c r="N42" i="5" s="1"/>
  <c r="M22" i="5"/>
  <c r="N21" i="5"/>
  <c r="N41" i="5" s="1"/>
  <c r="M21" i="5"/>
  <c r="N20" i="5"/>
  <c r="N40" i="5" s="1"/>
  <c r="M20" i="5"/>
  <c r="N19" i="5"/>
  <c r="N39" i="5" s="1"/>
  <c r="M19" i="5"/>
  <c r="N18" i="5"/>
  <c r="N38" i="5" s="1"/>
  <c r="M18" i="5"/>
  <c r="N17" i="5"/>
  <c r="M17" i="5"/>
  <c r="N16" i="5"/>
  <c r="N36" i="5" s="1"/>
  <c r="M16" i="5"/>
  <c r="N15" i="5"/>
  <c r="M15" i="5"/>
  <c r="N14" i="5"/>
  <c r="N34" i="5" s="1"/>
  <c r="M14" i="5"/>
  <c r="N13" i="5"/>
  <c r="N33" i="5" s="1"/>
  <c r="M13" i="5"/>
  <c r="N12" i="5"/>
  <c r="N32" i="5" s="1"/>
  <c r="N27" i="5" s="1"/>
  <c r="M12" i="5"/>
  <c r="N11" i="5"/>
  <c r="M11" i="5"/>
  <c r="N10" i="5"/>
  <c r="N25" i="5" s="1"/>
  <c r="M10" i="5"/>
  <c r="N9" i="5"/>
  <c r="M9" i="5"/>
  <c r="N8" i="5"/>
  <c r="M8" i="5"/>
  <c r="N7" i="5"/>
  <c r="M7" i="5"/>
  <c r="N6" i="5"/>
  <c r="M6" i="5"/>
  <c r="N5" i="5"/>
  <c r="N24" i="5" s="1"/>
  <c r="M5" i="5"/>
  <c r="N4" i="5"/>
  <c r="M4" i="5"/>
  <c r="N3" i="5"/>
  <c r="M3" i="5"/>
  <c r="N2" i="5"/>
  <c r="M2" i="5"/>
  <c r="N1" i="5"/>
  <c r="M1" i="5"/>
  <c r="L35" i="5"/>
  <c r="L33" i="5"/>
  <c r="L31" i="5"/>
  <c r="K29" i="5"/>
  <c r="K28" i="5"/>
  <c r="K27" i="5"/>
  <c r="K26" i="5"/>
  <c r="K25" i="5"/>
  <c r="K24" i="5"/>
  <c r="K23" i="5"/>
  <c r="L22" i="5"/>
  <c r="L42" i="5" s="1"/>
  <c r="K22" i="5"/>
  <c r="L21" i="5"/>
  <c r="L41" i="5" s="1"/>
  <c r="K21" i="5"/>
  <c r="L20" i="5"/>
  <c r="L40" i="5" s="1"/>
  <c r="K20" i="5"/>
  <c r="L19" i="5"/>
  <c r="L39" i="5" s="1"/>
  <c r="K19" i="5"/>
  <c r="L18" i="5"/>
  <c r="L38" i="5" s="1"/>
  <c r="K18" i="5"/>
  <c r="L17" i="5"/>
  <c r="L37" i="5" s="1"/>
  <c r="K17" i="5"/>
  <c r="L16" i="5"/>
  <c r="L36" i="5" s="1"/>
  <c r="K16" i="5"/>
  <c r="L15" i="5"/>
  <c r="K15" i="5"/>
  <c r="L14" i="5"/>
  <c r="L34" i="5" s="1"/>
  <c r="K14" i="5"/>
  <c r="L13" i="5"/>
  <c r="K13" i="5"/>
  <c r="L12" i="5"/>
  <c r="L32" i="5" s="1"/>
  <c r="L27" i="5" s="1"/>
  <c r="K12" i="5"/>
  <c r="L11" i="5"/>
  <c r="K11" i="5"/>
  <c r="L10" i="5"/>
  <c r="L25" i="5" s="1"/>
  <c r="K10" i="5"/>
  <c r="L9" i="5"/>
  <c r="K9" i="5"/>
  <c r="L8" i="5"/>
  <c r="K8" i="5"/>
  <c r="L7" i="5"/>
  <c r="K7" i="5"/>
  <c r="L6" i="5"/>
  <c r="K6" i="5"/>
  <c r="L5" i="5"/>
  <c r="L23" i="5" s="1"/>
  <c r="K5" i="5"/>
  <c r="L4" i="5"/>
  <c r="K4" i="5"/>
  <c r="L3" i="5"/>
  <c r="L24" i="5" s="1"/>
  <c r="K3" i="5"/>
  <c r="L2" i="5"/>
  <c r="K2" i="5"/>
  <c r="L1" i="5"/>
  <c r="K1" i="5"/>
  <c r="J39" i="5"/>
  <c r="J38" i="5"/>
  <c r="J31" i="5"/>
  <c r="I29" i="5"/>
  <c r="I28" i="5"/>
  <c r="I27" i="5"/>
  <c r="I26" i="5"/>
  <c r="I25" i="5"/>
  <c r="I24" i="5"/>
  <c r="I23" i="5"/>
  <c r="J22" i="5"/>
  <c r="J42" i="5" s="1"/>
  <c r="I22" i="5"/>
  <c r="J21" i="5"/>
  <c r="J41" i="5" s="1"/>
  <c r="I21" i="5"/>
  <c r="J20" i="5"/>
  <c r="J40" i="5" s="1"/>
  <c r="I20" i="5"/>
  <c r="J19" i="5"/>
  <c r="I19" i="5"/>
  <c r="J18" i="5"/>
  <c r="I18" i="5"/>
  <c r="J17" i="5"/>
  <c r="J37" i="5" s="1"/>
  <c r="I17" i="5"/>
  <c r="J16" i="5"/>
  <c r="J36" i="5" s="1"/>
  <c r="I16" i="5"/>
  <c r="J15" i="5"/>
  <c r="J35" i="5" s="1"/>
  <c r="I15" i="5"/>
  <c r="J14" i="5"/>
  <c r="J34" i="5" s="1"/>
  <c r="I14" i="5"/>
  <c r="J13" i="5"/>
  <c r="J33" i="5" s="1"/>
  <c r="I13" i="5"/>
  <c r="J12" i="5"/>
  <c r="J32" i="5" s="1"/>
  <c r="J27" i="5" s="1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J25" i="5" s="1"/>
  <c r="I5" i="5"/>
  <c r="J4" i="5"/>
  <c r="I4" i="5"/>
  <c r="J3" i="5"/>
  <c r="I3" i="5"/>
  <c r="J2" i="5"/>
  <c r="I2" i="5"/>
  <c r="J1" i="5"/>
  <c r="I1" i="5"/>
  <c r="H38" i="5"/>
  <c r="H35" i="5"/>
  <c r="H33" i="5"/>
  <c r="H32" i="5"/>
  <c r="H31" i="5"/>
  <c r="G29" i="5"/>
  <c r="G28" i="5"/>
  <c r="G27" i="5"/>
  <c r="G26" i="5"/>
  <c r="G25" i="5"/>
  <c r="G24" i="5"/>
  <c r="G23" i="5"/>
  <c r="H22" i="5"/>
  <c r="H42" i="5" s="1"/>
  <c r="G22" i="5"/>
  <c r="H21" i="5"/>
  <c r="H41" i="5" s="1"/>
  <c r="G21" i="5"/>
  <c r="H20" i="5"/>
  <c r="H40" i="5" s="1"/>
  <c r="G20" i="5"/>
  <c r="H19" i="5"/>
  <c r="H39" i="5" s="1"/>
  <c r="G19" i="5"/>
  <c r="H18" i="5"/>
  <c r="G18" i="5"/>
  <c r="H17" i="5"/>
  <c r="H37" i="5" s="1"/>
  <c r="G17" i="5"/>
  <c r="H16" i="5"/>
  <c r="H36" i="5" s="1"/>
  <c r="G16" i="5"/>
  <c r="H15" i="5"/>
  <c r="G15" i="5"/>
  <c r="H14" i="5"/>
  <c r="H34" i="5" s="1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H25" i="5" s="1"/>
  <c r="G5" i="5"/>
  <c r="H4" i="5"/>
  <c r="G4" i="5"/>
  <c r="H3" i="5"/>
  <c r="H24" i="5" s="1"/>
  <c r="G3" i="5"/>
  <c r="H2" i="5"/>
  <c r="G2" i="5"/>
  <c r="H1" i="5"/>
  <c r="G1" i="5"/>
  <c r="F37" i="5"/>
  <c r="F31" i="5"/>
  <c r="E29" i="5"/>
  <c r="E28" i="5"/>
  <c r="E27" i="5"/>
  <c r="E26" i="5"/>
  <c r="E25" i="5"/>
  <c r="E24" i="5"/>
  <c r="E23" i="5"/>
  <c r="F22" i="5"/>
  <c r="F42" i="5" s="1"/>
  <c r="E22" i="5"/>
  <c r="F21" i="5"/>
  <c r="F41" i="5" s="1"/>
  <c r="E21" i="5"/>
  <c r="F20" i="5"/>
  <c r="F40" i="5" s="1"/>
  <c r="E20" i="5"/>
  <c r="F19" i="5"/>
  <c r="F39" i="5" s="1"/>
  <c r="E19" i="5"/>
  <c r="F18" i="5"/>
  <c r="F38" i="5" s="1"/>
  <c r="E18" i="5"/>
  <c r="F17" i="5"/>
  <c r="E17" i="5"/>
  <c r="F16" i="5"/>
  <c r="F36" i="5" s="1"/>
  <c r="E16" i="5"/>
  <c r="F15" i="5"/>
  <c r="F35" i="5" s="1"/>
  <c r="E15" i="5"/>
  <c r="F14" i="5"/>
  <c r="F34" i="5" s="1"/>
  <c r="E14" i="5"/>
  <c r="F13" i="5"/>
  <c r="F33" i="5" s="1"/>
  <c r="E13" i="5"/>
  <c r="F12" i="5"/>
  <c r="F32" i="5" s="1"/>
  <c r="F27" i="5" s="1"/>
  <c r="E12" i="5"/>
  <c r="F11" i="5"/>
  <c r="E11" i="5"/>
  <c r="F10" i="5"/>
  <c r="F25" i="5" s="1"/>
  <c r="E10" i="5"/>
  <c r="F9" i="5"/>
  <c r="E9" i="5"/>
  <c r="F8" i="5"/>
  <c r="E8" i="5"/>
  <c r="F7" i="5"/>
  <c r="E7" i="5"/>
  <c r="F6" i="5"/>
  <c r="E6" i="5"/>
  <c r="F5" i="5"/>
  <c r="F24" i="5" s="1"/>
  <c r="E5" i="5"/>
  <c r="F4" i="5"/>
  <c r="E4" i="5"/>
  <c r="F3" i="5"/>
  <c r="E3" i="5"/>
  <c r="F2" i="5"/>
  <c r="E2" i="5"/>
  <c r="F1" i="5"/>
  <c r="E1" i="5"/>
  <c r="D39" i="5"/>
  <c r="D37" i="5"/>
  <c r="D31" i="5"/>
  <c r="C29" i="5"/>
  <c r="C28" i="5"/>
  <c r="C27" i="5"/>
  <c r="C26" i="5"/>
  <c r="C25" i="5"/>
  <c r="C24" i="5"/>
  <c r="C23" i="5"/>
  <c r="D22" i="5"/>
  <c r="D42" i="5" s="1"/>
  <c r="C22" i="5"/>
  <c r="D21" i="5"/>
  <c r="D41" i="5" s="1"/>
  <c r="C21" i="5"/>
  <c r="D20" i="5"/>
  <c r="D40" i="5" s="1"/>
  <c r="C20" i="5"/>
  <c r="D19" i="5"/>
  <c r="C19" i="5"/>
  <c r="D18" i="5"/>
  <c r="D38" i="5" s="1"/>
  <c r="C18" i="5"/>
  <c r="D17" i="5"/>
  <c r="C17" i="5"/>
  <c r="D16" i="5"/>
  <c r="D36" i="5" s="1"/>
  <c r="C16" i="5"/>
  <c r="D15" i="5"/>
  <c r="D35" i="5" s="1"/>
  <c r="C15" i="5"/>
  <c r="D14" i="5"/>
  <c r="D34" i="5" s="1"/>
  <c r="C14" i="5"/>
  <c r="D13" i="5"/>
  <c r="D33" i="5" s="1"/>
  <c r="C13" i="5"/>
  <c r="D12" i="5"/>
  <c r="D32" i="5" s="1"/>
  <c r="C12" i="5"/>
  <c r="D11" i="5"/>
  <c r="C11" i="5"/>
  <c r="D10" i="5"/>
  <c r="D25" i="5" s="1"/>
  <c r="C10" i="5"/>
  <c r="D9" i="5"/>
  <c r="C9" i="5"/>
  <c r="D8" i="5"/>
  <c r="C8" i="5"/>
  <c r="D7" i="5"/>
  <c r="C7" i="5"/>
  <c r="D6" i="5"/>
  <c r="C6" i="5"/>
  <c r="D5" i="5"/>
  <c r="D24" i="5" s="1"/>
  <c r="C5" i="5"/>
  <c r="D4" i="5"/>
  <c r="C4" i="5"/>
  <c r="D3" i="5"/>
  <c r="C3" i="5"/>
  <c r="D2" i="5"/>
  <c r="C2" i="5"/>
  <c r="D1" i="5"/>
  <c r="C1" i="5"/>
  <c r="B10" i="5"/>
  <c r="B7" i="5"/>
  <c r="B5" i="5"/>
  <c r="B3" i="5"/>
  <c r="B12" i="5"/>
  <c r="B32" i="5" s="1"/>
  <c r="B27" i="5" s="1"/>
  <c r="B13" i="5"/>
  <c r="B14" i="5"/>
  <c r="B15" i="5"/>
  <c r="B16" i="5"/>
  <c r="B17" i="5"/>
  <c r="B18" i="5"/>
  <c r="B19" i="5"/>
  <c r="B20" i="5"/>
  <c r="B21" i="5"/>
  <c r="B22" i="5"/>
  <c r="B42" i="5" s="1"/>
  <c r="B11" i="5"/>
  <c r="B9" i="5"/>
  <c r="B8" i="5"/>
  <c r="B6" i="5"/>
  <c r="B4" i="5"/>
  <c r="B2" i="5"/>
  <c r="B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1" i="5"/>
  <c r="B33" i="5"/>
  <c r="B34" i="5"/>
  <c r="B35" i="5"/>
  <c r="B36" i="5"/>
  <c r="B37" i="5"/>
  <c r="B38" i="5"/>
  <c r="B39" i="5"/>
  <c r="B40" i="5"/>
  <c r="B41" i="5"/>
  <c r="B31" i="5"/>
  <c r="B25" i="5"/>
  <c r="B24" i="5"/>
  <c r="B23" i="5"/>
  <c r="DF29" i="5" l="1"/>
  <c r="DF28" i="5"/>
  <c r="FR29" i="5"/>
  <c r="FR28" i="5"/>
  <c r="DB27" i="5"/>
  <c r="ET26" i="5"/>
  <c r="FV27" i="5"/>
  <c r="DH29" i="5"/>
  <c r="DH28" i="5"/>
  <c r="DX29" i="5"/>
  <c r="DX28" i="5"/>
  <c r="EN29" i="5"/>
  <c r="EN28" i="5"/>
  <c r="FD29" i="5"/>
  <c r="FD28" i="5"/>
  <c r="FT29" i="5"/>
  <c r="FT28" i="5"/>
  <c r="GJ29" i="5"/>
  <c r="GJ28" i="5"/>
  <c r="EX26" i="5"/>
  <c r="FZ27" i="5"/>
  <c r="EL29" i="5"/>
  <c r="EL28" i="5"/>
  <c r="DJ28" i="5"/>
  <c r="DZ26" i="5"/>
  <c r="EP29" i="5"/>
  <c r="FF26" i="5"/>
  <c r="FV28" i="5"/>
  <c r="FV29" i="5"/>
  <c r="GL26" i="5"/>
  <c r="DV27" i="5"/>
  <c r="FB27" i="5"/>
  <c r="GH27" i="5"/>
  <c r="FZ26" i="5"/>
  <c r="GB26" i="5"/>
  <c r="DL28" i="5"/>
  <c r="DL29" i="5"/>
  <c r="ER28" i="5"/>
  <c r="ER29" i="5"/>
  <c r="FH28" i="5"/>
  <c r="FH29" i="5"/>
  <c r="FX28" i="5"/>
  <c r="FX29" i="5"/>
  <c r="GN28" i="5"/>
  <c r="GD26" i="5"/>
  <c r="CX26" i="5"/>
  <c r="ED26" i="5"/>
  <c r="FJ26" i="5"/>
  <c r="GP26" i="5"/>
  <c r="DZ27" i="5"/>
  <c r="FF27" i="5"/>
  <c r="GL27" i="5"/>
  <c r="DV26" i="5"/>
  <c r="FB26" i="5"/>
  <c r="GH26" i="5"/>
  <c r="DR27" i="5"/>
  <c r="EX27" i="5"/>
  <c r="GD27" i="5"/>
  <c r="DJ27" i="5"/>
  <c r="DJ29" i="5" s="1"/>
  <c r="DL27" i="5"/>
  <c r="CZ26" i="5"/>
  <c r="EF26" i="5"/>
  <c r="FL26" i="5"/>
  <c r="GR26" i="5"/>
  <c r="EB27" i="5"/>
  <c r="EB28" i="5" s="1"/>
  <c r="FH27" i="5"/>
  <c r="GN27" i="5"/>
  <c r="GN29" i="5" s="1"/>
  <c r="DN27" i="5"/>
  <c r="DB26" i="5"/>
  <c r="EH26" i="5"/>
  <c r="FN26" i="5"/>
  <c r="CX27" i="5"/>
  <c r="ED27" i="5"/>
  <c r="FJ27" i="5"/>
  <c r="GP27" i="5"/>
  <c r="DN26" i="5"/>
  <c r="EP27" i="5"/>
  <c r="EP28" i="5" s="1"/>
  <c r="DP26" i="5"/>
  <c r="ER27" i="5"/>
  <c r="DD26" i="5"/>
  <c r="DT26" i="5"/>
  <c r="EJ26" i="5"/>
  <c r="EZ26" i="5"/>
  <c r="FP26" i="5"/>
  <c r="GF26" i="5"/>
  <c r="CZ27" i="5"/>
  <c r="DP27" i="5"/>
  <c r="EF27" i="5"/>
  <c r="EV27" i="5"/>
  <c r="EV29" i="5" s="1"/>
  <c r="FL27" i="5"/>
  <c r="GB27" i="5"/>
  <c r="GR27" i="5"/>
  <c r="DR26" i="5"/>
  <c r="ET27" i="5"/>
  <c r="DB23" i="5"/>
  <c r="DR23" i="5"/>
  <c r="EH23" i="5"/>
  <c r="EX23" i="5"/>
  <c r="FN23" i="5"/>
  <c r="GD23" i="5"/>
  <c r="DD23" i="5"/>
  <c r="DT23" i="5"/>
  <c r="EJ23" i="5"/>
  <c r="EZ23" i="5"/>
  <c r="FP23" i="5"/>
  <c r="GF23" i="5"/>
  <c r="CZ24" i="5"/>
  <c r="DP24" i="5"/>
  <c r="EF24" i="5"/>
  <c r="EV24" i="5"/>
  <c r="FL24" i="5"/>
  <c r="GB24" i="5"/>
  <c r="GR24" i="5"/>
  <c r="DF23" i="5"/>
  <c r="DV23" i="5"/>
  <c r="EL23" i="5"/>
  <c r="FB23" i="5"/>
  <c r="FR23" i="5"/>
  <c r="GH23" i="5"/>
  <c r="DH23" i="5"/>
  <c r="DX23" i="5"/>
  <c r="EN23" i="5"/>
  <c r="FD23" i="5"/>
  <c r="FT23" i="5"/>
  <c r="GJ23" i="5"/>
  <c r="DJ23" i="5"/>
  <c r="DZ23" i="5"/>
  <c r="EP23" i="5"/>
  <c r="FF23" i="5"/>
  <c r="FV23" i="5"/>
  <c r="GL23" i="5"/>
  <c r="DL23" i="5"/>
  <c r="EB23" i="5"/>
  <c r="ER23" i="5"/>
  <c r="FH23" i="5"/>
  <c r="FX23" i="5"/>
  <c r="GN23" i="5"/>
  <c r="CD27" i="5"/>
  <c r="CF27" i="5"/>
  <c r="CV26" i="5"/>
  <c r="CN26" i="5"/>
  <c r="CJ27" i="5"/>
  <c r="CP26" i="5"/>
  <c r="CL27" i="5"/>
  <c r="CL29" i="5" s="1"/>
  <c r="CR26" i="5"/>
  <c r="CN27" i="5"/>
  <c r="CD26" i="5"/>
  <c r="CP27" i="5"/>
  <c r="CJ26" i="5"/>
  <c r="CV27" i="5"/>
  <c r="CF26" i="5"/>
  <c r="CR27" i="5"/>
  <c r="CH26" i="5"/>
  <c r="CT27" i="5"/>
  <c r="CT29" i="5" s="1"/>
  <c r="CH23" i="5"/>
  <c r="CD24" i="5"/>
  <c r="CT24" i="5"/>
  <c r="CJ23" i="5"/>
  <c r="CL23" i="5"/>
  <c r="CN23" i="5"/>
  <c r="CP23" i="5"/>
  <c r="CR23" i="5"/>
  <c r="BX27" i="5"/>
  <c r="BX28" i="5" s="1"/>
  <c r="BR27" i="5"/>
  <c r="BV26" i="5"/>
  <c r="BN26" i="5"/>
  <c r="BJ27" i="5"/>
  <c r="BZ27" i="5"/>
  <c r="BP26" i="5"/>
  <c r="BL27" i="5"/>
  <c r="CB27" i="5"/>
  <c r="CB29" i="5" s="1"/>
  <c r="BR26" i="5"/>
  <c r="BN27" i="5"/>
  <c r="BJ26" i="5"/>
  <c r="BV27" i="5"/>
  <c r="BT26" i="5"/>
  <c r="BP27" i="5"/>
  <c r="BL26" i="5"/>
  <c r="BZ26" i="5"/>
  <c r="BN23" i="5"/>
  <c r="BP23" i="5"/>
  <c r="BR23" i="5"/>
  <c r="BT23" i="5"/>
  <c r="BV23" i="5"/>
  <c r="BX23" i="5"/>
  <c r="AT26" i="5"/>
  <c r="AP27" i="5"/>
  <c r="BF27" i="5"/>
  <c r="AX26" i="5"/>
  <c r="AT27" i="5"/>
  <c r="BF26" i="5"/>
  <c r="AZ26" i="5"/>
  <c r="BH26" i="5"/>
  <c r="BB26" i="5"/>
  <c r="AX27" i="5"/>
  <c r="BD26" i="5"/>
  <c r="AZ27" i="5"/>
  <c r="AP26" i="5"/>
  <c r="BB27" i="5"/>
  <c r="AR26" i="5"/>
  <c r="BD27" i="5"/>
  <c r="AV27" i="5"/>
  <c r="AV29" i="5" s="1"/>
  <c r="AT23" i="5"/>
  <c r="AV23" i="5"/>
  <c r="AX23" i="5"/>
  <c r="AZ23" i="5"/>
  <c r="BB23" i="5"/>
  <c r="BD23" i="5"/>
  <c r="AH28" i="5"/>
  <c r="AH29" i="5"/>
  <c r="AJ29" i="5"/>
  <c r="X26" i="5"/>
  <c r="Z26" i="5"/>
  <c r="AL27" i="5"/>
  <c r="AB26" i="5"/>
  <c r="X27" i="5"/>
  <c r="AN27" i="5"/>
  <c r="AD26" i="5"/>
  <c r="Z27" i="5"/>
  <c r="V26" i="5"/>
  <c r="AL26" i="5"/>
  <c r="AN26" i="5"/>
  <c r="AF26" i="5"/>
  <c r="AB27" i="5"/>
  <c r="AJ27" i="5"/>
  <c r="AJ28" i="5" s="1"/>
  <c r="V27" i="5"/>
  <c r="Z23" i="5"/>
  <c r="AB23" i="5"/>
  <c r="AD23" i="5"/>
  <c r="AF23" i="5"/>
  <c r="AH23" i="5"/>
  <c r="AJ23" i="5"/>
  <c r="T26" i="5"/>
  <c r="R26" i="5"/>
  <c r="R23" i="5"/>
  <c r="P26" i="5"/>
  <c r="P23" i="5"/>
  <c r="N26" i="5"/>
  <c r="N23" i="5"/>
  <c r="L26" i="5"/>
  <c r="J26" i="5"/>
  <c r="J23" i="5"/>
  <c r="J24" i="5"/>
  <c r="H26" i="5"/>
  <c r="H27" i="5"/>
  <c r="H23" i="5"/>
  <c r="F26" i="5"/>
  <c r="F23" i="5"/>
  <c r="D27" i="5"/>
  <c r="D26" i="5"/>
  <c r="D23" i="5"/>
  <c r="B26" i="5"/>
  <c r="B29" i="5" s="1"/>
  <c r="B28" i="5"/>
  <c r="EH29" i="5" l="1"/>
  <c r="EH28" i="5"/>
  <c r="FB29" i="5"/>
  <c r="FB28" i="5"/>
  <c r="FF28" i="5"/>
  <c r="FF29" i="5"/>
  <c r="GF29" i="5"/>
  <c r="GF28" i="5"/>
  <c r="DB29" i="5"/>
  <c r="DB28" i="5"/>
  <c r="DV29" i="5"/>
  <c r="DV28" i="5"/>
  <c r="FP29" i="5"/>
  <c r="FP28" i="5"/>
  <c r="EZ29" i="5"/>
  <c r="EZ28" i="5"/>
  <c r="DZ28" i="5"/>
  <c r="DZ29" i="5"/>
  <c r="EJ29" i="5"/>
  <c r="EJ28" i="5"/>
  <c r="EB29" i="5"/>
  <c r="DT29" i="5"/>
  <c r="DT28" i="5"/>
  <c r="GP29" i="5"/>
  <c r="GP28" i="5"/>
  <c r="DD29" i="5"/>
  <c r="DD28" i="5"/>
  <c r="GR29" i="5"/>
  <c r="GR28" i="5"/>
  <c r="FJ29" i="5"/>
  <c r="FJ28" i="5"/>
  <c r="FL29" i="5"/>
  <c r="FL28" i="5"/>
  <c r="ED29" i="5"/>
  <c r="ED28" i="5"/>
  <c r="ET29" i="5"/>
  <c r="ET28" i="5"/>
  <c r="FN29" i="5"/>
  <c r="FN28" i="5"/>
  <c r="DP29" i="5"/>
  <c r="DP28" i="5"/>
  <c r="EF29" i="5"/>
  <c r="EF28" i="5"/>
  <c r="CX29" i="5"/>
  <c r="CX28" i="5"/>
  <c r="GB29" i="5"/>
  <c r="GB28" i="5"/>
  <c r="DR29" i="5"/>
  <c r="DR28" i="5"/>
  <c r="CZ29" i="5"/>
  <c r="CZ28" i="5"/>
  <c r="EV28" i="5"/>
  <c r="FZ29" i="5"/>
  <c r="FZ28" i="5"/>
  <c r="EX29" i="5"/>
  <c r="EX28" i="5"/>
  <c r="DN29" i="5"/>
  <c r="DN28" i="5"/>
  <c r="GD29" i="5"/>
  <c r="GD28" i="5"/>
  <c r="GL28" i="5"/>
  <c r="GL29" i="5"/>
  <c r="GH29" i="5"/>
  <c r="GH28" i="5"/>
  <c r="CF29" i="5"/>
  <c r="CF28" i="5"/>
  <c r="CD29" i="5"/>
  <c r="CD28" i="5"/>
  <c r="CR28" i="5"/>
  <c r="CR29" i="5"/>
  <c r="CP28" i="5"/>
  <c r="CP29" i="5"/>
  <c r="CJ29" i="5"/>
  <c r="CJ28" i="5"/>
  <c r="CN29" i="5"/>
  <c r="CN28" i="5"/>
  <c r="CV29" i="5"/>
  <c r="CV28" i="5"/>
  <c r="CH29" i="5"/>
  <c r="CH28" i="5"/>
  <c r="CT28" i="5"/>
  <c r="CL28" i="5"/>
  <c r="BR29" i="5"/>
  <c r="BR28" i="5"/>
  <c r="BP29" i="5"/>
  <c r="BP28" i="5"/>
  <c r="BN29" i="5"/>
  <c r="BN28" i="5"/>
  <c r="BV28" i="5"/>
  <c r="BV29" i="5"/>
  <c r="BZ29" i="5"/>
  <c r="BZ28" i="5"/>
  <c r="BL29" i="5"/>
  <c r="BL28" i="5"/>
  <c r="BX29" i="5"/>
  <c r="BJ29" i="5"/>
  <c r="BJ28" i="5"/>
  <c r="BT29" i="5"/>
  <c r="BT28" i="5"/>
  <c r="CB28" i="5"/>
  <c r="AP29" i="5"/>
  <c r="AP28" i="5"/>
  <c r="BD28" i="5"/>
  <c r="BD29" i="5"/>
  <c r="BB28" i="5"/>
  <c r="BB29" i="5"/>
  <c r="BH29" i="5"/>
  <c r="BH28" i="5"/>
  <c r="AZ29" i="5"/>
  <c r="AZ28" i="5"/>
  <c r="BF29" i="5"/>
  <c r="BF28" i="5"/>
  <c r="AV28" i="5"/>
  <c r="AX29" i="5"/>
  <c r="AX28" i="5"/>
  <c r="AR29" i="5"/>
  <c r="AR28" i="5"/>
  <c r="AT29" i="5"/>
  <c r="AT28" i="5"/>
  <c r="AF29" i="5"/>
  <c r="AF28" i="5"/>
  <c r="AN29" i="5"/>
  <c r="AN28" i="5"/>
  <c r="AL29" i="5"/>
  <c r="AL28" i="5"/>
  <c r="V29" i="5"/>
  <c r="V28" i="5"/>
  <c r="AD29" i="5"/>
  <c r="AD28" i="5"/>
  <c r="AB29" i="5"/>
  <c r="AB28" i="5"/>
  <c r="Z29" i="5"/>
  <c r="Z28" i="5"/>
  <c r="X29" i="5"/>
  <c r="X28" i="5"/>
  <c r="T29" i="5"/>
  <c r="T28" i="5"/>
  <c r="R29" i="5"/>
  <c r="R28" i="5"/>
  <c r="P29" i="5"/>
  <c r="P28" i="5"/>
  <c r="N29" i="5"/>
  <c r="N28" i="5"/>
  <c r="L29" i="5"/>
  <c r="L28" i="5"/>
  <c r="J29" i="5"/>
  <c r="J28" i="5"/>
  <c r="H29" i="5"/>
  <c r="H28" i="5"/>
  <c r="F29" i="5"/>
  <c r="F28" i="5"/>
  <c r="D29" i="5"/>
  <c r="D28" i="5"/>
  <c r="C4" i="3" a="1"/>
  <c r="C12" i="3" a="1"/>
  <c r="C20" i="3" a="1"/>
  <c r="C28" i="3" a="1"/>
  <c r="C7" i="3" a="1"/>
  <c r="C16" i="3" a="1"/>
  <c r="C9" i="3" a="1"/>
  <c r="C26" i="3" a="1"/>
  <c r="C11" i="3" a="1"/>
  <c r="C13" i="3" a="1"/>
  <c r="C6" i="3" a="1"/>
  <c r="C14" i="3" a="1"/>
  <c r="C22" i="3" a="1"/>
  <c r="C15" i="3" a="1"/>
  <c r="C8" i="3" a="1"/>
  <c r="C18" i="3" a="1"/>
  <c r="C27" i="3" a="1"/>
  <c r="C5" i="3" a="1"/>
  <c r="C21" i="3" a="1"/>
  <c r="C23" i="3" a="1"/>
  <c r="C24" i="3" a="1"/>
  <c r="C25" i="3" a="1"/>
  <c r="C19" i="3" a="1"/>
  <c r="C17" i="3" a="1"/>
  <c r="C10" i="3" a="1"/>
  <c r="C3" i="3" a="1"/>
  <c r="C10" i="3" l="1"/>
  <c r="C17" i="3"/>
  <c r="C19" i="3"/>
  <c r="C25" i="3"/>
  <c r="C24" i="3"/>
  <c r="C23" i="3"/>
  <c r="C21" i="3"/>
  <c r="C5" i="3"/>
  <c r="C27" i="3"/>
  <c r="C18" i="3"/>
  <c r="C8" i="3"/>
  <c r="C15" i="3"/>
  <c r="C22" i="3"/>
  <c r="C14" i="3"/>
  <c r="C6" i="3"/>
  <c r="C13" i="3"/>
  <c r="C11" i="3"/>
  <c r="C26" i="3"/>
  <c r="C9" i="3"/>
  <c r="C16" i="3"/>
  <c r="C7" i="3"/>
  <c r="C28" i="3"/>
  <c r="C20" i="3"/>
  <c r="C12" i="3"/>
  <c r="C4" i="3"/>
  <c r="C3" i="3"/>
  <c r="A28" i="3"/>
  <c r="A26" i="3"/>
  <c r="A27" i="3"/>
  <c r="A5" i="3"/>
  <c r="A6" i="3"/>
  <c r="A7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4" i="3"/>
  <c r="B28" i="3" a="1"/>
  <c r="B4" i="3" a="1"/>
  <c r="B12" i="3" a="1"/>
  <c r="B20" i="3" a="1"/>
  <c r="B5" i="3" a="1"/>
  <c r="B13" i="3" a="1"/>
  <c r="B6" i="3" a="1"/>
  <c r="B22" i="3" a="1"/>
  <c r="B7" i="3" a="1"/>
  <c r="B15" i="3" a="1"/>
  <c r="B23" i="3" a="1"/>
  <c r="B8" i="3" a="1"/>
  <c r="B16" i="3" a="1"/>
  <c r="B24" i="3" a="1"/>
  <c r="B17" i="3" a="1"/>
  <c r="B25" i="3" a="1"/>
  <c r="B18" i="3" a="1"/>
  <c r="B19" i="3" a="1"/>
  <c r="B14" i="3" a="1"/>
  <c r="B9" i="3" a="1"/>
  <c r="B10" i="3" a="1"/>
  <c r="B26" i="3" a="1"/>
  <c r="B11" i="3" a="1"/>
  <c r="B27" i="3" a="1"/>
  <c r="B21" i="3" a="1"/>
  <c r="B3" i="3" a="1"/>
  <c r="B28" i="3" l="1"/>
  <c r="B21" i="3"/>
  <c r="B27" i="3"/>
  <c r="B11" i="3"/>
  <c r="B26" i="3"/>
  <c r="B10" i="3"/>
  <c r="B9" i="3"/>
  <c r="B14" i="3"/>
  <c r="B19" i="3"/>
  <c r="B18" i="3"/>
  <c r="B25" i="3"/>
  <c r="B17" i="3"/>
  <c r="B24" i="3"/>
  <c r="B16" i="3"/>
  <c r="B8" i="3"/>
  <c r="B23" i="3"/>
  <c r="B15" i="3"/>
  <c r="B7" i="3"/>
  <c r="B22" i="3"/>
  <c r="B6" i="3"/>
  <c r="B13" i="3"/>
  <c r="B5" i="3"/>
  <c r="B20" i="3"/>
  <c r="B12" i="3"/>
  <c r="B4" i="3"/>
  <c r="B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<sst xmlns="http://schemas.openxmlformats.org/spreadsheetml/2006/main" count="4803" uniqueCount="2929">
  <si>
    <t>age_low</t>
  </si>
  <si>
    <t>age_high</t>
  </si>
  <si>
    <t>variable</t>
  </si>
  <si>
    <t>norm_m</t>
  </si>
  <si>
    <t>norm_sd</t>
  </si>
  <si>
    <t>norm_n</t>
  </si>
  <si>
    <t>data_m</t>
  </si>
  <si>
    <t>data_sd</t>
  </si>
  <si>
    <t>data_n</t>
  </si>
  <si>
    <t>t</t>
  </si>
  <si>
    <t>p</t>
  </si>
  <si>
    <t>x</t>
  </si>
  <si>
    <t>age</t>
  </si>
  <si>
    <t>BVMT_t1</t>
  </si>
  <si>
    <t>BVMT_t2</t>
  </si>
  <si>
    <t>BVMT_t3</t>
  </si>
  <si>
    <t>BVMT_total_recall</t>
  </si>
  <si>
    <t>BVMT_learning</t>
  </si>
  <si>
    <t>BVMT_delayed_recall</t>
  </si>
  <si>
    <t>BVMT_percent_retained</t>
  </si>
  <si>
    <t>BVMT_hits</t>
  </si>
  <si>
    <t>BVMT_false_alarms</t>
  </si>
  <si>
    <t>BVMT_discrimination_index</t>
  </si>
  <si>
    <t>BVMT_response_bias</t>
  </si>
  <si>
    <t>group</t>
  </si>
  <si>
    <t>A010-COG-X-BVM-Form</t>
  </si>
  <si>
    <t>A011-COG-X-BVM-Form</t>
  </si>
  <si>
    <t>A012-COG-X-BVM-Form</t>
  </si>
  <si>
    <t>A013-COG-X-BVM-Form</t>
  </si>
  <si>
    <t>A014-COG-X-BVM-Form</t>
  </si>
  <si>
    <t>A015-COG-X-BVM-Form</t>
  </si>
  <si>
    <t>A016-COG-X-BVM-Form</t>
  </si>
  <si>
    <t>A017-COG-X-BVM-Form</t>
  </si>
  <si>
    <t>A018-COG-X-BVM-Form</t>
  </si>
  <si>
    <t>A019-COG-X-BVM-Form</t>
  </si>
  <si>
    <t>A020-COG-X-BVM-Form</t>
  </si>
  <si>
    <t>A021-COG-X-BVM-Form</t>
  </si>
  <si>
    <t>A022-COG-X-BVM-Form</t>
  </si>
  <si>
    <t>A023-COG-X-BVM-Form</t>
  </si>
  <si>
    <t>A024-COG-X-BVM-Form</t>
  </si>
  <si>
    <t>A025-COG-X-BVM-Form</t>
  </si>
  <si>
    <t>A026-COG-X-BVM-Form</t>
  </si>
  <si>
    <t>A027-COG-X-BVM-Form</t>
  </si>
  <si>
    <t>A028-COG-X-BVM-Form</t>
  </si>
  <si>
    <t>A029-COG-X-BVM-Form</t>
  </si>
  <si>
    <t>A030-COG-X-BVM-Form</t>
  </si>
  <si>
    <t>A031-COG-X-BVM-Form</t>
  </si>
  <si>
    <t>A032-COG-X-BVM-Form</t>
  </si>
  <si>
    <t>A033-COG-X-BVM-Form</t>
  </si>
  <si>
    <t>A034-COG-X-BVM-Form</t>
  </si>
  <si>
    <t>A035-COG-X-BVM-Form</t>
  </si>
  <si>
    <t>A036-COG-X-BVM-Form</t>
  </si>
  <si>
    <t>A037-COG-X-BVM-Form</t>
  </si>
  <si>
    <t>A038-COG-X-BVM-Form</t>
  </si>
  <si>
    <t>A039-COG-X-BVM-Form</t>
  </si>
  <si>
    <t>A040-COG-X-BVM-Form</t>
  </si>
  <si>
    <t>A041-COG-X-BVM-Form</t>
  </si>
  <si>
    <t>A042-COG-X-BVM-Form</t>
  </si>
  <si>
    <t>A043-COG-X-BVM-Form</t>
  </si>
  <si>
    <t>A044-COG-X-BVM-Form</t>
  </si>
  <si>
    <t>A045-COG-X-BVM-Form</t>
  </si>
  <si>
    <t>A046-COG-X-BVM-Form</t>
  </si>
  <si>
    <t>A047-COG-X-BVM-Form</t>
  </si>
  <si>
    <t>A048-COG-X-BVM-Form</t>
  </si>
  <si>
    <t>A049-COG-X-BVM-Form</t>
  </si>
  <si>
    <t>A050-COG-X-BVM-Form</t>
  </si>
  <si>
    <t>A051-COG-X-BVM-Form</t>
  </si>
  <si>
    <t>A052-COG-X-BVM-Form</t>
  </si>
  <si>
    <t>A053-COG-X-BVM-Form</t>
  </si>
  <si>
    <t>A054-COG-X-BVM-Form</t>
  </si>
  <si>
    <t>A055-COG-X-BVM-Form</t>
  </si>
  <si>
    <t>A056-COG-X-BVM-Form</t>
  </si>
  <si>
    <t>A057-COG-X-BVM-Form</t>
  </si>
  <si>
    <t>A058-COG-X-BVM-Form</t>
  </si>
  <si>
    <t>A059-COG-X-BVM-Form</t>
  </si>
  <si>
    <t>A060-COG-X-BVM-Form</t>
  </si>
  <si>
    <t>A061-COG-X-BVM-Form</t>
  </si>
  <si>
    <t>A062-COG-X-BVM-Form</t>
  </si>
  <si>
    <t>A063-COG-X-BVM-Form</t>
  </si>
  <si>
    <t>A064-COG-X-BVM-Form</t>
  </si>
  <si>
    <t>A065-COG-X-BVM-Form</t>
  </si>
  <si>
    <t>A066-COG-X-BVM-Form</t>
  </si>
  <si>
    <t>A067-COG-X-BVM-Form</t>
  </si>
  <si>
    <t>A068-COG-X-BVM-Form</t>
  </si>
  <si>
    <t>A069-COG-X-BVM-Form</t>
  </si>
  <si>
    <t>A070-COG-X-BVM-Form</t>
  </si>
  <si>
    <t>A071-COG-X-BVM-Form</t>
  </si>
  <si>
    <t>A072-COG-X-BVM-Form</t>
  </si>
  <si>
    <t>A073-COG-X-BVM-Form</t>
  </si>
  <si>
    <t>A074-COG-X-BVM-Form</t>
  </si>
  <si>
    <t>A075-COG-X-BVM-Form</t>
  </si>
  <si>
    <t>A076-COG-X-BVM-Form</t>
  </si>
  <si>
    <t>A077-COG-X-BVM-Form</t>
  </si>
  <si>
    <t>A078-COG-X-BVM-Form</t>
  </si>
  <si>
    <t>A079-COG-X-BVM-Form</t>
  </si>
  <si>
    <t>A080-COG-X-BVM-Form</t>
  </si>
  <si>
    <t>A081-COG-X-BVM-Form</t>
  </si>
  <si>
    <t>A082-COG-X-BVM-Form</t>
  </si>
  <si>
    <t>A083-COG-X-BVM-Form</t>
  </si>
  <si>
    <t>A084-COG-X-BVM-Form</t>
  </si>
  <si>
    <t>A085-COG-X-BVM-Form</t>
  </si>
  <si>
    <t>A086-COG-X-BVM-Form</t>
  </si>
  <si>
    <t>A087-COG-X-BVM-Form</t>
  </si>
  <si>
    <t>A088-COG-X-BVM-Form</t>
  </si>
  <si>
    <t>A089-COG-X-BVM-Form</t>
  </si>
  <si>
    <t>A090-COG-X-BVM-Form</t>
  </si>
  <si>
    <t>A091-COG-X-BVM-Form</t>
  </si>
  <si>
    <t>A092-COG-X-BVM-Form</t>
  </si>
  <si>
    <t>A093-COG-X-BVM-Form</t>
  </si>
  <si>
    <t>A094-COG-X-BVM-Form</t>
  </si>
  <si>
    <t>A095-COG-X-BVM-Form</t>
  </si>
  <si>
    <t>A096-COG-X-BVM-Form</t>
  </si>
  <si>
    <t>A097-COG-X-BVM-Form</t>
  </si>
  <si>
    <t>A098-COG-X-BVM-Form</t>
  </si>
  <si>
    <t>A099-COG-X-BVM-Form</t>
  </si>
  <si>
    <t>A100-COG-X-BVM-Form</t>
  </si>
  <si>
    <t>A101-COG-X-BVM-Form</t>
  </si>
  <si>
    <t>A102-COG-X-BVM-Form</t>
  </si>
  <si>
    <t>A103-COG-X-BVM-Form</t>
  </si>
  <si>
    <t>A104-COG-X-BVM-Form</t>
  </si>
  <si>
    <t>A105-COG-X-BVM-Form</t>
  </si>
  <si>
    <t>A106-COG-X-BVM-Form</t>
  </si>
  <si>
    <t>A107-COG-X-BVM-Form</t>
  </si>
  <si>
    <t>A108-COG-X-BVM-Form</t>
  </si>
  <si>
    <t>A109-COG-X-BVM-Form</t>
  </si>
  <si>
    <t>A010-COG-X-BVM-T1Ti</t>
  </si>
  <si>
    <t>A011-COG-X-BVM-T1Ti</t>
  </si>
  <si>
    <t>A012-COG-X-BVM-T1Ti</t>
  </si>
  <si>
    <t>A013-COG-X-BVM-T1Ti</t>
  </si>
  <si>
    <t>A014-COG-X-BVM-T1Ti</t>
  </si>
  <si>
    <t>A015-COG-X-BVM-T1Ti</t>
  </si>
  <si>
    <t>A016-COG-X-BVM-T1Ti</t>
  </si>
  <si>
    <t>A017-COG-X-BVM-T1Ti</t>
  </si>
  <si>
    <t>A018-COG-X-BVM-T1Ti</t>
  </si>
  <si>
    <t>A019-COG-X-BVM-T1Ti</t>
  </si>
  <si>
    <t>A020-COG-X-BVM-T1Ti</t>
  </si>
  <si>
    <t>A021-COG-X-BVM-T1Ti</t>
  </si>
  <si>
    <t>A022-COG-X-BVM-T1Ti</t>
  </si>
  <si>
    <t>A023-COG-X-BVM-T1Ti</t>
  </si>
  <si>
    <t>A024-COG-X-BVM-T1Ti</t>
  </si>
  <si>
    <t>A025-COG-X-BVM-T1Ti</t>
  </si>
  <si>
    <t>A026-COG-X-BVM-T1Ti</t>
  </si>
  <si>
    <t>A027-COG-X-BVM-T1Ti</t>
  </si>
  <si>
    <t>A028-COG-X-BVM-T1Ti</t>
  </si>
  <si>
    <t>A029-COG-X-BVM-T1Ti</t>
  </si>
  <si>
    <t>A030-COG-X-BVM-T1Ti</t>
  </si>
  <si>
    <t>A031-COG-X-BVM-T1Ti</t>
  </si>
  <si>
    <t>A032-COG-X-BVM-T1Ti</t>
  </si>
  <si>
    <t>A033-COG-X-BVM-T1Ti</t>
  </si>
  <si>
    <t>A034-COG-X-BVM-T1Ti</t>
  </si>
  <si>
    <t>A035-COG-X-BVM-T1Ti</t>
  </si>
  <si>
    <t>A036-COG-X-BVM-T1Ti</t>
  </si>
  <si>
    <t>A037-COG-X-BVM-T1Ti</t>
  </si>
  <si>
    <t>A038-COG-X-BVM-T1Ti</t>
  </si>
  <si>
    <t>A039-COG-X-BVM-T1Ti</t>
  </si>
  <si>
    <t>A040-COG-X-BVM-T1Ti</t>
  </si>
  <si>
    <t>A041-COG-X-BVM-T1Ti</t>
  </si>
  <si>
    <t>A042-COG-X-BVM-T1Ti</t>
  </si>
  <si>
    <t>A043-COG-X-BVM-T1Ti</t>
  </si>
  <si>
    <t>A044-COG-X-BVM-T1Ti</t>
  </si>
  <si>
    <t>A045-COG-X-BVM-T1Ti</t>
  </si>
  <si>
    <t>A046-COG-X-BVM-T1Ti</t>
  </si>
  <si>
    <t>A047-COG-X-BVM-T1Ti</t>
  </si>
  <si>
    <t>A048-COG-X-BVM-T1Ti</t>
  </si>
  <si>
    <t>A049-COG-X-BVM-T1Ti</t>
  </si>
  <si>
    <t>A050-COG-X-BVM-T1Ti</t>
  </si>
  <si>
    <t>A051-COG-X-BVM-T1Ti</t>
  </si>
  <si>
    <t>A052-COG-X-BVM-T1Ti</t>
  </si>
  <si>
    <t>A053-COG-X-BVM-T1Ti</t>
  </si>
  <si>
    <t>A054-COG-X-BVM-T1Ti</t>
  </si>
  <si>
    <t>A055-COG-X-BVM-T1Ti</t>
  </si>
  <si>
    <t>A056-COG-X-BVM-T1Ti</t>
  </si>
  <si>
    <t>A057-COG-X-BVM-T1Ti</t>
  </si>
  <si>
    <t>A058-COG-X-BVM-T1Ti</t>
  </si>
  <si>
    <t>A059-COG-X-BVM-T1Ti</t>
  </si>
  <si>
    <t>A060-COG-X-BVM-T1Ti</t>
  </si>
  <si>
    <t>A061-COG-X-BVM-T1Ti</t>
  </si>
  <si>
    <t>A062-COG-X-BVM-T1Ti</t>
  </si>
  <si>
    <t>A063-COG-X-BVM-T1Ti</t>
  </si>
  <si>
    <t>A064-COG-X-BVM-T1Ti</t>
  </si>
  <si>
    <t>A065-COG-X-BVM-T1Ti</t>
  </si>
  <si>
    <t>A066-COG-X-BVM-T1Ti</t>
  </si>
  <si>
    <t>A067-COG-X-BVM-T1Ti</t>
  </si>
  <si>
    <t>A068-COG-X-BVM-T1Ti</t>
  </si>
  <si>
    <t>A069-COG-X-BVM-T1Ti</t>
  </si>
  <si>
    <t>A070-COG-X-BVM-T1Ti</t>
  </si>
  <si>
    <t>A071-COG-X-BVM-T1Ti</t>
  </si>
  <si>
    <t>A072-COG-X-BVM-T1Ti</t>
  </si>
  <si>
    <t>A073-COG-X-BVM-T1Ti</t>
  </si>
  <si>
    <t>A074-COG-X-BVM-T1Ti</t>
  </si>
  <si>
    <t>A075-COG-X-BVM-T1Ti</t>
  </si>
  <si>
    <t>A076-COG-X-BVM-T1Ti</t>
  </si>
  <si>
    <t>A077-COG-X-BVM-T1Ti</t>
  </si>
  <si>
    <t>A078-COG-X-BVM-T1Ti</t>
  </si>
  <si>
    <t>A079-COG-X-BVM-T1Ti</t>
  </si>
  <si>
    <t>A080-COG-X-BVM-T1Ti</t>
  </si>
  <si>
    <t>A081-COG-X-BVM-T1Ti</t>
  </si>
  <si>
    <t>A082-COG-X-BVM-T1Ti</t>
  </si>
  <si>
    <t>A083-COG-X-BVM-T1Ti</t>
  </si>
  <si>
    <t>A084-COG-X-BVM-T1Ti</t>
  </si>
  <si>
    <t>A085-COG-X-BVM-T1Ti</t>
  </si>
  <si>
    <t>A086-COG-X-BVM-T1Ti</t>
  </si>
  <si>
    <t>A087-COG-X-BVM-T1Ti</t>
  </si>
  <si>
    <t>A088-COG-X-BVM-T1Ti</t>
  </si>
  <si>
    <t>A089-COG-X-BVM-T1Ti</t>
  </si>
  <si>
    <t>A090-COG-X-BVM-T1Ti</t>
  </si>
  <si>
    <t>A091-COG-X-BVM-T1Ti</t>
  </si>
  <si>
    <t>A092-COG-X-BVM-T1Ti</t>
  </si>
  <si>
    <t>A093-COG-X-BVM-T1Ti</t>
  </si>
  <si>
    <t>A094-COG-X-BVM-T1Ti</t>
  </si>
  <si>
    <t>A095-COG-X-BVM-T1Ti</t>
  </si>
  <si>
    <t>A096-COG-X-BVM-T1Ti</t>
  </si>
  <si>
    <t>A097-COG-X-BVM-T1Ti</t>
  </si>
  <si>
    <t>A098-COG-X-BVM-T1Ti</t>
  </si>
  <si>
    <t>A099-COG-X-BVM-T1Ti</t>
  </si>
  <si>
    <t>A100-COG-X-BVM-T1Ti</t>
  </si>
  <si>
    <t>A101-COG-X-BVM-T1Ti</t>
  </si>
  <si>
    <t>A102-COG-X-BVM-T1Ti</t>
  </si>
  <si>
    <t>A103-COG-X-BVM-T1Ti</t>
  </si>
  <si>
    <t>A104-COG-X-BVM-T1Ti</t>
  </si>
  <si>
    <t>A105-COG-X-BVM-T1Ti</t>
  </si>
  <si>
    <t>A106-COG-X-BVM-T1Ti</t>
  </si>
  <si>
    <t>A107-COG-X-BVM-T1Ti</t>
  </si>
  <si>
    <t>A108-COG-X-BVM-T1Ti</t>
  </si>
  <si>
    <t>A109-COG-X-BVM-T1Ti</t>
  </si>
  <si>
    <t>A010-COG-X-BVM-T1Sc</t>
  </si>
  <si>
    <t>A011-COG-X-BVM-T1Sc</t>
  </si>
  <si>
    <t>A012-COG-X-BVM-T1Sc</t>
  </si>
  <si>
    <t>A013-COG-X-BVM-T1Sc</t>
  </si>
  <si>
    <t>A014-COG-X-BVM-T1Sc</t>
  </si>
  <si>
    <t>A015-COG-X-BVM-T1Sc</t>
  </si>
  <si>
    <t>A016-COG-X-BVM-T1Sc</t>
  </si>
  <si>
    <t>A017-COG-X-BVM-T1Sc</t>
  </si>
  <si>
    <t>A018-COG-X-BVM-T1Sc</t>
  </si>
  <si>
    <t>A019-COG-X-BVM-T1Sc</t>
  </si>
  <si>
    <t>A020-COG-X-BVM-T1Sc</t>
  </si>
  <si>
    <t>A021-COG-X-BVM-T1Sc</t>
  </si>
  <si>
    <t>A022-COG-X-BVM-T1Sc</t>
  </si>
  <si>
    <t>A023-COG-X-BVM-T1Sc</t>
  </si>
  <si>
    <t>A024-COG-X-BVM-T1Sc</t>
  </si>
  <si>
    <t>A025-COG-X-BVM-T1Sc</t>
  </si>
  <si>
    <t>A026-COG-X-BVM-T1Sc</t>
  </si>
  <si>
    <t>A027-COG-X-BVM-T1Sc</t>
  </si>
  <si>
    <t>A028-COG-X-BVM-T1Sc</t>
  </si>
  <si>
    <t>A029-COG-X-BVM-T1Sc</t>
  </si>
  <si>
    <t>A030-COG-X-BVM-T1Sc</t>
  </si>
  <si>
    <t>A031-COG-X-BVM-T1Sc</t>
  </si>
  <si>
    <t>A032-COG-X-BVM-T1Sc</t>
  </si>
  <si>
    <t>A033-COG-X-BVM-T1Sc</t>
  </si>
  <si>
    <t>A034-COG-X-BVM-T1Sc</t>
  </si>
  <si>
    <t>A035-COG-X-BVM-T1Sc</t>
  </si>
  <si>
    <t>A036-COG-X-BVM-T1Sc</t>
  </si>
  <si>
    <t>A037-COG-X-BVM-T1Sc</t>
  </si>
  <si>
    <t>A038-COG-X-BVM-T1Sc</t>
  </si>
  <si>
    <t>A039-COG-X-BVM-T1Sc</t>
  </si>
  <si>
    <t>A040-COG-X-BVM-T1Sc</t>
  </si>
  <si>
    <t>A041-COG-X-BVM-T1Sc</t>
  </si>
  <si>
    <t>A042-COG-X-BVM-T1Sc</t>
  </si>
  <si>
    <t>A043-COG-X-BVM-T1Sc</t>
  </si>
  <si>
    <t>A044-COG-X-BVM-T1Sc</t>
  </si>
  <si>
    <t>A045-COG-X-BVM-T1Sc</t>
  </si>
  <si>
    <t>A046-COG-X-BVM-T1Sc</t>
  </si>
  <si>
    <t>A047-COG-X-BVM-T1Sc</t>
  </si>
  <si>
    <t>A048-COG-X-BVM-T1Sc</t>
  </si>
  <si>
    <t>A049-COG-X-BVM-T1Sc</t>
  </si>
  <si>
    <t>A050-COG-X-BVM-T1Sc</t>
  </si>
  <si>
    <t>A051-COG-X-BVM-T1Sc</t>
  </si>
  <si>
    <t>A052-COG-X-BVM-T1Sc</t>
  </si>
  <si>
    <t>A053-COG-X-BVM-T1Sc</t>
  </si>
  <si>
    <t>A054-COG-X-BVM-T1Sc</t>
  </si>
  <si>
    <t>A055-COG-X-BVM-T1Sc</t>
  </si>
  <si>
    <t>A056-COG-X-BVM-T1Sc</t>
  </si>
  <si>
    <t>A057-COG-X-BVM-T1Sc</t>
  </si>
  <si>
    <t>A058-COG-X-BVM-T1Sc</t>
  </si>
  <si>
    <t>A059-COG-X-BVM-T1Sc</t>
  </si>
  <si>
    <t>A060-COG-X-BVM-T1Sc</t>
  </si>
  <si>
    <t>A061-COG-X-BVM-T1Sc</t>
  </si>
  <si>
    <t>A062-COG-X-BVM-T1Sc</t>
  </si>
  <si>
    <t>A063-COG-X-BVM-T1Sc</t>
  </si>
  <si>
    <t>A064-COG-X-BVM-T1Sc</t>
  </si>
  <si>
    <t>A065-COG-X-BVM-T1Sc</t>
  </si>
  <si>
    <t>A066-COG-X-BVM-T1Sc</t>
  </si>
  <si>
    <t>A067-COG-X-BVM-T1Sc</t>
  </si>
  <si>
    <t>A068-COG-X-BVM-T1Sc</t>
  </si>
  <si>
    <t>A069-COG-X-BVM-T1Sc</t>
  </si>
  <si>
    <t>A070-COG-X-BVM-T1Sc</t>
  </si>
  <si>
    <t>A071-COG-X-BVM-T1Sc</t>
  </si>
  <si>
    <t>A072-COG-X-BVM-T1Sc</t>
  </si>
  <si>
    <t>A073-COG-X-BVM-T1Sc</t>
  </si>
  <si>
    <t>A074-COG-X-BVM-T1Sc</t>
  </si>
  <si>
    <t>A075-COG-X-BVM-T1Sc</t>
  </si>
  <si>
    <t>A076-COG-X-BVM-T1Sc</t>
  </si>
  <si>
    <t>A077-COG-X-BVM-T1Sc</t>
  </si>
  <si>
    <t>A078-COG-X-BVM-T1Sc</t>
  </si>
  <si>
    <t>A079-COG-X-BVM-T1Sc</t>
  </si>
  <si>
    <t>A080-COG-X-BVM-T1Sc</t>
  </si>
  <si>
    <t>A081-COG-X-BVM-T1Sc</t>
  </si>
  <si>
    <t>A082-COG-X-BVM-T1Sc</t>
  </si>
  <si>
    <t>A083-COG-X-BVM-T1Sc</t>
  </si>
  <si>
    <t>A084-COG-X-BVM-T1Sc</t>
  </si>
  <si>
    <t>A085-COG-X-BVM-T1Sc</t>
  </si>
  <si>
    <t>A086-COG-X-BVM-T1Sc</t>
  </si>
  <si>
    <t>A087-COG-X-BVM-T1Sc</t>
  </si>
  <si>
    <t>A088-COG-X-BVM-T1Sc</t>
  </si>
  <si>
    <t>A089-COG-X-BVM-T1Sc</t>
  </si>
  <si>
    <t>A090-COG-X-BVM-T1Sc</t>
  </si>
  <si>
    <t>A091-COG-X-BVM-T1Sc</t>
  </si>
  <si>
    <t>A092-COG-X-BVM-T1Sc</t>
  </si>
  <si>
    <t>A093-COG-X-BVM-T1Sc</t>
  </si>
  <si>
    <t>A094-COG-X-BVM-T1Sc</t>
  </si>
  <si>
    <t>A095-COG-X-BVM-T1Sc</t>
  </si>
  <si>
    <t>A096-COG-X-BVM-T1Sc</t>
  </si>
  <si>
    <t>A097-COG-X-BVM-T1Sc</t>
  </si>
  <si>
    <t>A098-COG-X-BVM-T1Sc</t>
  </si>
  <si>
    <t>A099-COG-X-BVM-T1Sc</t>
  </si>
  <si>
    <t>A100-COG-X-BVM-T1Sc</t>
  </si>
  <si>
    <t>A101-COG-X-BVM-T1Sc</t>
  </si>
  <si>
    <t>A102-COG-X-BVM-T1Sc</t>
  </si>
  <si>
    <t>A103-COG-X-BVM-T1Sc</t>
  </si>
  <si>
    <t>A104-COG-X-BVM-T1Sc</t>
  </si>
  <si>
    <t>A105-COG-X-BVM-T1Sc</t>
  </si>
  <si>
    <t>A106-COG-X-BVM-T1Sc</t>
  </si>
  <si>
    <t>A107-COG-X-BVM-T1Sc</t>
  </si>
  <si>
    <t>A108-COG-X-BVM-T1Sc</t>
  </si>
  <si>
    <t>A109-COG-X-BVM-T1Sc</t>
  </si>
  <si>
    <t>A010-COG-X-BVM-T2Ti</t>
  </si>
  <si>
    <t>A011-COG-X-BVM-T2Ti</t>
  </si>
  <si>
    <t>A012-COG-X-BVM-T2Ti</t>
  </si>
  <si>
    <t>A013-COG-X-BVM-T2Ti</t>
  </si>
  <si>
    <t>A014-COG-X-BVM-T2Ti</t>
  </si>
  <si>
    <t>A015-COG-X-BVM-T2Ti</t>
  </si>
  <si>
    <t>A016-COG-X-BVM-T2Ti</t>
  </si>
  <si>
    <t>A017-COG-X-BVM-T2Ti</t>
  </si>
  <si>
    <t>A018-COG-X-BVM-T2Ti</t>
  </si>
  <si>
    <t>A019-COG-X-BVM-T2Ti</t>
  </si>
  <si>
    <t>A020-COG-X-BVM-T2Ti</t>
  </si>
  <si>
    <t>A021-COG-X-BVM-T2Ti</t>
  </si>
  <si>
    <t>A022-COG-X-BVM-T2Ti</t>
  </si>
  <si>
    <t>A023-COG-X-BVM-T2Ti</t>
  </si>
  <si>
    <t>A024-COG-X-BVM-T2Ti</t>
  </si>
  <si>
    <t>A025-COG-X-BVM-T2Ti</t>
  </si>
  <si>
    <t>A026-COG-X-BVM-T2Ti</t>
  </si>
  <si>
    <t>A027-COG-X-BVM-T2Ti</t>
  </si>
  <si>
    <t>A028-COG-X-BVM-T2Ti</t>
  </si>
  <si>
    <t>A029-COG-X-BVM-T2Ti</t>
  </si>
  <si>
    <t>A030-COG-X-BVM-T2Ti</t>
  </si>
  <si>
    <t>A031-COG-X-BVM-T2Ti</t>
  </si>
  <si>
    <t>A032-COG-X-BVM-T2Ti</t>
  </si>
  <si>
    <t>A033-COG-X-BVM-T2Ti</t>
  </si>
  <si>
    <t>A034-COG-X-BVM-T2Ti</t>
  </si>
  <si>
    <t>A035-COG-X-BVM-T2Ti</t>
  </si>
  <si>
    <t>A036-COG-X-BVM-T2Ti</t>
  </si>
  <si>
    <t>A037-COG-X-BVM-T2Ti</t>
  </si>
  <si>
    <t>A038-COG-X-BVM-T2Ti</t>
  </si>
  <si>
    <t>A039-COG-X-BVM-T2Ti</t>
  </si>
  <si>
    <t>A040-COG-X-BVM-T2Ti</t>
  </si>
  <si>
    <t>A041-COG-X-BVM-T2Ti</t>
  </si>
  <si>
    <t>A042-COG-X-BVM-T2Ti</t>
  </si>
  <si>
    <t>A043-COG-X-BVM-T2Ti</t>
  </si>
  <si>
    <t>A044-COG-X-BVM-T2Ti</t>
  </si>
  <si>
    <t>A045-COG-X-BVM-T2Ti</t>
  </si>
  <si>
    <t>A046-COG-X-BVM-T2Ti</t>
  </si>
  <si>
    <t>A047-COG-X-BVM-T2Ti</t>
  </si>
  <si>
    <t>A048-COG-X-BVM-T2Ti</t>
  </si>
  <si>
    <t>A049-COG-X-BVM-T2Ti</t>
  </si>
  <si>
    <t>A050-COG-X-BVM-T2Ti</t>
  </si>
  <si>
    <t>A051-COG-X-BVM-T2Ti</t>
  </si>
  <si>
    <t>A052-COG-X-BVM-T2Ti</t>
  </si>
  <si>
    <t>A053-COG-X-BVM-T2Ti</t>
  </si>
  <si>
    <t>A054-COG-X-BVM-T2Ti</t>
  </si>
  <si>
    <t>A055-COG-X-BVM-T2Ti</t>
  </si>
  <si>
    <t>A056-COG-X-BVM-T2Ti</t>
  </si>
  <si>
    <t>A057-COG-X-BVM-T2Ti</t>
  </si>
  <si>
    <t>A058-COG-X-BVM-T2Ti</t>
  </si>
  <si>
    <t>A059-COG-X-BVM-T2Ti</t>
  </si>
  <si>
    <t>A060-COG-X-BVM-T2Ti</t>
  </si>
  <si>
    <t>A061-COG-X-BVM-T2Ti</t>
  </si>
  <si>
    <t>A062-COG-X-BVM-T2Ti</t>
  </si>
  <si>
    <t>A063-COG-X-BVM-T2Ti</t>
  </si>
  <si>
    <t>A064-COG-X-BVM-T2Ti</t>
  </si>
  <si>
    <t>A065-COG-X-BVM-T2Ti</t>
  </si>
  <si>
    <t>A066-COG-X-BVM-T2Ti</t>
  </si>
  <si>
    <t>A067-COG-X-BVM-T2Ti</t>
  </si>
  <si>
    <t>A068-COG-X-BVM-T2Ti</t>
  </si>
  <si>
    <t>A069-COG-X-BVM-T2Ti</t>
  </si>
  <si>
    <t>A070-COG-X-BVM-T2Ti</t>
  </si>
  <si>
    <t>A071-COG-X-BVM-T2Ti</t>
  </si>
  <si>
    <t>A072-COG-X-BVM-T2Ti</t>
  </si>
  <si>
    <t>A073-COG-X-BVM-T2Ti</t>
  </si>
  <si>
    <t>A074-COG-X-BVM-T2Ti</t>
  </si>
  <si>
    <t>A075-COG-X-BVM-T2Ti</t>
  </si>
  <si>
    <t>A076-COG-X-BVM-T2Ti</t>
  </si>
  <si>
    <t>A077-COG-X-BVM-T2Ti</t>
  </si>
  <si>
    <t>A078-COG-X-BVM-T2Ti</t>
  </si>
  <si>
    <t>A079-COG-X-BVM-T2Ti</t>
  </si>
  <si>
    <t>A080-COG-X-BVM-T2Ti</t>
  </si>
  <si>
    <t>A081-COG-X-BVM-T2Ti</t>
  </si>
  <si>
    <t>A082-COG-X-BVM-T2Ti</t>
  </si>
  <si>
    <t>A083-COG-X-BVM-T2Ti</t>
  </si>
  <si>
    <t>A084-COG-X-BVM-T2Ti</t>
  </si>
  <si>
    <t>A085-COG-X-BVM-T2Ti</t>
  </si>
  <si>
    <t>A086-COG-X-BVM-T2Ti</t>
  </si>
  <si>
    <t>A087-COG-X-BVM-T2Ti</t>
  </si>
  <si>
    <t>A088-COG-X-BVM-T2Ti</t>
  </si>
  <si>
    <t>A089-COG-X-BVM-T2Ti</t>
  </si>
  <si>
    <t>A090-COG-X-BVM-T2Ti</t>
  </si>
  <si>
    <t>A091-COG-X-BVM-T2Ti</t>
  </si>
  <si>
    <t>A092-COG-X-BVM-T2Ti</t>
  </si>
  <si>
    <t>A093-COG-X-BVM-T2Ti</t>
  </si>
  <si>
    <t>A094-COG-X-BVM-T2Ti</t>
  </si>
  <si>
    <t>A095-COG-X-BVM-T2Ti</t>
  </si>
  <si>
    <t>A096-COG-X-BVM-T2Ti</t>
  </si>
  <si>
    <t>A097-COG-X-BVM-T2Ti</t>
  </si>
  <si>
    <t>A098-COG-X-BVM-T2Ti</t>
  </si>
  <si>
    <t>A099-COG-X-BVM-T2Ti</t>
  </si>
  <si>
    <t>A100-COG-X-BVM-T2Ti</t>
  </si>
  <si>
    <t>A101-COG-X-BVM-T2Ti</t>
  </si>
  <si>
    <t>A102-COG-X-BVM-T2Ti</t>
  </si>
  <si>
    <t>A103-COG-X-BVM-T2Ti</t>
  </si>
  <si>
    <t>A104-COG-X-BVM-T2Ti</t>
  </si>
  <si>
    <t>A105-COG-X-BVM-T2Ti</t>
  </si>
  <si>
    <t>A106-COG-X-BVM-T2Ti</t>
  </si>
  <si>
    <t>A107-COG-X-BVM-T2Ti</t>
  </si>
  <si>
    <t>A108-COG-X-BVM-T2Ti</t>
  </si>
  <si>
    <t>A109-COG-X-BVM-T2Ti</t>
  </si>
  <si>
    <t>A010-COG-X-BVM-T2Sc</t>
  </si>
  <si>
    <t>A011-COG-X-BVM-T2Sc</t>
  </si>
  <si>
    <t>A012-COG-X-BVM-T2Sc</t>
  </si>
  <si>
    <t>A013-COG-X-BVM-T2Sc</t>
  </si>
  <si>
    <t>A014-COG-X-BVM-T2Sc</t>
  </si>
  <si>
    <t>A015-COG-X-BVM-T2Sc</t>
  </si>
  <si>
    <t>A016-COG-X-BVM-T2Sc</t>
  </si>
  <si>
    <t>A017-COG-X-BVM-T2Sc</t>
  </si>
  <si>
    <t>A018-COG-X-BVM-T2Sc</t>
  </si>
  <si>
    <t>A019-COG-X-BVM-T2Sc</t>
  </si>
  <si>
    <t>A020-COG-X-BVM-T2Sc</t>
  </si>
  <si>
    <t>A021-COG-X-BVM-T2Sc</t>
  </si>
  <si>
    <t>A022-COG-X-BVM-T2Sc</t>
  </si>
  <si>
    <t>A023-COG-X-BVM-T2Sc</t>
  </si>
  <si>
    <t>A024-COG-X-BVM-T2Sc</t>
  </si>
  <si>
    <t>A025-COG-X-BVM-T2Sc</t>
  </si>
  <si>
    <t>A026-COG-X-BVM-T2Sc</t>
  </si>
  <si>
    <t>A027-COG-X-BVM-T2Sc</t>
  </si>
  <si>
    <t>A028-COG-X-BVM-T2Sc</t>
  </si>
  <si>
    <t>A029-COG-X-BVM-T2Sc</t>
  </si>
  <si>
    <t>A030-COG-X-BVM-T2Sc</t>
  </si>
  <si>
    <t>A031-COG-X-BVM-T2Sc</t>
  </si>
  <si>
    <t>A032-COG-X-BVM-T2Sc</t>
  </si>
  <si>
    <t>A033-COG-X-BVM-T2Sc</t>
  </si>
  <si>
    <t>A034-COG-X-BVM-T2Sc</t>
  </si>
  <si>
    <t>A035-COG-X-BVM-T2Sc</t>
  </si>
  <si>
    <t>A036-COG-X-BVM-T2Sc</t>
  </si>
  <si>
    <t>A037-COG-X-BVM-T2Sc</t>
  </si>
  <si>
    <t>A038-COG-X-BVM-T2Sc</t>
  </si>
  <si>
    <t>A039-COG-X-BVM-T2Sc</t>
  </si>
  <si>
    <t>A040-COG-X-BVM-T2Sc</t>
  </si>
  <si>
    <t>A041-COG-X-BVM-T2Sc</t>
  </si>
  <si>
    <t>A042-COG-X-BVM-T2Sc</t>
  </si>
  <si>
    <t>A043-COG-X-BVM-T2Sc</t>
  </si>
  <si>
    <t>A044-COG-X-BVM-T2Sc</t>
  </si>
  <si>
    <t>A045-COG-X-BVM-T2Sc</t>
  </si>
  <si>
    <t>A046-COG-X-BVM-T2Sc</t>
  </si>
  <si>
    <t>A047-COG-X-BVM-T2Sc</t>
  </si>
  <si>
    <t>A048-COG-X-BVM-T2Sc</t>
  </si>
  <si>
    <t>A049-COG-X-BVM-T2Sc</t>
  </si>
  <si>
    <t>A050-COG-X-BVM-T2Sc</t>
  </si>
  <si>
    <t>A051-COG-X-BVM-T2Sc</t>
  </si>
  <si>
    <t>A052-COG-X-BVM-T2Sc</t>
  </si>
  <si>
    <t>A053-COG-X-BVM-T2Sc</t>
  </si>
  <si>
    <t>A054-COG-X-BVM-T2Sc</t>
  </si>
  <si>
    <t>A055-COG-X-BVM-T2Sc</t>
  </si>
  <si>
    <t>A056-COG-X-BVM-T2Sc</t>
  </si>
  <si>
    <t>A057-COG-X-BVM-T2Sc</t>
  </si>
  <si>
    <t>A058-COG-X-BVM-T2Sc</t>
  </si>
  <si>
    <t>A059-COG-X-BVM-T2Sc</t>
  </si>
  <si>
    <t>A060-COG-X-BVM-T2Sc</t>
  </si>
  <si>
    <t>A061-COG-X-BVM-T2Sc</t>
  </si>
  <si>
    <t>A062-COG-X-BVM-T2Sc</t>
  </si>
  <si>
    <t>A063-COG-X-BVM-T2Sc</t>
  </si>
  <si>
    <t>A064-COG-X-BVM-T2Sc</t>
  </si>
  <si>
    <t>A065-COG-X-BVM-T2Sc</t>
  </si>
  <si>
    <t>A066-COG-X-BVM-T2Sc</t>
  </si>
  <si>
    <t>A067-COG-X-BVM-T2Sc</t>
  </si>
  <si>
    <t>A068-COG-X-BVM-T2Sc</t>
  </si>
  <si>
    <t>A069-COG-X-BVM-T2Sc</t>
  </si>
  <si>
    <t>A070-COG-X-BVM-T2Sc</t>
  </si>
  <si>
    <t>A071-COG-X-BVM-T2Sc</t>
  </si>
  <si>
    <t>A072-COG-X-BVM-T2Sc</t>
  </si>
  <si>
    <t>A073-COG-X-BVM-T2Sc</t>
  </si>
  <si>
    <t>A074-COG-X-BVM-T2Sc</t>
  </si>
  <si>
    <t>A075-COG-X-BVM-T2Sc</t>
  </si>
  <si>
    <t>A076-COG-X-BVM-T2Sc</t>
  </si>
  <si>
    <t>A077-COG-X-BVM-T2Sc</t>
  </si>
  <si>
    <t>A078-COG-X-BVM-T2Sc</t>
  </si>
  <si>
    <t>A079-COG-X-BVM-T2Sc</t>
  </si>
  <si>
    <t>A080-COG-X-BVM-T2Sc</t>
  </si>
  <si>
    <t>A081-COG-X-BVM-T2Sc</t>
  </si>
  <si>
    <t>A082-COG-X-BVM-T2Sc</t>
  </si>
  <si>
    <t>A083-COG-X-BVM-T2Sc</t>
  </si>
  <si>
    <t>A084-COG-X-BVM-T2Sc</t>
  </si>
  <si>
    <t>A085-COG-X-BVM-T2Sc</t>
  </si>
  <si>
    <t>A086-COG-X-BVM-T2Sc</t>
  </si>
  <si>
    <t>A087-COG-X-BVM-T2Sc</t>
  </si>
  <si>
    <t>A088-COG-X-BVM-T2Sc</t>
  </si>
  <si>
    <t>A089-COG-X-BVM-T2Sc</t>
  </si>
  <si>
    <t>A090-COG-X-BVM-T2Sc</t>
  </si>
  <si>
    <t>A091-COG-X-BVM-T2Sc</t>
  </si>
  <si>
    <t>A092-COG-X-BVM-T2Sc</t>
  </si>
  <si>
    <t>A093-COG-X-BVM-T2Sc</t>
  </si>
  <si>
    <t>A094-COG-X-BVM-T2Sc</t>
  </si>
  <si>
    <t>A095-COG-X-BVM-T2Sc</t>
  </si>
  <si>
    <t>A096-COG-X-BVM-T2Sc</t>
  </si>
  <si>
    <t>A097-COG-X-BVM-T2Sc</t>
  </si>
  <si>
    <t>A098-COG-X-BVM-T2Sc</t>
  </si>
  <si>
    <t>A099-COG-X-BVM-T2Sc</t>
  </si>
  <si>
    <t>A100-COG-X-BVM-T2Sc</t>
  </si>
  <si>
    <t>A101-COG-X-BVM-T2Sc</t>
  </si>
  <si>
    <t>A102-COG-X-BVM-T2Sc</t>
  </si>
  <si>
    <t>A103-COG-X-BVM-T2Sc</t>
  </si>
  <si>
    <t>A104-COG-X-BVM-T2Sc</t>
  </si>
  <si>
    <t>A105-COG-X-BVM-T2Sc</t>
  </si>
  <si>
    <t>A106-COG-X-BVM-T2Sc</t>
  </si>
  <si>
    <t>A107-COG-X-BVM-T2Sc</t>
  </si>
  <si>
    <t>A108-COG-X-BVM-T2Sc</t>
  </si>
  <si>
    <t>A109-COG-X-BVM-T2Sc</t>
  </si>
  <si>
    <t>A010-COG-X-BVM-T3Ti</t>
  </si>
  <si>
    <t>A011-COG-X-BVM-T3Ti</t>
  </si>
  <si>
    <t>A012-COG-X-BVM-T3Ti</t>
  </si>
  <si>
    <t>A013-COG-X-BVM-T3Ti</t>
  </si>
  <si>
    <t>A014-COG-X-BVM-T3Ti</t>
  </si>
  <si>
    <t>A015-COG-X-BVM-T3Ti</t>
  </si>
  <si>
    <t>A016-COG-X-BVM-T3Ti</t>
  </si>
  <si>
    <t>A017-COG-X-BVM-T3Ti</t>
  </si>
  <si>
    <t>A018-COG-X-BVM-T3Ti</t>
  </si>
  <si>
    <t>A019-COG-X-BVM-T3Ti</t>
  </si>
  <si>
    <t>A020-COG-X-BVM-T3Ti</t>
  </si>
  <si>
    <t>A021-COG-X-BVM-T3Ti</t>
  </si>
  <si>
    <t>A022-COG-X-BVM-T3Ti</t>
  </si>
  <si>
    <t>A023-COG-X-BVM-T3Ti</t>
  </si>
  <si>
    <t>A024-COG-X-BVM-T3Ti</t>
  </si>
  <si>
    <t>A025-COG-X-BVM-T3Ti</t>
  </si>
  <si>
    <t>A026-COG-X-BVM-T3Ti</t>
  </si>
  <si>
    <t>A027-COG-X-BVM-T3Ti</t>
  </si>
  <si>
    <t>A028-COG-X-BVM-T3Ti</t>
  </si>
  <si>
    <t>A029-COG-X-BVM-T3Ti</t>
  </si>
  <si>
    <t>A030-COG-X-BVM-T3Ti</t>
  </si>
  <si>
    <t>A031-COG-X-BVM-T3Ti</t>
  </si>
  <si>
    <t>A032-COG-X-BVM-T3Ti</t>
  </si>
  <si>
    <t>A033-COG-X-BVM-T3Ti</t>
  </si>
  <si>
    <t>A034-COG-X-BVM-T3Ti</t>
  </si>
  <si>
    <t>A035-COG-X-BVM-T3Ti</t>
  </si>
  <si>
    <t>A036-COG-X-BVM-T3Ti</t>
  </si>
  <si>
    <t>A037-COG-X-BVM-T3Ti</t>
  </si>
  <si>
    <t>A038-COG-X-BVM-T3Ti</t>
  </si>
  <si>
    <t>A039-COG-X-BVM-T3Ti</t>
  </si>
  <si>
    <t>A040-COG-X-BVM-T3Ti</t>
  </si>
  <si>
    <t>A041-COG-X-BVM-T3Ti</t>
  </si>
  <si>
    <t>A042-COG-X-BVM-T3Ti</t>
  </si>
  <si>
    <t>A043-COG-X-BVM-T3Ti</t>
  </si>
  <si>
    <t>A044-COG-X-BVM-T3Ti</t>
  </si>
  <si>
    <t>A045-COG-X-BVM-T3Ti</t>
  </si>
  <si>
    <t>A046-COG-X-BVM-T3Ti</t>
  </si>
  <si>
    <t>A047-COG-X-BVM-T3Ti</t>
  </si>
  <si>
    <t>A048-COG-X-BVM-T3Ti</t>
  </si>
  <si>
    <t>A049-COG-X-BVM-T3Ti</t>
  </si>
  <si>
    <t>A050-COG-X-BVM-T3Ti</t>
  </si>
  <si>
    <t>A051-COG-X-BVM-T3Ti</t>
  </si>
  <si>
    <t>A052-COG-X-BVM-T3Ti</t>
  </si>
  <si>
    <t>A053-COG-X-BVM-T3Ti</t>
  </si>
  <si>
    <t>A054-COG-X-BVM-T3Ti</t>
  </si>
  <si>
    <t>A055-COG-X-BVM-T3Ti</t>
  </si>
  <si>
    <t>A056-COG-X-BVM-T3Ti</t>
  </si>
  <si>
    <t>A057-COG-X-BVM-T3Ti</t>
  </si>
  <si>
    <t>A058-COG-X-BVM-T3Ti</t>
  </si>
  <si>
    <t>A059-COG-X-BVM-T3Ti</t>
  </si>
  <si>
    <t>A060-COG-X-BVM-T3Ti</t>
  </si>
  <si>
    <t>A061-COG-X-BVM-T3Ti</t>
  </si>
  <si>
    <t>A062-COG-X-BVM-T3Ti</t>
  </si>
  <si>
    <t>A063-COG-X-BVM-T3Ti</t>
  </si>
  <si>
    <t>A064-COG-X-BVM-T3Ti</t>
  </si>
  <si>
    <t>A065-COG-X-BVM-T3Ti</t>
  </si>
  <si>
    <t>A066-COG-X-BVM-T3Ti</t>
  </si>
  <si>
    <t>A067-COG-X-BVM-T3Ti</t>
  </si>
  <si>
    <t>A068-COG-X-BVM-T3Ti</t>
  </si>
  <si>
    <t>A069-COG-X-BVM-T3Ti</t>
  </si>
  <si>
    <t>A070-COG-X-BVM-T3Ti</t>
  </si>
  <si>
    <t>A071-COG-X-BVM-T3Ti</t>
  </si>
  <si>
    <t>A072-COG-X-BVM-T3Ti</t>
  </si>
  <si>
    <t>A073-COG-X-BVM-T3Ti</t>
  </si>
  <si>
    <t>A074-COG-X-BVM-T3Ti</t>
  </si>
  <si>
    <t>A075-COG-X-BVM-T3Ti</t>
  </si>
  <si>
    <t>A076-COG-X-BVM-T3Ti</t>
  </si>
  <si>
    <t>A077-COG-X-BVM-T3Ti</t>
  </si>
  <si>
    <t>A078-COG-X-BVM-T3Ti</t>
  </si>
  <si>
    <t>A079-COG-X-BVM-T3Ti</t>
  </si>
  <si>
    <t>A080-COG-X-BVM-T3Ti</t>
  </si>
  <si>
    <t>A081-COG-X-BVM-T3Ti</t>
  </si>
  <si>
    <t>A082-COG-X-BVM-T3Ti</t>
  </si>
  <si>
    <t>A083-COG-X-BVM-T3Ti</t>
  </si>
  <si>
    <t>A084-COG-X-BVM-T3Ti</t>
  </si>
  <si>
    <t>A085-COG-X-BVM-T3Ti</t>
  </si>
  <si>
    <t>A086-COG-X-BVM-T3Ti</t>
  </si>
  <si>
    <t>A087-COG-X-BVM-T3Ti</t>
  </si>
  <si>
    <t>A088-COG-X-BVM-T3Ti</t>
  </si>
  <si>
    <t>A089-COG-X-BVM-T3Ti</t>
  </si>
  <si>
    <t>A090-COG-X-BVM-T3Ti</t>
  </si>
  <si>
    <t>A091-COG-X-BVM-T3Ti</t>
  </si>
  <si>
    <t>A092-COG-X-BVM-T3Ti</t>
  </si>
  <si>
    <t>A093-COG-X-BVM-T3Ti</t>
  </si>
  <si>
    <t>A094-COG-X-BVM-T3Ti</t>
  </si>
  <si>
    <t>A095-COG-X-BVM-T3Ti</t>
  </si>
  <si>
    <t>A096-COG-X-BVM-T3Ti</t>
  </si>
  <si>
    <t>A097-COG-X-BVM-T3Ti</t>
  </si>
  <si>
    <t>A098-COG-X-BVM-T3Ti</t>
  </si>
  <si>
    <t>A099-COG-X-BVM-T3Ti</t>
  </si>
  <si>
    <t>A100-COG-X-BVM-T3Ti</t>
  </si>
  <si>
    <t>A101-COG-X-BVM-T3Ti</t>
  </si>
  <si>
    <t>A102-COG-X-BVM-T3Ti</t>
  </si>
  <si>
    <t>A103-COG-X-BVM-T3Ti</t>
  </si>
  <si>
    <t>A104-COG-X-BVM-T3Ti</t>
  </si>
  <si>
    <t>A105-COG-X-BVM-T3Ti</t>
  </si>
  <si>
    <t>A106-COG-X-BVM-T3Ti</t>
  </si>
  <si>
    <t>A107-COG-X-BVM-T3Ti</t>
  </si>
  <si>
    <t>A108-COG-X-BVM-T3Ti</t>
  </si>
  <si>
    <t>A109-COG-X-BVM-T3Ti</t>
  </si>
  <si>
    <t>A010-COG-X-BVM-T3Sc</t>
  </si>
  <si>
    <t>A011-COG-X-BVM-T3Sc</t>
  </si>
  <si>
    <t>A012-COG-X-BVM-T3Sc</t>
  </si>
  <si>
    <t>A013-COG-X-BVM-T3Sc</t>
  </si>
  <si>
    <t>A014-COG-X-BVM-T3Sc</t>
  </si>
  <si>
    <t>A015-COG-X-BVM-T3Sc</t>
  </si>
  <si>
    <t>A016-COG-X-BVM-T3Sc</t>
  </si>
  <si>
    <t>A017-COG-X-BVM-T3Sc</t>
  </si>
  <si>
    <t>A018-COG-X-BVM-T3Sc</t>
  </si>
  <si>
    <t>A019-COG-X-BVM-T3Sc</t>
  </si>
  <si>
    <t>A020-COG-X-BVM-T3Sc</t>
  </si>
  <si>
    <t>A021-COG-X-BVM-T3Sc</t>
  </si>
  <si>
    <t>A022-COG-X-BVM-T3Sc</t>
  </si>
  <si>
    <t>A023-COG-X-BVM-T3Sc</t>
  </si>
  <si>
    <t>A024-COG-X-BVM-T3Sc</t>
  </si>
  <si>
    <t>A025-COG-X-BVM-T3Sc</t>
  </si>
  <si>
    <t>A026-COG-X-BVM-T3Sc</t>
  </si>
  <si>
    <t>A027-COG-X-BVM-T3Sc</t>
  </si>
  <si>
    <t>A028-COG-X-BVM-T3Sc</t>
  </si>
  <si>
    <t>A029-COG-X-BVM-T3Sc</t>
  </si>
  <si>
    <t>A030-COG-X-BVM-T3Sc</t>
  </si>
  <si>
    <t>A031-COG-X-BVM-T3Sc</t>
  </si>
  <si>
    <t>A032-COG-X-BVM-T3Sc</t>
  </si>
  <si>
    <t>A033-COG-X-BVM-T3Sc</t>
  </si>
  <si>
    <t>A034-COG-X-BVM-T3Sc</t>
  </si>
  <si>
    <t>A035-COG-X-BVM-T3Sc</t>
  </si>
  <si>
    <t>A036-COG-X-BVM-T3Sc</t>
  </si>
  <si>
    <t>A037-COG-X-BVM-T3Sc</t>
  </si>
  <si>
    <t>A038-COG-X-BVM-T3Sc</t>
  </si>
  <si>
    <t>A039-COG-X-BVM-T3Sc</t>
  </si>
  <si>
    <t>A040-COG-X-BVM-T3Sc</t>
  </si>
  <si>
    <t>A041-COG-X-BVM-T3Sc</t>
  </si>
  <si>
    <t>A042-COG-X-BVM-T3Sc</t>
  </si>
  <si>
    <t>A043-COG-X-BVM-T3Sc</t>
  </si>
  <si>
    <t>A044-COG-X-BVM-T3Sc</t>
  </si>
  <si>
    <t>A045-COG-X-BVM-T3Sc</t>
  </si>
  <si>
    <t>A046-COG-X-BVM-T3Sc</t>
  </si>
  <si>
    <t>A047-COG-X-BVM-T3Sc</t>
  </si>
  <si>
    <t>A048-COG-X-BVM-T3Sc</t>
  </si>
  <si>
    <t>A049-COG-X-BVM-T3Sc</t>
  </si>
  <si>
    <t>A050-COG-X-BVM-T3Sc</t>
  </si>
  <si>
    <t>A051-COG-X-BVM-T3Sc</t>
  </si>
  <si>
    <t>A052-COG-X-BVM-T3Sc</t>
  </si>
  <si>
    <t>A053-COG-X-BVM-T3Sc</t>
  </si>
  <si>
    <t>A054-COG-X-BVM-T3Sc</t>
  </si>
  <si>
    <t>A055-COG-X-BVM-T3Sc</t>
  </si>
  <si>
    <t>A056-COG-X-BVM-T3Sc</t>
  </si>
  <si>
    <t>A057-COG-X-BVM-T3Sc</t>
  </si>
  <si>
    <t>A058-COG-X-BVM-T3Sc</t>
  </si>
  <si>
    <t>A059-COG-X-BVM-T3Sc</t>
  </si>
  <si>
    <t>A060-COG-X-BVM-T3Sc</t>
  </si>
  <si>
    <t>A061-COG-X-BVM-T3Sc</t>
  </si>
  <si>
    <t>A062-COG-X-BVM-T3Sc</t>
  </si>
  <si>
    <t>A063-COG-X-BVM-T3Sc</t>
  </si>
  <si>
    <t>A064-COG-X-BVM-T3Sc</t>
  </si>
  <si>
    <t>A065-COG-X-BVM-T3Sc</t>
  </si>
  <si>
    <t>A066-COG-X-BVM-T3Sc</t>
  </si>
  <si>
    <t>A067-COG-X-BVM-T3Sc</t>
  </si>
  <si>
    <t>A068-COG-X-BVM-T3Sc</t>
  </si>
  <si>
    <t>A069-COG-X-BVM-T3Sc</t>
  </si>
  <si>
    <t>A070-COG-X-BVM-T3Sc</t>
  </si>
  <si>
    <t>A071-COG-X-BVM-T3Sc</t>
  </si>
  <si>
    <t>A072-COG-X-BVM-T3Sc</t>
  </si>
  <si>
    <t>A073-COG-X-BVM-T3Sc</t>
  </si>
  <si>
    <t>A074-COG-X-BVM-T3Sc</t>
  </si>
  <si>
    <t>A075-COG-X-BVM-T3Sc</t>
  </si>
  <si>
    <t>A076-COG-X-BVM-T3Sc</t>
  </si>
  <si>
    <t>A077-COG-X-BVM-T3Sc</t>
  </si>
  <si>
    <t>A078-COG-X-BVM-T3Sc</t>
  </si>
  <si>
    <t>A079-COG-X-BVM-T3Sc</t>
  </si>
  <si>
    <t>A080-COG-X-BVM-T3Sc</t>
  </si>
  <si>
    <t>A081-COG-X-BVM-T3Sc</t>
  </si>
  <si>
    <t>A082-COG-X-BVM-T3Sc</t>
  </si>
  <si>
    <t>A083-COG-X-BVM-T3Sc</t>
  </si>
  <si>
    <t>A084-COG-X-BVM-T3Sc</t>
  </si>
  <si>
    <t>A085-COG-X-BVM-T3Sc</t>
  </si>
  <si>
    <t>A086-COG-X-BVM-T3Sc</t>
  </si>
  <si>
    <t>A087-COG-X-BVM-T3Sc</t>
  </si>
  <si>
    <t>A088-COG-X-BVM-T3Sc</t>
  </si>
  <si>
    <t>A089-COG-X-BVM-T3Sc</t>
  </si>
  <si>
    <t>A090-COG-X-BVM-T3Sc</t>
  </si>
  <si>
    <t>A091-COG-X-BVM-T3Sc</t>
  </si>
  <si>
    <t>A092-COG-X-BVM-T3Sc</t>
  </si>
  <si>
    <t>A093-COG-X-BVM-T3Sc</t>
  </si>
  <si>
    <t>A094-COG-X-BVM-T3Sc</t>
  </si>
  <si>
    <t>A095-COG-X-BVM-T3Sc</t>
  </si>
  <si>
    <t>A096-COG-X-BVM-T3Sc</t>
  </si>
  <si>
    <t>A097-COG-X-BVM-T3Sc</t>
  </si>
  <si>
    <t>A098-COG-X-BVM-T3Sc</t>
  </si>
  <si>
    <t>A099-COG-X-BVM-T3Sc</t>
  </si>
  <si>
    <t>A100-COG-X-BVM-T3Sc</t>
  </si>
  <si>
    <t>A101-COG-X-BVM-T3Sc</t>
  </si>
  <si>
    <t>A102-COG-X-BVM-T3Sc</t>
  </si>
  <si>
    <t>A103-COG-X-BVM-T3Sc</t>
  </si>
  <si>
    <t>A104-COG-X-BVM-T3Sc</t>
  </si>
  <si>
    <t>A105-COG-X-BVM-T3Sc</t>
  </si>
  <si>
    <t>A106-COG-X-BVM-T3Sc</t>
  </si>
  <si>
    <t>A107-COG-X-BVM-T3Sc</t>
  </si>
  <si>
    <t>A108-COG-X-BVM-T3Sc</t>
  </si>
  <si>
    <t>A109-COG-X-BVM-T3Sc</t>
  </si>
  <si>
    <t>A010-COG-X-BVM-TDTD</t>
  </si>
  <si>
    <t>A011-COG-X-BVM-TDTD</t>
  </si>
  <si>
    <t>A012-COG-X-BVM-TDTD</t>
  </si>
  <si>
    <t>A013-COG-X-BVM-TDTD</t>
  </si>
  <si>
    <t>A014-COG-X-BVM-TDTD</t>
  </si>
  <si>
    <t>A015-COG-X-BVM-TDTD</t>
  </si>
  <si>
    <t>A016-COG-X-BVM-TDTD</t>
  </si>
  <si>
    <t>A017-COG-X-BVM-TDTD</t>
  </si>
  <si>
    <t>A018-COG-X-BVM-TDTD</t>
  </si>
  <si>
    <t>A019-COG-X-BVM-TDTD</t>
  </si>
  <si>
    <t>A020-COG-X-BVM-TDTD</t>
  </si>
  <si>
    <t>A021-COG-X-BVM-TDTD</t>
  </si>
  <si>
    <t>A022-COG-X-BVM-TDTD</t>
  </si>
  <si>
    <t>A023-COG-X-BVM-TDTD</t>
  </si>
  <si>
    <t>A024-COG-X-BVM-TDTD</t>
  </si>
  <si>
    <t>A025-COG-X-BVM-TDTD</t>
  </si>
  <si>
    <t>A026-COG-X-BVM-TDTD</t>
  </si>
  <si>
    <t>A027-COG-X-BVM-TDTD</t>
  </si>
  <si>
    <t>A028-COG-X-BVM-TDTD</t>
  </si>
  <si>
    <t>A029-COG-X-BVM-TDTD</t>
  </si>
  <si>
    <t>A030-COG-X-BVM-TDTD</t>
  </si>
  <si>
    <t>A031-COG-X-BVM-TDTD</t>
  </si>
  <si>
    <t>A032-COG-X-BVM-TDTD</t>
  </si>
  <si>
    <t>A033-COG-X-BVM-TDTD</t>
  </si>
  <si>
    <t>A034-COG-X-BVM-TDTD</t>
  </si>
  <si>
    <t>A035-COG-X-BVM-TDTD</t>
  </si>
  <si>
    <t>A036-COG-X-BVM-TDTD</t>
  </si>
  <si>
    <t>A037-COG-X-BVM-TDTD</t>
  </si>
  <si>
    <t>A038-COG-X-BVM-TDTD</t>
  </si>
  <si>
    <t>A039-COG-X-BVM-TDTD</t>
  </si>
  <si>
    <t>A040-COG-X-BVM-TDTD</t>
  </si>
  <si>
    <t>A041-COG-X-BVM-TDTD</t>
  </si>
  <si>
    <t>A042-COG-X-BVM-TDTD</t>
  </si>
  <si>
    <t>A043-COG-X-BVM-TDTD</t>
  </si>
  <si>
    <t>A044-COG-X-BVM-TDTD</t>
  </si>
  <si>
    <t>A045-COG-X-BVM-TDTD</t>
  </si>
  <si>
    <t>A046-COG-X-BVM-TDTD</t>
  </si>
  <si>
    <t>A047-COG-X-BVM-TDTD</t>
  </si>
  <si>
    <t>A048-COG-X-BVM-TDTD</t>
  </si>
  <si>
    <t>A049-COG-X-BVM-TDTD</t>
  </si>
  <si>
    <t>A050-COG-X-BVM-TDTD</t>
  </si>
  <si>
    <t>A051-COG-X-BVM-TDTD</t>
  </si>
  <si>
    <t>A052-COG-X-BVM-TDTD</t>
  </si>
  <si>
    <t>A053-COG-X-BVM-TDTD</t>
  </si>
  <si>
    <t>A054-COG-X-BVM-TDTD</t>
  </si>
  <si>
    <t>A055-COG-X-BVM-TDTD</t>
  </si>
  <si>
    <t>A056-COG-X-BVM-TDTD</t>
  </si>
  <si>
    <t>A057-COG-X-BVM-TDTD</t>
  </si>
  <si>
    <t>A058-COG-X-BVM-TDTD</t>
  </si>
  <si>
    <t>A059-COG-X-BVM-TDTD</t>
  </si>
  <si>
    <t>A060-COG-X-BVM-TDTD</t>
  </si>
  <si>
    <t>A061-COG-X-BVM-TDTD</t>
  </si>
  <si>
    <t>A062-COG-X-BVM-TDTD</t>
  </si>
  <si>
    <t>A063-COG-X-BVM-TDTD</t>
  </si>
  <si>
    <t>A064-COG-X-BVM-TDTD</t>
  </si>
  <si>
    <t>A065-COG-X-BVM-TDTD</t>
  </si>
  <si>
    <t>A066-COG-X-BVM-TDTD</t>
  </si>
  <si>
    <t>A067-COG-X-BVM-TDTD</t>
  </si>
  <si>
    <t>A068-COG-X-BVM-TDTD</t>
  </si>
  <si>
    <t>A069-COG-X-BVM-TDTD</t>
  </si>
  <si>
    <t>A070-COG-X-BVM-TDTD</t>
  </si>
  <si>
    <t>A071-COG-X-BVM-TDTD</t>
  </si>
  <si>
    <t>A072-COG-X-BVM-TDTD</t>
  </si>
  <si>
    <t>A073-COG-X-BVM-TDTD</t>
  </si>
  <si>
    <t>A074-COG-X-BVM-TDTD</t>
  </si>
  <si>
    <t>A075-COG-X-BVM-TDTD</t>
  </si>
  <si>
    <t>A076-COG-X-BVM-TDTD</t>
  </si>
  <si>
    <t>A077-COG-X-BVM-TDTD</t>
  </si>
  <si>
    <t>A078-COG-X-BVM-TDTD</t>
  </si>
  <si>
    <t>A079-COG-X-BVM-TDTD</t>
  </si>
  <si>
    <t>A080-COG-X-BVM-TDTD</t>
  </si>
  <si>
    <t>A081-COG-X-BVM-TDTD</t>
  </si>
  <si>
    <t>A082-COG-X-BVM-TDTD</t>
  </si>
  <si>
    <t>A083-COG-X-BVM-TDTD</t>
  </si>
  <si>
    <t>A084-COG-X-BVM-TDTD</t>
  </si>
  <si>
    <t>A085-COG-X-BVM-TDTD</t>
  </si>
  <si>
    <t>A086-COG-X-BVM-TDTD</t>
  </si>
  <si>
    <t>A087-COG-X-BVM-TDTD</t>
  </si>
  <si>
    <t>A088-COG-X-BVM-TDTD</t>
  </si>
  <si>
    <t>A089-COG-X-BVM-TDTD</t>
  </si>
  <si>
    <t>A090-COG-X-BVM-TDTD</t>
  </si>
  <si>
    <t>A091-COG-X-BVM-TDTD</t>
  </si>
  <si>
    <t>A092-COG-X-BVM-TDTD</t>
  </si>
  <si>
    <t>A093-COG-X-BVM-TDTD</t>
  </si>
  <si>
    <t>A094-COG-X-BVM-TDTD</t>
  </si>
  <si>
    <t>A095-COG-X-BVM-TDTD</t>
  </si>
  <si>
    <t>A096-COG-X-BVM-TDTD</t>
  </si>
  <si>
    <t>A097-COG-X-BVM-TDTD</t>
  </si>
  <si>
    <t>A098-COG-X-BVM-TDTD</t>
  </si>
  <si>
    <t>A099-COG-X-BVM-TDTD</t>
  </si>
  <si>
    <t>A100-COG-X-BVM-TDTD</t>
  </si>
  <si>
    <t>A101-COG-X-BVM-TDTD</t>
  </si>
  <si>
    <t>A102-COG-X-BVM-TDTD</t>
  </si>
  <si>
    <t>A103-COG-X-BVM-TDTD</t>
  </si>
  <si>
    <t>A104-COG-X-BVM-TDTD</t>
  </si>
  <si>
    <t>A105-COG-X-BVM-TDTD</t>
  </si>
  <si>
    <t>A106-COG-X-BVM-TDTD</t>
  </si>
  <si>
    <t>A107-COG-X-BVM-TDTD</t>
  </si>
  <si>
    <t>A108-COG-X-BVM-TDTD</t>
  </si>
  <si>
    <t>A109-COG-X-BVM-TDTD</t>
  </si>
  <si>
    <t>A010-COG-X-BVM-TDTi</t>
  </si>
  <si>
    <t>A011-COG-X-BVM-TDTi</t>
  </si>
  <si>
    <t>A012-COG-X-BVM-TDTi</t>
  </si>
  <si>
    <t>A013-COG-X-BVM-TDTi</t>
  </si>
  <si>
    <t>A014-COG-X-BVM-TDTi</t>
  </si>
  <si>
    <t>A015-COG-X-BVM-TDTi</t>
  </si>
  <si>
    <t>A016-COG-X-BVM-TDTi</t>
  </si>
  <si>
    <t>A017-COG-X-BVM-TDTi</t>
  </si>
  <si>
    <t>A018-COG-X-BVM-TDTi</t>
  </si>
  <si>
    <t>A019-COG-X-BVM-TDTi</t>
  </si>
  <si>
    <t>A020-COG-X-BVM-TDTi</t>
  </si>
  <si>
    <t>A021-COG-X-BVM-TDTi</t>
  </si>
  <si>
    <t>A022-COG-X-BVM-TDTi</t>
  </si>
  <si>
    <t>A023-COG-X-BVM-TDTi</t>
  </si>
  <si>
    <t>A024-COG-X-BVM-TDTi</t>
  </si>
  <si>
    <t>A025-COG-X-BVM-TDTi</t>
  </si>
  <si>
    <t>A026-COG-X-BVM-TDTi</t>
  </si>
  <si>
    <t>A027-COG-X-BVM-TDTi</t>
  </si>
  <si>
    <t>A028-COG-X-BVM-TDTi</t>
  </si>
  <si>
    <t>A029-COG-X-BVM-TDTi</t>
  </si>
  <si>
    <t>A030-COG-X-BVM-TDTi</t>
  </si>
  <si>
    <t>A031-COG-X-BVM-TDTi</t>
  </si>
  <si>
    <t>A032-COG-X-BVM-TDTi</t>
  </si>
  <si>
    <t>A033-COG-X-BVM-TDTi</t>
  </si>
  <si>
    <t>A034-COG-X-BVM-TDTi</t>
  </si>
  <si>
    <t>A035-COG-X-BVM-TDTi</t>
  </si>
  <si>
    <t>A036-COG-X-BVM-TDTi</t>
  </si>
  <si>
    <t>A037-COG-X-BVM-TDTi</t>
  </si>
  <si>
    <t>A038-COG-X-BVM-TDTi</t>
  </si>
  <si>
    <t>A039-COG-X-BVM-TDTi</t>
  </si>
  <si>
    <t>A040-COG-X-BVM-TDTi</t>
  </si>
  <si>
    <t>A041-COG-X-BVM-TDTi</t>
  </si>
  <si>
    <t>A042-COG-X-BVM-TDTi</t>
  </si>
  <si>
    <t>A043-COG-X-BVM-TDTi</t>
  </si>
  <si>
    <t>A044-COG-X-BVM-TDTi</t>
  </si>
  <si>
    <t>A045-COG-X-BVM-TDTi</t>
  </si>
  <si>
    <t>A046-COG-X-BVM-TDTi</t>
  </si>
  <si>
    <t>A047-COG-X-BVM-TDTi</t>
  </si>
  <si>
    <t>A048-COG-X-BVM-TDTi</t>
  </si>
  <si>
    <t>A049-COG-X-BVM-TDTi</t>
  </si>
  <si>
    <t>A050-COG-X-BVM-TDTi</t>
  </si>
  <si>
    <t>A051-COG-X-BVM-TDTi</t>
  </si>
  <si>
    <t>A052-COG-X-BVM-TDTi</t>
  </si>
  <si>
    <t>A053-COG-X-BVM-TDTi</t>
  </si>
  <si>
    <t>A054-COG-X-BVM-TDTi</t>
  </si>
  <si>
    <t>A055-COG-X-BVM-TDTi</t>
  </si>
  <si>
    <t>A056-COG-X-BVM-TDTi</t>
  </si>
  <si>
    <t>A057-COG-X-BVM-TDTi</t>
  </si>
  <si>
    <t>A058-COG-X-BVM-TDTi</t>
  </si>
  <si>
    <t>A059-COG-X-BVM-TDTi</t>
  </si>
  <si>
    <t>A060-COG-X-BVM-TDTi</t>
  </si>
  <si>
    <t>A061-COG-X-BVM-TDTi</t>
  </si>
  <si>
    <t>A062-COG-X-BVM-TDTi</t>
  </si>
  <si>
    <t>A063-COG-X-BVM-TDTi</t>
  </si>
  <si>
    <t>A064-COG-X-BVM-TDTi</t>
  </si>
  <si>
    <t>A065-COG-X-BVM-TDTi</t>
  </si>
  <si>
    <t>A066-COG-X-BVM-TDTi</t>
  </si>
  <si>
    <t>A067-COG-X-BVM-TDTi</t>
  </si>
  <si>
    <t>A068-COG-X-BVM-TDTi</t>
  </si>
  <si>
    <t>A069-COG-X-BVM-TDTi</t>
  </si>
  <si>
    <t>A070-COG-X-BVM-TDTi</t>
  </si>
  <si>
    <t>A071-COG-X-BVM-TDTi</t>
  </si>
  <si>
    <t>A072-COG-X-BVM-TDTi</t>
  </si>
  <si>
    <t>A073-COG-X-BVM-TDTi</t>
  </si>
  <si>
    <t>A074-COG-X-BVM-TDTi</t>
  </si>
  <si>
    <t>A075-COG-X-BVM-TDTi</t>
  </si>
  <si>
    <t>A076-COG-X-BVM-TDTi</t>
  </si>
  <si>
    <t>A077-COG-X-BVM-TDTi</t>
  </si>
  <si>
    <t>A078-COG-X-BVM-TDTi</t>
  </si>
  <si>
    <t>A079-COG-X-BVM-TDTi</t>
  </si>
  <si>
    <t>A080-COG-X-BVM-TDTi</t>
  </si>
  <si>
    <t>A081-COG-X-BVM-TDTi</t>
  </si>
  <si>
    <t>A082-COG-X-BVM-TDTi</t>
  </si>
  <si>
    <t>A083-COG-X-BVM-TDTi</t>
  </si>
  <si>
    <t>A084-COG-X-BVM-TDTi</t>
  </si>
  <si>
    <t>A085-COG-X-BVM-TDTi</t>
  </si>
  <si>
    <t>A086-COG-X-BVM-TDTi</t>
  </si>
  <si>
    <t>A087-COG-X-BVM-TDTi</t>
  </si>
  <si>
    <t>A088-COG-X-BVM-TDTi</t>
  </si>
  <si>
    <t>A089-COG-X-BVM-TDTi</t>
  </si>
  <si>
    <t>A090-COG-X-BVM-TDTi</t>
  </si>
  <si>
    <t>A091-COG-X-BVM-TDTi</t>
  </si>
  <si>
    <t>A092-COG-X-BVM-TDTi</t>
  </si>
  <si>
    <t>A093-COG-X-BVM-TDTi</t>
  </si>
  <si>
    <t>A094-COG-X-BVM-TDTi</t>
  </si>
  <si>
    <t>A095-COG-X-BVM-TDTi</t>
  </si>
  <si>
    <t>A096-COG-X-BVM-TDTi</t>
  </si>
  <si>
    <t>A097-COG-X-BVM-TDTi</t>
  </si>
  <si>
    <t>A098-COG-X-BVM-TDTi</t>
  </si>
  <si>
    <t>A099-COG-X-BVM-TDTi</t>
  </si>
  <si>
    <t>A100-COG-X-BVM-TDTi</t>
  </si>
  <si>
    <t>A101-COG-X-BVM-TDTi</t>
  </si>
  <si>
    <t>A102-COG-X-BVM-TDTi</t>
  </si>
  <si>
    <t>A103-COG-X-BVM-TDTi</t>
  </si>
  <si>
    <t>A104-COG-X-BVM-TDTi</t>
  </si>
  <si>
    <t>A105-COG-X-BVM-TDTi</t>
  </si>
  <si>
    <t>A106-COG-X-BVM-TDTi</t>
  </si>
  <si>
    <t>A107-COG-X-BVM-TDTi</t>
  </si>
  <si>
    <t>A108-COG-X-BVM-TDTi</t>
  </si>
  <si>
    <t>A109-COG-X-BVM-TDTi</t>
  </si>
  <si>
    <t>A010-COG-X-BVM-TDSc</t>
  </si>
  <si>
    <t>A011-COG-X-BVM-TDSc</t>
  </si>
  <si>
    <t>A012-COG-X-BVM-TDSc</t>
  </si>
  <si>
    <t>A013-COG-X-BVM-TDSc</t>
  </si>
  <si>
    <t>A014-COG-X-BVM-TDSc</t>
  </si>
  <si>
    <t>A015-COG-X-BVM-TDSc</t>
  </si>
  <si>
    <t>A016-COG-X-BVM-TDSc</t>
  </si>
  <si>
    <t>A017-COG-X-BVM-TDSc</t>
  </si>
  <si>
    <t>A018-COG-X-BVM-TDSc</t>
  </si>
  <si>
    <t>A019-COG-X-BVM-TDSc</t>
  </si>
  <si>
    <t>A020-COG-X-BVM-TDSc</t>
  </si>
  <si>
    <t>A021-COG-X-BVM-TDSc</t>
  </si>
  <si>
    <t>A022-COG-X-BVM-TDSc</t>
  </si>
  <si>
    <t>A023-COG-X-BVM-TDSc</t>
  </si>
  <si>
    <t>A024-COG-X-BVM-TDSc</t>
  </si>
  <si>
    <t>A025-COG-X-BVM-TDSc</t>
  </si>
  <si>
    <t>A026-COG-X-BVM-TDSc</t>
  </si>
  <si>
    <t>A027-COG-X-BVM-TDSc</t>
  </si>
  <si>
    <t>A028-COG-X-BVM-TDSc</t>
  </si>
  <si>
    <t>A029-COG-X-BVM-TDSc</t>
  </si>
  <si>
    <t>A030-COG-X-BVM-TDSc</t>
  </si>
  <si>
    <t>A031-COG-X-BVM-TDSc</t>
  </si>
  <si>
    <t>A032-COG-X-BVM-TDSc</t>
  </si>
  <si>
    <t>A033-COG-X-BVM-TDSc</t>
  </si>
  <si>
    <t>A034-COG-X-BVM-TDSc</t>
  </si>
  <si>
    <t>A035-COG-X-BVM-TDSc</t>
  </si>
  <si>
    <t>A036-COG-X-BVM-TDSc</t>
  </si>
  <si>
    <t>A037-COG-X-BVM-TDSc</t>
  </si>
  <si>
    <t>A038-COG-X-BVM-TDSc</t>
  </si>
  <si>
    <t>A039-COG-X-BVM-TDSc</t>
  </si>
  <si>
    <t>A040-COG-X-BVM-TDSc</t>
  </si>
  <si>
    <t>A041-COG-X-BVM-TDSc</t>
  </si>
  <si>
    <t>A042-COG-X-BVM-TDSc</t>
  </si>
  <si>
    <t>A043-COG-X-BVM-TDSc</t>
  </si>
  <si>
    <t>A044-COG-X-BVM-TDSc</t>
  </si>
  <si>
    <t>A045-COG-X-BVM-TDSc</t>
  </si>
  <si>
    <t>A046-COG-X-BVM-TDSc</t>
  </si>
  <si>
    <t>A047-COG-X-BVM-TDSc</t>
  </si>
  <si>
    <t>A048-COG-X-BVM-TDSc</t>
  </si>
  <si>
    <t>A049-COG-X-BVM-TDSc</t>
  </si>
  <si>
    <t>A050-COG-X-BVM-TDSc</t>
  </si>
  <si>
    <t>A051-COG-X-BVM-TDSc</t>
  </si>
  <si>
    <t>A052-COG-X-BVM-TDSc</t>
  </si>
  <si>
    <t>A053-COG-X-BVM-TDSc</t>
  </si>
  <si>
    <t>A054-COG-X-BVM-TDSc</t>
  </si>
  <si>
    <t>A055-COG-X-BVM-TDSc</t>
  </si>
  <si>
    <t>A056-COG-X-BVM-TDSc</t>
  </si>
  <si>
    <t>A057-COG-X-BVM-TDSc</t>
  </si>
  <si>
    <t>A058-COG-X-BVM-TDSc</t>
  </si>
  <si>
    <t>A059-COG-X-BVM-TDSc</t>
  </si>
  <si>
    <t>A060-COG-X-BVM-TDSc</t>
  </si>
  <si>
    <t>A061-COG-X-BVM-TDSc</t>
  </si>
  <si>
    <t>A062-COG-X-BVM-TDSc</t>
  </si>
  <si>
    <t>A063-COG-X-BVM-TDSc</t>
  </si>
  <si>
    <t>A064-COG-X-BVM-TDSc</t>
  </si>
  <si>
    <t>A065-COG-X-BVM-TDSc</t>
  </si>
  <si>
    <t>A066-COG-X-BVM-TDSc</t>
  </si>
  <si>
    <t>A067-COG-X-BVM-TDSc</t>
  </si>
  <si>
    <t>A068-COG-X-BVM-TDSc</t>
  </si>
  <si>
    <t>A069-COG-X-BVM-TDSc</t>
  </si>
  <si>
    <t>A070-COG-X-BVM-TDSc</t>
  </si>
  <si>
    <t>A071-COG-X-BVM-TDSc</t>
  </si>
  <si>
    <t>A072-COG-X-BVM-TDSc</t>
  </si>
  <si>
    <t>A073-COG-X-BVM-TDSc</t>
  </si>
  <si>
    <t>A074-COG-X-BVM-TDSc</t>
  </si>
  <si>
    <t>A075-COG-X-BVM-TDSc</t>
  </si>
  <si>
    <t>A076-COG-X-BVM-TDSc</t>
  </si>
  <si>
    <t>A077-COG-X-BVM-TDSc</t>
  </si>
  <si>
    <t>A078-COG-X-BVM-TDSc</t>
  </si>
  <si>
    <t>A079-COG-X-BVM-TDSc</t>
  </si>
  <si>
    <t>A080-COG-X-BVM-TDSc</t>
  </si>
  <si>
    <t>A081-COG-X-BVM-TDSc</t>
  </si>
  <si>
    <t>A082-COG-X-BVM-TDSc</t>
  </si>
  <si>
    <t>A083-COG-X-BVM-TDSc</t>
  </si>
  <si>
    <t>A084-COG-X-BVM-TDSc</t>
  </si>
  <si>
    <t>A085-COG-X-BVM-TDSc</t>
  </si>
  <si>
    <t>A086-COG-X-BVM-TDSc</t>
  </si>
  <si>
    <t>A087-COG-X-BVM-TDSc</t>
  </si>
  <si>
    <t>A088-COG-X-BVM-TDSc</t>
  </si>
  <si>
    <t>A089-COG-X-BVM-TDSc</t>
  </si>
  <si>
    <t>A090-COG-X-BVM-TDSc</t>
  </si>
  <si>
    <t>A091-COG-X-BVM-TDSc</t>
  </si>
  <si>
    <t>A092-COG-X-BVM-TDSc</t>
  </si>
  <si>
    <t>A093-COG-X-BVM-TDSc</t>
  </si>
  <si>
    <t>A094-COG-X-BVM-TDSc</t>
  </si>
  <si>
    <t>A095-COG-X-BVM-TDSc</t>
  </si>
  <si>
    <t>A096-COG-X-BVM-TDSc</t>
  </si>
  <si>
    <t>A097-COG-X-BVM-TDSc</t>
  </si>
  <si>
    <t>A098-COG-X-BVM-TDSc</t>
  </si>
  <si>
    <t>A099-COG-X-BVM-TDSc</t>
  </si>
  <si>
    <t>A100-COG-X-BVM-TDSc</t>
  </si>
  <si>
    <t>A101-COG-X-BVM-TDSc</t>
  </si>
  <si>
    <t>A102-COG-X-BVM-TDSc</t>
  </si>
  <si>
    <t>A103-COG-X-BVM-TDSc</t>
  </si>
  <si>
    <t>A104-COG-X-BVM-TDSc</t>
  </si>
  <si>
    <t>A105-COG-X-BVM-TDSc</t>
  </si>
  <si>
    <t>A106-COG-X-BVM-TDSc</t>
  </si>
  <si>
    <t>A107-COG-X-BVM-TDSc</t>
  </si>
  <si>
    <t>A108-COG-X-BVM-TDSc</t>
  </si>
  <si>
    <t>A109-COG-X-BVM-TDSc</t>
  </si>
  <si>
    <t>A010-COG-X-BVM-Re01</t>
  </si>
  <si>
    <t>y</t>
  </si>
  <si>
    <t>A011-COG-X-BVM-Re01</t>
  </si>
  <si>
    <t>A012-COG-X-BVM-Re01</t>
  </si>
  <si>
    <t>A013-COG-X-BVM-Re01</t>
  </si>
  <si>
    <t>n</t>
  </si>
  <si>
    <t>A014-COG-X-BVM-Re01</t>
  </si>
  <si>
    <t>A015-COG-X-BVM-Re01</t>
  </si>
  <si>
    <t>A016-COG-X-BVM-Re01</t>
  </si>
  <si>
    <t>A017-COG-X-BVM-Re01</t>
  </si>
  <si>
    <t>A018-COG-X-BVM-Re01</t>
  </si>
  <si>
    <t>A019-COG-X-BVM-Re01</t>
  </si>
  <si>
    <t>A020-COG-X-BVM-Re01</t>
  </si>
  <si>
    <t>A021-COG-X-BVM-Re01</t>
  </si>
  <si>
    <t>A022-COG-X-BVM-Re01</t>
  </si>
  <si>
    <t>A023-COG-X-BVM-Re01</t>
  </si>
  <si>
    <t>A024-COG-X-BVM-Re01</t>
  </si>
  <si>
    <t>A025-COG-X-BVM-Re01</t>
  </si>
  <si>
    <t>A026-COG-X-BVM-Re01</t>
  </si>
  <si>
    <t>A027-COG-X-BVM-Re01</t>
  </si>
  <si>
    <t>A028-COG-X-BVM-Re01</t>
  </si>
  <si>
    <t>A029-COG-X-BVM-Re01</t>
  </si>
  <si>
    <t>A030-COG-X-BVM-Re01</t>
  </si>
  <si>
    <t>A031-COG-X-BVM-Re01</t>
  </si>
  <si>
    <t>A032-COG-X-BVM-Re01</t>
  </si>
  <si>
    <t>A033-COG-X-BVM-Re01</t>
  </si>
  <si>
    <t>A034-COG-X-BVM-Re01</t>
  </si>
  <si>
    <t>A035-COG-X-BVM-Re01</t>
  </si>
  <si>
    <t>A036-COG-X-BVM-Re01</t>
  </si>
  <si>
    <t>A037-COG-X-BVM-Re01</t>
  </si>
  <si>
    <t>A038-COG-X-BVM-Re01</t>
  </si>
  <si>
    <t>A039-COG-X-BVM-Re01</t>
  </si>
  <si>
    <t>A040-COG-X-BVM-Re01</t>
  </si>
  <si>
    <t>A041-COG-X-BVM-Re01</t>
  </si>
  <si>
    <t>A042-COG-X-BVM-Re01</t>
  </si>
  <si>
    <t>A043-COG-X-BVM-Re01</t>
  </si>
  <si>
    <t>A044-COG-X-BVM-Re01</t>
  </si>
  <si>
    <t>A045-COG-X-BVM-Re01</t>
  </si>
  <si>
    <t>A046-COG-X-BVM-Re01</t>
  </si>
  <si>
    <t>A047-COG-X-BVM-Re01</t>
  </si>
  <si>
    <t>A048-COG-X-BVM-Re01</t>
  </si>
  <si>
    <t>A049-COG-X-BVM-Re01</t>
  </si>
  <si>
    <t>A050-COG-X-BVM-Re01</t>
  </si>
  <si>
    <t>A051-COG-X-BVM-Re01</t>
  </si>
  <si>
    <t>A052-COG-X-BVM-Re01</t>
  </si>
  <si>
    <t>A053-COG-X-BVM-Re01</t>
  </si>
  <si>
    <t>A054-COG-X-BVM-Re01</t>
  </si>
  <si>
    <t>A055-COG-X-BVM-Re01</t>
  </si>
  <si>
    <t>A056-COG-X-BVM-Re01</t>
  </si>
  <si>
    <t>A057-COG-X-BVM-Re01</t>
  </si>
  <si>
    <t>A058-COG-X-BVM-Re01</t>
  </si>
  <si>
    <t>A059-COG-X-BVM-Re01</t>
  </si>
  <si>
    <t>A060-COG-X-BVM-Re01</t>
  </si>
  <si>
    <t>A061-COG-X-BVM-Re01</t>
  </si>
  <si>
    <t>A062-COG-X-BVM-Re01</t>
  </si>
  <si>
    <t>A063-COG-X-BVM-Re01</t>
  </si>
  <si>
    <t>A064-COG-X-BVM-Re01</t>
  </si>
  <si>
    <t>A065-COG-X-BVM-Re01</t>
  </si>
  <si>
    <t>A066-COG-X-BVM-Re01</t>
  </si>
  <si>
    <t>A067-COG-X-BVM-Re01</t>
  </si>
  <si>
    <t>A068-COG-X-BVM-Re01</t>
  </si>
  <si>
    <t>A069-COG-X-BVM-Re01</t>
  </si>
  <si>
    <t>A070-COG-X-BVM-Re01</t>
  </si>
  <si>
    <t>A071-COG-X-BVM-Re01</t>
  </si>
  <si>
    <t>A072-COG-X-BVM-Re01</t>
  </si>
  <si>
    <t>A073-COG-X-BVM-Re01</t>
  </si>
  <si>
    <t>A074-COG-X-BVM-Re01</t>
  </si>
  <si>
    <t>A075-COG-X-BVM-Re01</t>
  </si>
  <si>
    <t>A076-COG-X-BVM-Re01</t>
  </si>
  <si>
    <t>A077-COG-X-BVM-Re01</t>
  </si>
  <si>
    <t>A078-COG-X-BVM-Re01</t>
  </si>
  <si>
    <t>A079-COG-X-BVM-Re01</t>
  </si>
  <si>
    <t>A080-COG-X-BVM-Re01</t>
  </si>
  <si>
    <t>A081-COG-X-BVM-Re01</t>
  </si>
  <si>
    <t>A082-COG-X-BVM-Re01</t>
  </si>
  <si>
    <t>A083-COG-X-BVM-Re01</t>
  </si>
  <si>
    <t>A084-COG-X-BVM-Re01</t>
  </si>
  <si>
    <t>A085-COG-X-BVM-Re01</t>
  </si>
  <si>
    <t>A086-COG-X-BVM-Re01</t>
  </si>
  <si>
    <t>A087-COG-X-BVM-Re01</t>
  </si>
  <si>
    <t>A088-COG-X-BVM-Re01</t>
  </si>
  <si>
    <t>A089-COG-X-BVM-Re01</t>
  </si>
  <si>
    <t>A090-COG-X-BVM-Re01</t>
  </si>
  <si>
    <t>A091-COG-X-BVM-Re01</t>
  </si>
  <si>
    <t>A092-COG-X-BVM-Re01</t>
  </si>
  <si>
    <t>A093-COG-X-BVM-Re01</t>
  </si>
  <si>
    <t>A094-COG-X-BVM-Re01</t>
  </si>
  <si>
    <t>A095-COG-X-BVM-Re01</t>
  </si>
  <si>
    <t>A096-COG-X-BVM-Re01</t>
  </si>
  <si>
    <t>A097-COG-X-BVM-Re01</t>
  </si>
  <si>
    <t>A098-COG-X-BVM-Re01</t>
  </si>
  <si>
    <t>A099-COG-X-BVM-Re01</t>
  </si>
  <si>
    <t>A100-COG-X-BVM-Re01</t>
  </si>
  <si>
    <t>A101-COG-X-BVM-Re01</t>
  </si>
  <si>
    <t>A102-COG-X-BVM-Re01</t>
  </si>
  <si>
    <t>A103-COG-X-BVM-Re01</t>
  </si>
  <si>
    <t>A104-COG-X-BVM-Re01</t>
  </si>
  <si>
    <t>A105-COG-X-BVM-Re01</t>
  </si>
  <si>
    <t>A106-COG-X-BVM-Re01</t>
  </si>
  <si>
    <t>A107-COG-X-BVM-Re01</t>
  </si>
  <si>
    <t>A108-COG-X-BVM-Re01</t>
  </si>
  <si>
    <t>A109-COG-X-BVM-Re01</t>
  </si>
  <si>
    <t>A010-COG-X-BVM-Re02</t>
  </si>
  <si>
    <t>A011-COG-X-BVM-Re02</t>
  </si>
  <si>
    <t>A012-COG-X-BVM-Re02</t>
  </si>
  <si>
    <t>A013-COG-X-BVM-Re02</t>
  </si>
  <si>
    <t>A014-COG-X-BVM-Re02</t>
  </si>
  <si>
    <t>A015-COG-X-BVM-Re02</t>
  </si>
  <si>
    <t>A016-COG-X-BVM-Re02</t>
  </si>
  <si>
    <t>A017-COG-X-BVM-Re02</t>
  </si>
  <si>
    <t>A018-COG-X-BVM-Re02</t>
  </si>
  <si>
    <t>A019-COG-X-BVM-Re02</t>
  </si>
  <si>
    <t>A020-COG-X-BVM-Re02</t>
  </si>
  <si>
    <t>A021-COG-X-BVM-Re02</t>
  </si>
  <si>
    <t>A022-COG-X-BVM-Re02</t>
  </si>
  <si>
    <t>A023-COG-X-BVM-Re02</t>
  </si>
  <si>
    <t>A024-COG-X-BVM-Re02</t>
  </si>
  <si>
    <t>A025-COG-X-BVM-Re02</t>
  </si>
  <si>
    <t>A026-COG-X-BVM-Re02</t>
  </si>
  <si>
    <t>A027-COG-X-BVM-Re02</t>
  </si>
  <si>
    <t>A028-COG-X-BVM-Re02</t>
  </si>
  <si>
    <t>A029-COG-X-BVM-Re02</t>
  </si>
  <si>
    <t>A030-COG-X-BVM-Re02</t>
  </si>
  <si>
    <t>A031-COG-X-BVM-Re02</t>
  </si>
  <si>
    <t>A032-COG-X-BVM-Re02</t>
  </si>
  <si>
    <t>A033-COG-X-BVM-Re02</t>
  </si>
  <si>
    <t>A034-COG-X-BVM-Re02</t>
  </si>
  <si>
    <t>A035-COG-X-BVM-Re02</t>
  </si>
  <si>
    <t>A036-COG-X-BVM-Re02</t>
  </si>
  <si>
    <t>A037-COG-X-BVM-Re02</t>
  </si>
  <si>
    <t>A038-COG-X-BVM-Re02</t>
  </si>
  <si>
    <t>A039-COG-X-BVM-Re02</t>
  </si>
  <si>
    <t>A040-COG-X-BVM-Re02</t>
  </si>
  <si>
    <t>A041-COG-X-BVM-Re02</t>
  </si>
  <si>
    <t>A042-COG-X-BVM-Re02</t>
  </si>
  <si>
    <t>A043-COG-X-BVM-Re02</t>
  </si>
  <si>
    <t>A044-COG-X-BVM-Re02</t>
  </si>
  <si>
    <t>A045-COG-X-BVM-Re02</t>
  </si>
  <si>
    <t>A046-COG-X-BVM-Re02</t>
  </si>
  <si>
    <t>A047-COG-X-BVM-Re02</t>
  </si>
  <si>
    <t>A048-COG-X-BVM-Re02</t>
  </si>
  <si>
    <t>A049-COG-X-BVM-Re02</t>
  </si>
  <si>
    <t>A050-COG-X-BVM-Re02</t>
  </si>
  <si>
    <t>A051-COG-X-BVM-Re02</t>
  </si>
  <si>
    <t>A052-COG-X-BVM-Re02</t>
  </si>
  <si>
    <t>A053-COG-X-BVM-Re02</t>
  </si>
  <si>
    <t>A054-COG-X-BVM-Re02</t>
  </si>
  <si>
    <t>A055-COG-X-BVM-Re02</t>
  </si>
  <si>
    <t>A056-COG-X-BVM-Re02</t>
  </si>
  <si>
    <t>A057-COG-X-BVM-Re02</t>
  </si>
  <si>
    <t>A058-COG-X-BVM-Re02</t>
  </si>
  <si>
    <t>A059-COG-X-BVM-Re02</t>
  </si>
  <si>
    <t>A060-COG-X-BVM-Re02</t>
  </si>
  <si>
    <t>A061-COG-X-BVM-Re02</t>
  </si>
  <si>
    <t>A062-COG-X-BVM-Re02</t>
  </si>
  <si>
    <t>A063-COG-X-BVM-Re02</t>
  </si>
  <si>
    <t>A064-COG-X-BVM-Re02</t>
  </si>
  <si>
    <t>A065-COG-X-BVM-Re02</t>
  </si>
  <si>
    <t>A066-COG-X-BVM-Re02</t>
  </si>
  <si>
    <t>A067-COG-X-BVM-Re02</t>
  </si>
  <si>
    <t>A068-COG-X-BVM-Re02</t>
  </si>
  <si>
    <t>A069-COG-X-BVM-Re02</t>
  </si>
  <si>
    <t>A070-COG-X-BVM-Re02</t>
  </si>
  <si>
    <t>A071-COG-X-BVM-Re02</t>
  </si>
  <si>
    <t>A072-COG-X-BVM-Re02</t>
  </si>
  <si>
    <t>A073-COG-X-BVM-Re02</t>
  </si>
  <si>
    <t>A074-COG-X-BVM-Re02</t>
  </si>
  <si>
    <t>A075-COG-X-BVM-Re02</t>
  </si>
  <si>
    <t>A076-COG-X-BVM-Re02</t>
  </si>
  <si>
    <t>A077-COG-X-BVM-Re02</t>
  </si>
  <si>
    <t>A078-COG-X-BVM-Re02</t>
  </si>
  <si>
    <t>A079-COG-X-BVM-Re02</t>
  </si>
  <si>
    <t>A080-COG-X-BVM-Re02</t>
  </si>
  <si>
    <t>A081-COG-X-BVM-Re02</t>
  </si>
  <si>
    <t>A082-COG-X-BVM-Re02</t>
  </si>
  <si>
    <t>A083-COG-X-BVM-Re02</t>
  </si>
  <si>
    <t>A084-COG-X-BVM-Re02</t>
  </si>
  <si>
    <t>A085-COG-X-BVM-Re02</t>
  </si>
  <si>
    <t>A086-COG-X-BVM-Re02</t>
  </si>
  <si>
    <t>A087-COG-X-BVM-Re02</t>
  </si>
  <si>
    <t>A088-COG-X-BVM-Re02</t>
  </si>
  <si>
    <t>A089-COG-X-BVM-Re02</t>
  </si>
  <si>
    <t>A090-COG-X-BVM-Re02</t>
  </si>
  <si>
    <t>A091-COG-X-BVM-Re02</t>
  </si>
  <si>
    <t>A092-COG-X-BVM-Re02</t>
  </si>
  <si>
    <t>A093-COG-X-BVM-Re02</t>
  </si>
  <si>
    <t>A094-COG-X-BVM-Re02</t>
  </si>
  <si>
    <t>A095-COG-X-BVM-Re02</t>
  </si>
  <si>
    <t>A096-COG-X-BVM-Re02</t>
  </si>
  <si>
    <t>A097-COG-X-BVM-Re02</t>
  </si>
  <si>
    <t>A098-COG-X-BVM-Re02</t>
  </si>
  <si>
    <t>A099-COG-X-BVM-Re02</t>
  </si>
  <si>
    <t>A100-COG-X-BVM-Re02</t>
  </si>
  <si>
    <t>A101-COG-X-BVM-Re02</t>
  </si>
  <si>
    <t>A102-COG-X-BVM-Re02</t>
  </si>
  <si>
    <t>A103-COG-X-BVM-Re02</t>
  </si>
  <si>
    <t>A104-COG-X-BVM-Re02</t>
  </si>
  <si>
    <t>A105-COG-X-BVM-Re02</t>
  </si>
  <si>
    <t>A106-COG-X-BVM-Re02</t>
  </si>
  <si>
    <t>A107-COG-X-BVM-Re02</t>
  </si>
  <si>
    <t>A108-COG-X-BVM-Re02</t>
  </si>
  <si>
    <t>A109-COG-X-BVM-Re02</t>
  </si>
  <si>
    <t>A010-COG-X-BVM-Re03</t>
  </si>
  <si>
    <t>A011-COG-X-BVM-Re03</t>
  </si>
  <si>
    <t>A012-COG-X-BVM-Re03</t>
  </si>
  <si>
    <t>A013-COG-X-BVM-Re03</t>
  </si>
  <si>
    <t>A014-COG-X-BVM-Re03</t>
  </si>
  <si>
    <t>A015-COG-X-BVM-Re03</t>
  </si>
  <si>
    <t>A016-COG-X-BVM-Re03</t>
  </si>
  <si>
    <t>A017-COG-X-BVM-Re03</t>
  </si>
  <si>
    <t>A018-COG-X-BVM-Re03</t>
  </si>
  <si>
    <t>A019-COG-X-BVM-Re03</t>
  </si>
  <si>
    <t>A020-COG-X-BVM-Re03</t>
  </si>
  <si>
    <t>A021-COG-X-BVM-Re03</t>
  </si>
  <si>
    <t>A022-COG-X-BVM-Re03</t>
  </si>
  <si>
    <t>A023-COG-X-BVM-Re03</t>
  </si>
  <si>
    <t>A024-COG-X-BVM-Re03</t>
  </si>
  <si>
    <t>A025-COG-X-BVM-Re03</t>
  </si>
  <si>
    <t>A026-COG-X-BVM-Re03</t>
  </si>
  <si>
    <t>A027-COG-X-BVM-Re03</t>
  </si>
  <si>
    <t>A028-COG-X-BVM-Re03</t>
  </si>
  <si>
    <t>A029-COG-X-BVM-Re03</t>
  </si>
  <si>
    <t>A030-COG-X-BVM-Re03</t>
  </si>
  <si>
    <t>A031-COG-X-BVM-Re03</t>
  </si>
  <si>
    <t>A032-COG-X-BVM-Re03</t>
  </si>
  <si>
    <t>A033-COG-X-BVM-Re03</t>
  </si>
  <si>
    <t>A034-COG-X-BVM-Re03</t>
  </si>
  <si>
    <t>A035-COG-X-BVM-Re03</t>
  </si>
  <si>
    <t>A036-COG-X-BVM-Re03</t>
  </si>
  <si>
    <t>A037-COG-X-BVM-Re03</t>
  </si>
  <si>
    <t>A038-COG-X-BVM-Re03</t>
  </si>
  <si>
    <t>A039-COG-X-BVM-Re03</t>
  </si>
  <si>
    <t>A040-COG-X-BVM-Re03</t>
  </si>
  <si>
    <t>A041-COG-X-BVM-Re03</t>
  </si>
  <si>
    <t>A042-COG-X-BVM-Re03</t>
  </si>
  <si>
    <t>A043-COG-X-BVM-Re03</t>
  </si>
  <si>
    <t>A044-COG-X-BVM-Re03</t>
  </si>
  <si>
    <t>A045-COG-X-BVM-Re03</t>
  </si>
  <si>
    <t>A046-COG-X-BVM-Re03</t>
  </si>
  <si>
    <t>A047-COG-X-BVM-Re03</t>
  </si>
  <si>
    <t>A048-COG-X-BVM-Re03</t>
  </si>
  <si>
    <t>A049-COG-X-BVM-Re03</t>
  </si>
  <si>
    <t>A050-COG-X-BVM-Re03</t>
  </si>
  <si>
    <t>A051-COG-X-BVM-Re03</t>
  </si>
  <si>
    <t>A052-COG-X-BVM-Re03</t>
  </si>
  <si>
    <t>A053-COG-X-BVM-Re03</t>
  </si>
  <si>
    <t>A054-COG-X-BVM-Re03</t>
  </si>
  <si>
    <t>A055-COG-X-BVM-Re03</t>
  </si>
  <si>
    <t>A056-COG-X-BVM-Re03</t>
  </si>
  <si>
    <t>A057-COG-X-BVM-Re03</t>
  </si>
  <si>
    <t>A058-COG-X-BVM-Re03</t>
  </si>
  <si>
    <t>A059-COG-X-BVM-Re03</t>
  </si>
  <si>
    <t>A060-COG-X-BVM-Re03</t>
  </si>
  <si>
    <t>A061-COG-X-BVM-Re03</t>
  </si>
  <si>
    <t>A062-COG-X-BVM-Re03</t>
  </si>
  <si>
    <t>A063-COG-X-BVM-Re03</t>
  </si>
  <si>
    <t>A064-COG-X-BVM-Re03</t>
  </si>
  <si>
    <t>A065-COG-X-BVM-Re03</t>
  </si>
  <si>
    <t>A066-COG-X-BVM-Re03</t>
  </si>
  <si>
    <t>A067-COG-X-BVM-Re03</t>
  </si>
  <si>
    <t>A068-COG-X-BVM-Re03</t>
  </si>
  <si>
    <t>A069-COG-X-BVM-Re03</t>
  </si>
  <si>
    <t>A070-COG-X-BVM-Re03</t>
  </si>
  <si>
    <t>A071-COG-X-BVM-Re03</t>
  </si>
  <si>
    <t>A072-COG-X-BVM-Re03</t>
  </si>
  <si>
    <t>A073-COG-X-BVM-Re03</t>
  </si>
  <si>
    <t>A074-COG-X-BVM-Re03</t>
  </si>
  <si>
    <t>A075-COG-X-BVM-Re03</t>
  </si>
  <si>
    <t>A076-COG-X-BVM-Re03</t>
  </si>
  <si>
    <t>A077-COG-X-BVM-Re03</t>
  </si>
  <si>
    <t>A078-COG-X-BVM-Re03</t>
  </si>
  <si>
    <t>A079-COG-X-BVM-Re03</t>
  </si>
  <si>
    <t>A080-COG-X-BVM-Re03</t>
  </si>
  <si>
    <t>A081-COG-X-BVM-Re03</t>
  </si>
  <si>
    <t>A082-COG-X-BVM-Re03</t>
  </si>
  <si>
    <t>A083-COG-X-BVM-Re03</t>
  </si>
  <si>
    <t>A084-COG-X-BVM-Re03</t>
  </si>
  <si>
    <t>A085-COG-X-BVM-Re03</t>
  </si>
  <si>
    <t>A086-COG-X-BVM-Re03</t>
  </si>
  <si>
    <t>A087-COG-X-BVM-Re03</t>
  </si>
  <si>
    <t>A088-COG-X-BVM-Re03</t>
  </si>
  <si>
    <t>A089-COG-X-BVM-Re03</t>
  </si>
  <si>
    <t>A090-COG-X-BVM-Re03</t>
  </si>
  <si>
    <t>A091-COG-X-BVM-Re03</t>
  </si>
  <si>
    <t>A092-COG-X-BVM-Re03</t>
  </si>
  <si>
    <t>A093-COG-X-BVM-Re03</t>
  </si>
  <si>
    <t>A094-COG-X-BVM-Re03</t>
  </si>
  <si>
    <t>A095-COG-X-BVM-Re03</t>
  </si>
  <si>
    <t>A096-COG-X-BVM-Re03</t>
  </si>
  <si>
    <t>A097-COG-X-BVM-Re03</t>
  </si>
  <si>
    <t>A098-COG-X-BVM-Re03</t>
  </si>
  <si>
    <t>A099-COG-X-BVM-Re03</t>
  </si>
  <si>
    <t>A100-COG-X-BVM-Re03</t>
  </si>
  <si>
    <t>A101-COG-X-BVM-Re03</t>
  </si>
  <si>
    <t>A102-COG-X-BVM-Re03</t>
  </si>
  <si>
    <t>A103-COG-X-BVM-Re03</t>
  </si>
  <si>
    <t>A104-COG-X-BVM-Re03</t>
  </si>
  <si>
    <t>A105-COG-X-BVM-Re03</t>
  </si>
  <si>
    <t>A106-COG-X-BVM-Re03</t>
  </si>
  <si>
    <t>A107-COG-X-BVM-Re03</t>
  </si>
  <si>
    <t>A108-COG-X-BVM-Re03</t>
  </si>
  <si>
    <t>A109-COG-X-BVM-Re03</t>
  </si>
  <si>
    <t>A010-COG-X-BVM-Re04</t>
  </si>
  <si>
    <t>A011-COG-X-BVM-Re04</t>
  </si>
  <si>
    <t>A012-COG-X-BVM-Re04</t>
  </si>
  <si>
    <t>A013-COG-X-BVM-Re04</t>
  </si>
  <si>
    <t>A014-COG-X-BVM-Re04</t>
  </si>
  <si>
    <t>A015-COG-X-BVM-Re04</t>
  </si>
  <si>
    <t>A016-COG-X-BVM-Re04</t>
  </si>
  <si>
    <t>A017-COG-X-BVM-Re04</t>
  </si>
  <si>
    <t>A018-COG-X-BVM-Re04</t>
  </si>
  <si>
    <t>A019-COG-X-BVM-Re04</t>
  </si>
  <si>
    <t>A020-COG-X-BVM-Re04</t>
  </si>
  <si>
    <t>A021-COG-X-BVM-Re04</t>
  </si>
  <si>
    <t>A022-COG-X-BVM-Re04</t>
  </si>
  <si>
    <t>A023-COG-X-BVM-Re04</t>
  </si>
  <si>
    <t>A024-COG-X-BVM-Re04</t>
  </si>
  <si>
    <t>A025-COG-X-BVM-Re04</t>
  </si>
  <si>
    <t>A026-COG-X-BVM-Re04</t>
  </si>
  <si>
    <t>A027-COG-X-BVM-Re04</t>
  </si>
  <si>
    <t>A028-COG-X-BVM-Re04</t>
  </si>
  <si>
    <t>A029-COG-X-BVM-Re04</t>
  </si>
  <si>
    <t>A030-COG-X-BVM-Re04</t>
  </si>
  <si>
    <t>A031-COG-X-BVM-Re04</t>
  </si>
  <si>
    <t>A032-COG-X-BVM-Re04</t>
  </si>
  <si>
    <t>A033-COG-X-BVM-Re04</t>
  </si>
  <si>
    <t>A034-COG-X-BVM-Re04</t>
  </si>
  <si>
    <t>A035-COG-X-BVM-Re04</t>
  </si>
  <si>
    <t>A036-COG-X-BVM-Re04</t>
  </si>
  <si>
    <t>A037-COG-X-BVM-Re04</t>
  </si>
  <si>
    <t>A038-COG-X-BVM-Re04</t>
  </si>
  <si>
    <t>A039-COG-X-BVM-Re04</t>
  </si>
  <si>
    <t>A040-COG-X-BVM-Re04</t>
  </si>
  <si>
    <t>A041-COG-X-BVM-Re04</t>
  </si>
  <si>
    <t>A042-COG-X-BVM-Re04</t>
  </si>
  <si>
    <t>A043-COG-X-BVM-Re04</t>
  </si>
  <si>
    <t>A044-COG-X-BVM-Re04</t>
  </si>
  <si>
    <t>A045-COG-X-BVM-Re04</t>
  </si>
  <si>
    <t>A046-COG-X-BVM-Re04</t>
  </si>
  <si>
    <t>A047-COG-X-BVM-Re04</t>
  </si>
  <si>
    <t>A048-COG-X-BVM-Re04</t>
  </si>
  <si>
    <t>A049-COG-X-BVM-Re04</t>
  </si>
  <si>
    <t>A050-COG-X-BVM-Re04</t>
  </si>
  <si>
    <t>A051-COG-X-BVM-Re04</t>
  </si>
  <si>
    <t>A052-COG-X-BVM-Re04</t>
  </si>
  <si>
    <t>A053-COG-X-BVM-Re04</t>
  </si>
  <si>
    <t>A054-COG-X-BVM-Re04</t>
  </si>
  <si>
    <t>A055-COG-X-BVM-Re04</t>
  </si>
  <si>
    <t>A056-COG-X-BVM-Re04</t>
  </si>
  <si>
    <t>A057-COG-X-BVM-Re04</t>
  </si>
  <si>
    <t>A058-COG-X-BVM-Re04</t>
  </si>
  <si>
    <t>A059-COG-X-BVM-Re04</t>
  </si>
  <si>
    <t>A060-COG-X-BVM-Re04</t>
  </si>
  <si>
    <t>A061-COG-X-BVM-Re04</t>
  </si>
  <si>
    <t>A062-COG-X-BVM-Re04</t>
  </si>
  <si>
    <t>A063-COG-X-BVM-Re04</t>
  </si>
  <si>
    <t>A064-COG-X-BVM-Re04</t>
  </si>
  <si>
    <t>A065-COG-X-BVM-Re04</t>
  </si>
  <si>
    <t>A066-COG-X-BVM-Re04</t>
  </si>
  <si>
    <t>A067-COG-X-BVM-Re04</t>
  </si>
  <si>
    <t>A068-COG-X-BVM-Re04</t>
  </si>
  <si>
    <t>A069-COG-X-BVM-Re04</t>
  </si>
  <si>
    <t>A070-COG-X-BVM-Re04</t>
  </si>
  <si>
    <t>A071-COG-X-BVM-Re04</t>
  </si>
  <si>
    <t>A072-COG-X-BVM-Re04</t>
  </si>
  <si>
    <t>A073-COG-X-BVM-Re04</t>
  </si>
  <si>
    <t>A074-COG-X-BVM-Re04</t>
  </si>
  <si>
    <t>A075-COG-X-BVM-Re04</t>
  </si>
  <si>
    <t>A076-COG-X-BVM-Re04</t>
  </si>
  <si>
    <t>A077-COG-X-BVM-Re04</t>
  </si>
  <si>
    <t>A078-COG-X-BVM-Re04</t>
  </si>
  <si>
    <t>A079-COG-X-BVM-Re04</t>
  </si>
  <si>
    <t>A080-COG-X-BVM-Re04</t>
  </si>
  <si>
    <t>A081-COG-X-BVM-Re04</t>
  </si>
  <si>
    <t>A082-COG-X-BVM-Re04</t>
  </si>
  <si>
    <t>A083-COG-X-BVM-Re04</t>
  </si>
  <si>
    <t>A084-COG-X-BVM-Re04</t>
  </si>
  <si>
    <t>A085-COG-X-BVM-Re04</t>
  </si>
  <si>
    <t>A086-COG-X-BVM-Re04</t>
  </si>
  <si>
    <t>A087-COG-X-BVM-Re04</t>
  </si>
  <si>
    <t>A088-COG-X-BVM-Re04</t>
  </si>
  <si>
    <t>A089-COG-X-BVM-Re04</t>
  </si>
  <si>
    <t>A090-COG-X-BVM-Re04</t>
  </si>
  <si>
    <t>A091-COG-X-BVM-Re04</t>
  </si>
  <si>
    <t>A092-COG-X-BVM-Re04</t>
  </si>
  <si>
    <t>A093-COG-X-BVM-Re04</t>
  </si>
  <si>
    <t>A094-COG-X-BVM-Re04</t>
  </si>
  <si>
    <t>A095-COG-X-BVM-Re04</t>
  </si>
  <si>
    <t>A096-COG-X-BVM-Re04</t>
  </si>
  <si>
    <t>A097-COG-X-BVM-Re04</t>
  </si>
  <si>
    <t>A098-COG-X-BVM-Re04</t>
  </si>
  <si>
    <t>A099-COG-X-BVM-Re04</t>
  </si>
  <si>
    <t>A100-COG-X-BVM-Re04</t>
  </si>
  <si>
    <t>A101-COG-X-BVM-Re04</t>
  </si>
  <si>
    <t>A102-COG-X-BVM-Re04</t>
  </si>
  <si>
    <t>A103-COG-X-BVM-Re04</t>
  </si>
  <si>
    <t>A104-COG-X-BVM-Re04</t>
  </si>
  <si>
    <t>A105-COG-X-BVM-Re04</t>
  </si>
  <si>
    <t>A106-COG-X-BVM-Re04</t>
  </si>
  <si>
    <t>A107-COG-X-BVM-Re04</t>
  </si>
  <si>
    <t>A108-COG-X-BVM-Re04</t>
  </si>
  <si>
    <t>A109-COG-X-BVM-Re04</t>
  </si>
  <si>
    <t>A010-COG-X-BVM-Re05</t>
  </si>
  <si>
    <t>A011-COG-X-BVM-Re05</t>
  </si>
  <si>
    <t>A012-COG-X-BVM-Re05</t>
  </si>
  <si>
    <t>A013-COG-X-BVM-Re05</t>
  </si>
  <si>
    <t>A014-COG-X-BVM-Re05</t>
  </si>
  <si>
    <t>A015-COG-X-BVM-Re05</t>
  </si>
  <si>
    <t>A016-COG-X-BVM-Re05</t>
  </si>
  <si>
    <t>A017-COG-X-BVM-Re05</t>
  </si>
  <si>
    <t>A018-COG-X-BVM-Re05</t>
  </si>
  <si>
    <t>A019-COG-X-BVM-Re05</t>
  </si>
  <si>
    <t>A020-COG-X-BVM-Re05</t>
  </si>
  <si>
    <t>A021-COG-X-BVM-Re05</t>
  </si>
  <si>
    <t>A022-COG-X-BVM-Re05</t>
  </si>
  <si>
    <t>A023-COG-X-BVM-Re05</t>
  </si>
  <si>
    <t>A024-COG-X-BVM-Re05</t>
  </si>
  <si>
    <t>A025-COG-X-BVM-Re05</t>
  </si>
  <si>
    <t>A026-COG-X-BVM-Re05</t>
  </si>
  <si>
    <t>A027-COG-X-BVM-Re05</t>
  </si>
  <si>
    <t>A028-COG-X-BVM-Re05</t>
  </si>
  <si>
    <t>A029-COG-X-BVM-Re05</t>
  </si>
  <si>
    <t>A030-COG-X-BVM-Re05</t>
  </si>
  <si>
    <t>A031-COG-X-BVM-Re05</t>
  </si>
  <si>
    <t>A032-COG-X-BVM-Re05</t>
  </si>
  <si>
    <t>A033-COG-X-BVM-Re05</t>
  </si>
  <si>
    <t>A034-COG-X-BVM-Re05</t>
  </si>
  <si>
    <t>A035-COG-X-BVM-Re05</t>
  </si>
  <si>
    <t>A036-COG-X-BVM-Re05</t>
  </si>
  <si>
    <t>A037-COG-X-BVM-Re05</t>
  </si>
  <si>
    <t>A038-COG-X-BVM-Re05</t>
  </si>
  <si>
    <t>A039-COG-X-BVM-Re05</t>
  </si>
  <si>
    <t>A040-COG-X-BVM-Re05</t>
  </si>
  <si>
    <t>A041-COG-X-BVM-Re05</t>
  </si>
  <si>
    <t>A042-COG-X-BVM-Re05</t>
  </si>
  <si>
    <t>A043-COG-X-BVM-Re05</t>
  </si>
  <si>
    <t>A044-COG-X-BVM-Re05</t>
  </si>
  <si>
    <t>A045-COG-X-BVM-Re05</t>
  </si>
  <si>
    <t>A046-COG-X-BVM-Re05</t>
  </si>
  <si>
    <t>A047-COG-X-BVM-Re05</t>
  </si>
  <si>
    <t>A048-COG-X-BVM-Re05</t>
  </si>
  <si>
    <t>A049-COG-X-BVM-Re05</t>
  </si>
  <si>
    <t>A050-COG-X-BVM-Re05</t>
  </si>
  <si>
    <t>A051-COG-X-BVM-Re05</t>
  </si>
  <si>
    <t>A052-COG-X-BVM-Re05</t>
  </si>
  <si>
    <t>A053-COG-X-BVM-Re05</t>
  </si>
  <si>
    <t>A054-COG-X-BVM-Re05</t>
  </si>
  <si>
    <t>A055-COG-X-BVM-Re05</t>
  </si>
  <si>
    <t>A056-COG-X-BVM-Re05</t>
  </si>
  <si>
    <t>A057-COG-X-BVM-Re05</t>
  </si>
  <si>
    <t>A058-COG-X-BVM-Re05</t>
  </si>
  <si>
    <t>A059-COG-X-BVM-Re05</t>
  </si>
  <si>
    <t>A060-COG-X-BVM-Re05</t>
  </si>
  <si>
    <t>A061-COG-X-BVM-Re05</t>
  </si>
  <si>
    <t>A062-COG-X-BVM-Re05</t>
  </si>
  <si>
    <t>A063-COG-X-BVM-Re05</t>
  </si>
  <si>
    <t>A064-COG-X-BVM-Re05</t>
  </si>
  <si>
    <t>A065-COG-X-BVM-Re05</t>
  </si>
  <si>
    <t>A066-COG-X-BVM-Re05</t>
  </si>
  <si>
    <t>A067-COG-X-BVM-Re05</t>
  </si>
  <si>
    <t>A068-COG-X-BVM-Re05</t>
  </si>
  <si>
    <t>A069-COG-X-BVM-Re05</t>
  </si>
  <si>
    <t>A070-COG-X-BVM-Re05</t>
  </si>
  <si>
    <t>A071-COG-X-BVM-Re05</t>
  </si>
  <si>
    <t>A072-COG-X-BVM-Re05</t>
  </si>
  <si>
    <t>A073-COG-X-BVM-Re05</t>
  </si>
  <si>
    <t>A074-COG-X-BVM-Re05</t>
  </si>
  <si>
    <t>A075-COG-X-BVM-Re05</t>
  </si>
  <si>
    <t>A076-COG-X-BVM-Re05</t>
  </si>
  <si>
    <t>A077-COG-X-BVM-Re05</t>
  </si>
  <si>
    <t>A078-COG-X-BVM-Re05</t>
  </si>
  <si>
    <t>A079-COG-X-BVM-Re05</t>
  </si>
  <si>
    <t>A080-COG-X-BVM-Re05</t>
  </si>
  <si>
    <t>A081-COG-X-BVM-Re05</t>
  </si>
  <si>
    <t>A082-COG-X-BVM-Re05</t>
  </si>
  <si>
    <t>A083-COG-X-BVM-Re05</t>
  </si>
  <si>
    <t>A084-COG-X-BVM-Re05</t>
  </si>
  <si>
    <t>A085-COG-X-BVM-Re05</t>
  </si>
  <si>
    <t>A086-COG-X-BVM-Re05</t>
  </si>
  <si>
    <t>A087-COG-X-BVM-Re05</t>
  </si>
  <si>
    <t>A088-COG-X-BVM-Re05</t>
  </si>
  <si>
    <t>A089-COG-X-BVM-Re05</t>
  </si>
  <si>
    <t>A090-COG-X-BVM-Re05</t>
  </si>
  <si>
    <t>A091-COG-X-BVM-Re05</t>
  </si>
  <si>
    <t>A092-COG-X-BVM-Re05</t>
  </si>
  <si>
    <t>A093-COG-X-BVM-Re05</t>
  </si>
  <si>
    <t>A094-COG-X-BVM-Re05</t>
  </si>
  <si>
    <t>A095-COG-X-BVM-Re05</t>
  </si>
  <si>
    <t>A096-COG-X-BVM-Re05</t>
  </si>
  <si>
    <t>A097-COG-X-BVM-Re05</t>
  </si>
  <si>
    <t>A098-COG-X-BVM-Re05</t>
  </si>
  <si>
    <t>A099-COG-X-BVM-Re05</t>
  </si>
  <si>
    <t>A100-COG-X-BVM-Re05</t>
  </si>
  <si>
    <t>A101-COG-X-BVM-Re05</t>
  </si>
  <si>
    <t>A102-COG-X-BVM-Re05</t>
  </si>
  <si>
    <t>A103-COG-X-BVM-Re05</t>
  </si>
  <si>
    <t>A104-COG-X-BVM-Re05</t>
  </si>
  <si>
    <t>A105-COG-X-BVM-Re05</t>
  </si>
  <si>
    <t>A106-COG-X-BVM-Re05</t>
  </si>
  <si>
    <t>A107-COG-X-BVM-Re05</t>
  </si>
  <si>
    <t>A108-COG-X-BVM-Re05</t>
  </si>
  <si>
    <t>A109-COG-X-BVM-Re05</t>
  </si>
  <si>
    <t>A010-COG-X-BVM-Re06</t>
  </si>
  <si>
    <t>A011-COG-X-BVM-Re06</t>
  </si>
  <si>
    <t>A012-COG-X-BVM-Re06</t>
  </si>
  <si>
    <t>A013-COG-X-BVM-Re06</t>
  </si>
  <si>
    <t>A014-COG-X-BVM-Re06</t>
  </si>
  <si>
    <t>A015-COG-X-BVM-Re06</t>
  </si>
  <si>
    <t>A016-COG-X-BVM-Re06</t>
  </si>
  <si>
    <t>A017-COG-X-BVM-Re06</t>
  </si>
  <si>
    <t>A018-COG-X-BVM-Re06</t>
  </si>
  <si>
    <t>A019-COG-X-BVM-Re06</t>
  </si>
  <si>
    <t>A020-COG-X-BVM-Re06</t>
  </si>
  <si>
    <t>A021-COG-X-BVM-Re06</t>
  </si>
  <si>
    <t>A022-COG-X-BVM-Re06</t>
  </si>
  <si>
    <t>A023-COG-X-BVM-Re06</t>
  </si>
  <si>
    <t>A024-COG-X-BVM-Re06</t>
  </si>
  <si>
    <t>A025-COG-X-BVM-Re06</t>
  </si>
  <si>
    <t>A026-COG-X-BVM-Re06</t>
  </si>
  <si>
    <t>A027-COG-X-BVM-Re06</t>
  </si>
  <si>
    <t>A028-COG-X-BVM-Re06</t>
  </si>
  <si>
    <t>A029-COG-X-BVM-Re06</t>
  </si>
  <si>
    <t>A030-COG-X-BVM-Re06</t>
  </si>
  <si>
    <t>A031-COG-X-BVM-Re06</t>
  </si>
  <si>
    <t>A032-COG-X-BVM-Re06</t>
  </si>
  <si>
    <t>A033-COG-X-BVM-Re06</t>
  </si>
  <si>
    <t>A034-COG-X-BVM-Re06</t>
  </si>
  <si>
    <t>A035-COG-X-BVM-Re06</t>
  </si>
  <si>
    <t>A036-COG-X-BVM-Re06</t>
  </si>
  <si>
    <t>A037-COG-X-BVM-Re06</t>
  </si>
  <si>
    <t>A038-COG-X-BVM-Re06</t>
  </si>
  <si>
    <t>A039-COG-X-BVM-Re06</t>
  </si>
  <si>
    <t>A040-COG-X-BVM-Re06</t>
  </si>
  <si>
    <t>A041-COG-X-BVM-Re06</t>
  </si>
  <si>
    <t>A042-COG-X-BVM-Re06</t>
  </si>
  <si>
    <t>A043-COG-X-BVM-Re06</t>
  </si>
  <si>
    <t>A044-COG-X-BVM-Re06</t>
  </si>
  <si>
    <t>A045-COG-X-BVM-Re06</t>
  </si>
  <si>
    <t>A046-COG-X-BVM-Re06</t>
  </si>
  <si>
    <t>A047-COG-X-BVM-Re06</t>
  </si>
  <si>
    <t>A048-COG-X-BVM-Re06</t>
  </si>
  <si>
    <t>A049-COG-X-BVM-Re06</t>
  </si>
  <si>
    <t>A050-COG-X-BVM-Re06</t>
  </si>
  <si>
    <t>A051-COG-X-BVM-Re06</t>
  </si>
  <si>
    <t>A052-COG-X-BVM-Re06</t>
  </si>
  <si>
    <t>A053-COG-X-BVM-Re06</t>
  </si>
  <si>
    <t>A054-COG-X-BVM-Re06</t>
  </si>
  <si>
    <t>A055-COG-X-BVM-Re06</t>
  </si>
  <si>
    <t>A056-COG-X-BVM-Re06</t>
  </si>
  <si>
    <t>A057-COG-X-BVM-Re06</t>
  </si>
  <si>
    <t>A058-COG-X-BVM-Re06</t>
  </si>
  <si>
    <t>A059-COG-X-BVM-Re06</t>
  </si>
  <si>
    <t>A060-COG-X-BVM-Re06</t>
  </si>
  <si>
    <t>A061-COG-X-BVM-Re06</t>
  </si>
  <si>
    <t>A062-COG-X-BVM-Re06</t>
  </si>
  <si>
    <t>A063-COG-X-BVM-Re06</t>
  </si>
  <si>
    <t>A064-COG-X-BVM-Re06</t>
  </si>
  <si>
    <t>A065-COG-X-BVM-Re06</t>
  </si>
  <si>
    <t>A066-COG-X-BVM-Re06</t>
  </si>
  <si>
    <t>A067-COG-X-BVM-Re06</t>
  </si>
  <si>
    <t>A068-COG-X-BVM-Re06</t>
  </si>
  <si>
    <t>A069-COG-X-BVM-Re06</t>
  </si>
  <si>
    <t>A070-COG-X-BVM-Re06</t>
  </si>
  <si>
    <t>A071-COG-X-BVM-Re06</t>
  </si>
  <si>
    <t>A072-COG-X-BVM-Re06</t>
  </si>
  <si>
    <t>A073-COG-X-BVM-Re06</t>
  </si>
  <si>
    <t>A074-COG-X-BVM-Re06</t>
  </si>
  <si>
    <t>A075-COG-X-BVM-Re06</t>
  </si>
  <si>
    <t>A076-COG-X-BVM-Re06</t>
  </si>
  <si>
    <t>A077-COG-X-BVM-Re06</t>
  </si>
  <si>
    <t>A078-COG-X-BVM-Re06</t>
  </si>
  <si>
    <t>A079-COG-X-BVM-Re06</t>
  </si>
  <si>
    <t>A080-COG-X-BVM-Re06</t>
  </si>
  <si>
    <t>A081-COG-X-BVM-Re06</t>
  </si>
  <si>
    <t>A082-COG-X-BVM-Re06</t>
  </si>
  <si>
    <t>A083-COG-X-BVM-Re06</t>
  </si>
  <si>
    <t>A084-COG-X-BVM-Re06</t>
  </si>
  <si>
    <t>A085-COG-X-BVM-Re06</t>
  </si>
  <si>
    <t>A086-COG-X-BVM-Re06</t>
  </si>
  <si>
    <t>A087-COG-X-BVM-Re06</t>
  </si>
  <si>
    <t>A088-COG-X-BVM-Re06</t>
  </si>
  <si>
    <t>A089-COG-X-BVM-Re06</t>
  </si>
  <si>
    <t>A090-COG-X-BVM-Re06</t>
  </si>
  <si>
    <t>A091-COG-X-BVM-Re06</t>
  </si>
  <si>
    <t>A092-COG-X-BVM-Re06</t>
  </si>
  <si>
    <t>A093-COG-X-BVM-Re06</t>
  </si>
  <si>
    <t>A094-COG-X-BVM-Re06</t>
  </si>
  <si>
    <t>A095-COG-X-BVM-Re06</t>
  </si>
  <si>
    <t>A096-COG-X-BVM-Re06</t>
  </si>
  <si>
    <t>A097-COG-X-BVM-Re06</t>
  </si>
  <si>
    <t>A098-COG-X-BVM-Re06</t>
  </si>
  <si>
    <t>A099-COG-X-BVM-Re06</t>
  </si>
  <si>
    <t>A100-COG-X-BVM-Re06</t>
  </si>
  <si>
    <t>A101-COG-X-BVM-Re06</t>
  </si>
  <si>
    <t>A102-COG-X-BVM-Re06</t>
  </si>
  <si>
    <t>A103-COG-X-BVM-Re06</t>
  </si>
  <si>
    <t>A104-COG-X-BVM-Re06</t>
  </si>
  <si>
    <t>A105-COG-X-BVM-Re06</t>
  </si>
  <si>
    <t>A106-COG-X-BVM-Re06</t>
  </si>
  <si>
    <t>A107-COG-X-BVM-Re06</t>
  </si>
  <si>
    <t>A108-COG-X-BVM-Re06</t>
  </si>
  <si>
    <t>A109-COG-X-BVM-Re06</t>
  </si>
  <si>
    <t>A010-COG-X-BVM-Re07</t>
  </si>
  <si>
    <t>A011-COG-X-BVM-Re07</t>
  </si>
  <si>
    <t>A012-COG-X-BVM-Re07</t>
  </si>
  <si>
    <t>A013-COG-X-BVM-Re07</t>
  </si>
  <si>
    <t>A014-COG-X-BVM-Re07</t>
  </si>
  <si>
    <t>A015-COG-X-BVM-Re07</t>
  </si>
  <si>
    <t>A016-COG-X-BVM-Re07</t>
  </si>
  <si>
    <t>A017-COG-X-BVM-Re07</t>
  </si>
  <si>
    <t>A018-COG-X-BVM-Re07</t>
  </si>
  <si>
    <t>A019-COG-X-BVM-Re07</t>
  </si>
  <si>
    <t>A020-COG-X-BVM-Re07</t>
  </si>
  <si>
    <t>A021-COG-X-BVM-Re07</t>
  </si>
  <si>
    <t>A022-COG-X-BVM-Re07</t>
  </si>
  <si>
    <t>A023-COG-X-BVM-Re07</t>
  </si>
  <si>
    <t>A024-COG-X-BVM-Re07</t>
  </si>
  <si>
    <t>A025-COG-X-BVM-Re07</t>
  </si>
  <si>
    <t>A026-COG-X-BVM-Re07</t>
  </si>
  <si>
    <t>A027-COG-X-BVM-Re07</t>
  </si>
  <si>
    <t>A028-COG-X-BVM-Re07</t>
  </si>
  <si>
    <t>A029-COG-X-BVM-Re07</t>
  </si>
  <si>
    <t>A030-COG-X-BVM-Re07</t>
  </si>
  <si>
    <t>A031-COG-X-BVM-Re07</t>
  </si>
  <si>
    <t>A032-COG-X-BVM-Re07</t>
  </si>
  <si>
    <t>A033-COG-X-BVM-Re07</t>
  </si>
  <si>
    <t>A034-COG-X-BVM-Re07</t>
  </si>
  <si>
    <t>A035-COG-X-BVM-Re07</t>
  </si>
  <si>
    <t>A036-COG-X-BVM-Re07</t>
  </si>
  <si>
    <t>A037-COG-X-BVM-Re07</t>
  </si>
  <si>
    <t>A038-COG-X-BVM-Re07</t>
  </si>
  <si>
    <t>A039-COG-X-BVM-Re07</t>
  </si>
  <si>
    <t>A040-COG-X-BVM-Re07</t>
  </si>
  <si>
    <t>A041-COG-X-BVM-Re07</t>
  </si>
  <si>
    <t>A042-COG-X-BVM-Re07</t>
  </si>
  <si>
    <t>A043-COG-X-BVM-Re07</t>
  </si>
  <si>
    <t>A044-COG-X-BVM-Re07</t>
  </si>
  <si>
    <t>A045-COG-X-BVM-Re07</t>
  </si>
  <si>
    <t>A046-COG-X-BVM-Re07</t>
  </si>
  <si>
    <t>A047-COG-X-BVM-Re07</t>
  </si>
  <si>
    <t>A048-COG-X-BVM-Re07</t>
  </si>
  <si>
    <t>A049-COG-X-BVM-Re07</t>
  </si>
  <si>
    <t>A050-COG-X-BVM-Re07</t>
  </si>
  <si>
    <t>A051-COG-X-BVM-Re07</t>
  </si>
  <si>
    <t>A052-COG-X-BVM-Re07</t>
  </si>
  <si>
    <t>A053-COG-X-BVM-Re07</t>
  </si>
  <si>
    <t>A054-COG-X-BVM-Re07</t>
  </si>
  <si>
    <t>A055-COG-X-BVM-Re07</t>
  </si>
  <si>
    <t>A056-COG-X-BVM-Re07</t>
  </si>
  <si>
    <t>A057-COG-X-BVM-Re07</t>
  </si>
  <si>
    <t>A058-COG-X-BVM-Re07</t>
  </si>
  <si>
    <t>A059-COG-X-BVM-Re07</t>
  </si>
  <si>
    <t>A060-COG-X-BVM-Re07</t>
  </si>
  <si>
    <t>A061-COG-X-BVM-Re07</t>
  </si>
  <si>
    <t>A062-COG-X-BVM-Re07</t>
  </si>
  <si>
    <t>A063-COG-X-BVM-Re07</t>
  </si>
  <si>
    <t>A064-COG-X-BVM-Re07</t>
  </si>
  <si>
    <t>A065-COG-X-BVM-Re07</t>
  </si>
  <si>
    <t>A066-COG-X-BVM-Re07</t>
  </si>
  <si>
    <t>A067-COG-X-BVM-Re07</t>
  </si>
  <si>
    <t>A068-COG-X-BVM-Re07</t>
  </si>
  <si>
    <t>A069-COG-X-BVM-Re07</t>
  </si>
  <si>
    <t>A070-COG-X-BVM-Re07</t>
  </si>
  <si>
    <t>A071-COG-X-BVM-Re07</t>
  </si>
  <si>
    <t>A072-COG-X-BVM-Re07</t>
  </si>
  <si>
    <t>A073-COG-X-BVM-Re07</t>
  </si>
  <si>
    <t>A074-COG-X-BVM-Re07</t>
  </si>
  <si>
    <t>A075-COG-X-BVM-Re07</t>
  </si>
  <si>
    <t>A076-COG-X-BVM-Re07</t>
  </si>
  <si>
    <t>A077-COG-X-BVM-Re07</t>
  </si>
  <si>
    <t>A078-COG-X-BVM-Re07</t>
  </si>
  <si>
    <t>A079-COG-X-BVM-Re07</t>
  </si>
  <si>
    <t>A080-COG-X-BVM-Re07</t>
  </si>
  <si>
    <t>A081-COG-X-BVM-Re07</t>
  </si>
  <si>
    <t>A082-COG-X-BVM-Re07</t>
  </si>
  <si>
    <t>A083-COG-X-BVM-Re07</t>
  </si>
  <si>
    <t>A084-COG-X-BVM-Re07</t>
  </si>
  <si>
    <t>A085-COG-X-BVM-Re07</t>
  </si>
  <si>
    <t>A086-COG-X-BVM-Re07</t>
  </si>
  <si>
    <t>A087-COG-X-BVM-Re07</t>
  </si>
  <si>
    <t>A088-COG-X-BVM-Re07</t>
  </si>
  <si>
    <t>A089-COG-X-BVM-Re07</t>
  </si>
  <si>
    <t>A090-COG-X-BVM-Re07</t>
  </si>
  <si>
    <t>A091-COG-X-BVM-Re07</t>
  </si>
  <si>
    <t>A092-COG-X-BVM-Re07</t>
  </si>
  <si>
    <t>A093-COG-X-BVM-Re07</t>
  </si>
  <si>
    <t>A094-COG-X-BVM-Re07</t>
  </si>
  <si>
    <t>A095-COG-X-BVM-Re07</t>
  </si>
  <si>
    <t>A096-COG-X-BVM-Re07</t>
  </si>
  <si>
    <t>A097-COG-X-BVM-Re07</t>
  </si>
  <si>
    <t>A098-COG-X-BVM-Re07</t>
  </si>
  <si>
    <t>A099-COG-X-BVM-Re07</t>
  </si>
  <si>
    <t>A100-COG-X-BVM-Re07</t>
  </si>
  <si>
    <t>A101-COG-X-BVM-Re07</t>
  </si>
  <si>
    <t>A102-COG-X-BVM-Re07</t>
  </si>
  <si>
    <t>A103-COG-X-BVM-Re07</t>
  </si>
  <si>
    <t>A104-COG-X-BVM-Re07</t>
  </si>
  <si>
    <t>A105-COG-X-BVM-Re07</t>
  </si>
  <si>
    <t>A106-COG-X-BVM-Re07</t>
  </si>
  <si>
    <t>A107-COG-X-BVM-Re07</t>
  </si>
  <si>
    <t>A108-COG-X-BVM-Re07</t>
  </si>
  <si>
    <t>A109-COG-X-BVM-Re07</t>
  </si>
  <si>
    <t>A010-COG-X-BVM-Re08</t>
  </si>
  <si>
    <t>A011-COG-X-BVM-Re08</t>
  </si>
  <si>
    <t>A012-COG-X-BVM-Re08</t>
  </si>
  <si>
    <t>A013-COG-X-BVM-Re08</t>
  </si>
  <si>
    <t>A014-COG-X-BVM-Re08</t>
  </si>
  <si>
    <t>A015-COG-X-BVM-Re08</t>
  </si>
  <si>
    <t>A016-COG-X-BVM-Re08</t>
  </si>
  <si>
    <t>A017-COG-X-BVM-Re08</t>
  </si>
  <si>
    <t>A018-COG-X-BVM-Re08</t>
  </si>
  <si>
    <t>A019-COG-X-BVM-Re08</t>
  </si>
  <si>
    <t>A020-COG-X-BVM-Re08</t>
  </si>
  <si>
    <t>A021-COG-X-BVM-Re08</t>
  </si>
  <si>
    <t>A022-COG-X-BVM-Re08</t>
  </si>
  <si>
    <t>A023-COG-X-BVM-Re08</t>
  </si>
  <si>
    <t>A024-COG-X-BVM-Re08</t>
  </si>
  <si>
    <t>A025-COG-X-BVM-Re08</t>
  </si>
  <si>
    <t>A026-COG-X-BVM-Re08</t>
  </si>
  <si>
    <t>A027-COG-X-BVM-Re08</t>
  </si>
  <si>
    <t>A028-COG-X-BVM-Re08</t>
  </si>
  <si>
    <t>A029-COG-X-BVM-Re08</t>
  </si>
  <si>
    <t>A030-COG-X-BVM-Re08</t>
  </si>
  <si>
    <t>A031-COG-X-BVM-Re08</t>
  </si>
  <si>
    <t>A032-COG-X-BVM-Re08</t>
  </si>
  <si>
    <t>A033-COG-X-BVM-Re08</t>
  </si>
  <si>
    <t>A034-COG-X-BVM-Re08</t>
  </si>
  <si>
    <t>A035-COG-X-BVM-Re08</t>
  </si>
  <si>
    <t>A036-COG-X-BVM-Re08</t>
  </si>
  <si>
    <t>A037-COG-X-BVM-Re08</t>
  </si>
  <si>
    <t>A038-COG-X-BVM-Re08</t>
  </si>
  <si>
    <t>A039-COG-X-BVM-Re08</t>
  </si>
  <si>
    <t>A040-COG-X-BVM-Re08</t>
  </si>
  <si>
    <t>A041-COG-X-BVM-Re08</t>
  </si>
  <si>
    <t>A042-COG-X-BVM-Re08</t>
  </si>
  <si>
    <t>A043-COG-X-BVM-Re08</t>
  </si>
  <si>
    <t>A044-COG-X-BVM-Re08</t>
  </si>
  <si>
    <t>A045-COG-X-BVM-Re08</t>
  </si>
  <si>
    <t>A046-COG-X-BVM-Re08</t>
  </si>
  <si>
    <t>A047-COG-X-BVM-Re08</t>
  </si>
  <si>
    <t>A048-COG-X-BVM-Re08</t>
  </si>
  <si>
    <t>A049-COG-X-BVM-Re08</t>
  </si>
  <si>
    <t>A050-COG-X-BVM-Re08</t>
  </si>
  <si>
    <t>A051-COG-X-BVM-Re08</t>
  </si>
  <si>
    <t>A052-COG-X-BVM-Re08</t>
  </si>
  <si>
    <t>A053-COG-X-BVM-Re08</t>
  </si>
  <si>
    <t>A054-COG-X-BVM-Re08</t>
  </si>
  <si>
    <t>A055-COG-X-BVM-Re08</t>
  </si>
  <si>
    <t>A056-COG-X-BVM-Re08</t>
  </si>
  <si>
    <t>A057-COG-X-BVM-Re08</t>
  </si>
  <si>
    <t>A058-COG-X-BVM-Re08</t>
  </si>
  <si>
    <t>A059-COG-X-BVM-Re08</t>
  </si>
  <si>
    <t>A060-COG-X-BVM-Re08</t>
  </si>
  <si>
    <t>A061-COG-X-BVM-Re08</t>
  </si>
  <si>
    <t>A062-COG-X-BVM-Re08</t>
  </si>
  <si>
    <t>A063-COG-X-BVM-Re08</t>
  </si>
  <si>
    <t>A064-COG-X-BVM-Re08</t>
  </si>
  <si>
    <t>A065-COG-X-BVM-Re08</t>
  </si>
  <si>
    <t>A066-COG-X-BVM-Re08</t>
  </si>
  <si>
    <t>A067-COG-X-BVM-Re08</t>
  </si>
  <si>
    <t>A068-COG-X-BVM-Re08</t>
  </si>
  <si>
    <t>A069-COG-X-BVM-Re08</t>
  </si>
  <si>
    <t>A070-COG-X-BVM-Re08</t>
  </si>
  <si>
    <t>A071-COG-X-BVM-Re08</t>
  </si>
  <si>
    <t>A072-COG-X-BVM-Re08</t>
  </si>
  <si>
    <t>A073-COG-X-BVM-Re08</t>
  </si>
  <si>
    <t>A074-COG-X-BVM-Re08</t>
  </si>
  <si>
    <t>A075-COG-X-BVM-Re08</t>
  </si>
  <si>
    <t>A076-COG-X-BVM-Re08</t>
  </si>
  <si>
    <t>A077-COG-X-BVM-Re08</t>
  </si>
  <si>
    <t>A078-COG-X-BVM-Re08</t>
  </si>
  <si>
    <t>A079-COG-X-BVM-Re08</t>
  </si>
  <si>
    <t>A080-COG-X-BVM-Re08</t>
  </si>
  <si>
    <t>A081-COG-X-BVM-Re08</t>
  </si>
  <si>
    <t>A082-COG-X-BVM-Re08</t>
  </si>
  <si>
    <t>A083-COG-X-BVM-Re08</t>
  </si>
  <si>
    <t>A084-COG-X-BVM-Re08</t>
  </si>
  <si>
    <t>A085-COG-X-BVM-Re08</t>
  </si>
  <si>
    <t>A086-COG-X-BVM-Re08</t>
  </si>
  <si>
    <t>A087-COG-X-BVM-Re08</t>
  </si>
  <si>
    <t>A088-COG-X-BVM-Re08</t>
  </si>
  <si>
    <t>A089-COG-X-BVM-Re08</t>
  </si>
  <si>
    <t>A090-COG-X-BVM-Re08</t>
  </si>
  <si>
    <t>A091-COG-X-BVM-Re08</t>
  </si>
  <si>
    <t>A092-COG-X-BVM-Re08</t>
  </si>
  <si>
    <t>A093-COG-X-BVM-Re08</t>
  </si>
  <si>
    <t>A094-COG-X-BVM-Re08</t>
  </si>
  <si>
    <t>A095-COG-X-BVM-Re08</t>
  </si>
  <si>
    <t>A096-COG-X-BVM-Re08</t>
  </si>
  <si>
    <t>A097-COG-X-BVM-Re08</t>
  </si>
  <si>
    <t>A098-COG-X-BVM-Re08</t>
  </si>
  <si>
    <t>A099-COG-X-BVM-Re08</t>
  </si>
  <si>
    <t>A100-COG-X-BVM-Re08</t>
  </si>
  <si>
    <t>A101-COG-X-BVM-Re08</t>
  </si>
  <si>
    <t>A102-COG-X-BVM-Re08</t>
  </si>
  <si>
    <t>A103-COG-X-BVM-Re08</t>
  </si>
  <si>
    <t>A104-COG-X-BVM-Re08</t>
  </si>
  <si>
    <t>A105-COG-X-BVM-Re08</t>
  </si>
  <si>
    <t>A106-COG-X-BVM-Re08</t>
  </si>
  <si>
    <t>A107-COG-X-BVM-Re08</t>
  </si>
  <si>
    <t>A108-COG-X-BVM-Re08</t>
  </si>
  <si>
    <t>A109-COG-X-BVM-Re08</t>
  </si>
  <si>
    <t>A010-COG-X-BVM-Re09</t>
  </si>
  <si>
    <t>A011-COG-X-BVM-Re09</t>
  </si>
  <si>
    <t>A012-COG-X-BVM-Re09</t>
  </si>
  <si>
    <t>A013-COG-X-BVM-Re09</t>
  </si>
  <si>
    <t>A014-COG-X-BVM-Re09</t>
  </si>
  <si>
    <t>A015-COG-X-BVM-Re09</t>
  </si>
  <si>
    <t>A016-COG-X-BVM-Re09</t>
  </si>
  <si>
    <t>A017-COG-X-BVM-Re09</t>
  </si>
  <si>
    <t>A018-COG-X-BVM-Re09</t>
  </si>
  <si>
    <t>A019-COG-X-BVM-Re09</t>
  </si>
  <si>
    <t>A020-COG-X-BVM-Re09</t>
  </si>
  <si>
    <t>A021-COG-X-BVM-Re09</t>
  </si>
  <si>
    <t>A022-COG-X-BVM-Re09</t>
  </si>
  <si>
    <t>A023-COG-X-BVM-Re09</t>
  </si>
  <si>
    <t>A024-COG-X-BVM-Re09</t>
  </si>
  <si>
    <t>A025-COG-X-BVM-Re09</t>
  </si>
  <si>
    <t>A026-COG-X-BVM-Re09</t>
  </si>
  <si>
    <t>A027-COG-X-BVM-Re09</t>
  </si>
  <si>
    <t>A028-COG-X-BVM-Re09</t>
  </si>
  <si>
    <t>A029-COG-X-BVM-Re09</t>
  </si>
  <si>
    <t>A030-COG-X-BVM-Re09</t>
  </si>
  <si>
    <t>A031-COG-X-BVM-Re09</t>
  </si>
  <si>
    <t>A032-COG-X-BVM-Re09</t>
  </si>
  <si>
    <t>A033-COG-X-BVM-Re09</t>
  </si>
  <si>
    <t>A034-COG-X-BVM-Re09</t>
  </si>
  <si>
    <t>A035-COG-X-BVM-Re09</t>
  </si>
  <si>
    <t>A036-COG-X-BVM-Re09</t>
  </si>
  <si>
    <t>A037-COG-X-BVM-Re09</t>
  </si>
  <si>
    <t>A038-COG-X-BVM-Re09</t>
  </si>
  <si>
    <t>A039-COG-X-BVM-Re09</t>
  </si>
  <si>
    <t>A040-COG-X-BVM-Re09</t>
  </si>
  <si>
    <t>A041-COG-X-BVM-Re09</t>
  </si>
  <si>
    <t>A042-COG-X-BVM-Re09</t>
  </si>
  <si>
    <t>A043-COG-X-BVM-Re09</t>
  </si>
  <si>
    <t>A044-COG-X-BVM-Re09</t>
  </si>
  <si>
    <t>A045-COG-X-BVM-Re09</t>
  </si>
  <si>
    <t>A046-COG-X-BVM-Re09</t>
  </si>
  <si>
    <t>A047-COG-X-BVM-Re09</t>
  </si>
  <si>
    <t>A048-COG-X-BVM-Re09</t>
  </si>
  <si>
    <t>A049-COG-X-BVM-Re09</t>
  </si>
  <si>
    <t>A050-COG-X-BVM-Re09</t>
  </si>
  <si>
    <t>A051-COG-X-BVM-Re09</t>
  </si>
  <si>
    <t>A052-COG-X-BVM-Re09</t>
  </si>
  <si>
    <t>A053-COG-X-BVM-Re09</t>
  </si>
  <si>
    <t>A054-COG-X-BVM-Re09</t>
  </si>
  <si>
    <t>A055-COG-X-BVM-Re09</t>
  </si>
  <si>
    <t>A056-COG-X-BVM-Re09</t>
  </si>
  <si>
    <t>A057-COG-X-BVM-Re09</t>
  </si>
  <si>
    <t>A058-COG-X-BVM-Re09</t>
  </si>
  <si>
    <t>A059-COG-X-BVM-Re09</t>
  </si>
  <si>
    <t>A060-COG-X-BVM-Re09</t>
  </si>
  <si>
    <t>A061-COG-X-BVM-Re09</t>
  </si>
  <si>
    <t>A062-COG-X-BVM-Re09</t>
  </si>
  <si>
    <t>A063-COG-X-BVM-Re09</t>
  </si>
  <si>
    <t>A064-COG-X-BVM-Re09</t>
  </si>
  <si>
    <t>A065-COG-X-BVM-Re09</t>
  </si>
  <si>
    <t>A066-COG-X-BVM-Re09</t>
  </si>
  <si>
    <t>A067-COG-X-BVM-Re09</t>
  </si>
  <si>
    <t>A068-COG-X-BVM-Re09</t>
  </si>
  <si>
    <t>A069-COG-X-BVM-Re09</t>
  </si>
  <si>
    <t>A070-COG-X-BVM-Re09</t>
  </si>
  <si>
    <t>A071-COG-X-BVM-Re09</t>
  </si>
  <si>
    <t>A072-COG-X-BVM-Re09</t>
  </si>
  <si>
    <t>A073-COG-X-BVM-Re09</t>
  </si>
  <si>
    <t>A074-COG-X-BVM-Re09</t>
  </si>
  <si>
    <t>A075-COG-X-BVM-Re09</t>
  </si>
  <si>
    <t>A076-COG-X-BVM-Re09</t>
  </si>
  <si>
    <t>A077-COG-X-BVM-Re09</t>
  </si>
  <si>
    <t>A078-COG-X-BVM-Re09</t>
  </si>
  <si>
    <t>A079-COG-X-BVM-Re09</t>
  </si>
  <si>
    <t>A080-COG-X-BVM-Re09</t>
  </si>
  <si>
    <t>A081-COG-X-BVM-Re09</t>
  </si>
  <si>
    <t>A082-COG-X-BVM-Re09</t>
  </si>
  <si>
    <t>A083-COG-X-BVM-Re09</t>
  </si>
  <si>
    <t>A084-COG-X-BVM-Re09</t>
  </si>
  <si>
    <t>A085-COG-X-BVM-Re09</t>
  </si>
  <si>
    <t>A086-COG-X-BVM-Re09</t>
  </si>
  <si>
    <t>A087-COG-X-BVM-Re09</t>
  </si>
  <si>
    <t>A088-COG-X-BVM-Re09</t>
  </si>
  <si>
    <t>A089-COG-X-BVM-Re09</t>
  </si>
  <si>
    <t>A090-COG-X-BVM-Re09</t>
  </si>
  <si>
    <t>A091-COG-X-BVM-Re09</t>
  </si>
  <si>
    <t>A092-COG-X-BVM-Re09</t>
  </si>
  <si>
    <t>A093-COG-X-BVM-Re09</t>
  </si>
  <si>
    <t>A094-COG-X-BVM-Re09</t>
  </si>
  <si>
    <t>A095-COG-X-BVM-Re09</t>
  </si>
  <si>
    <t>A096-COG-X-BVM-Re09</t>
  </si>
  <si>
    <t>A097-COG-X-BVM-Re09</t>
  </si>
  <si>
    <t>A098-COG-X-BVM-Re09</t>
  </si>
  <si>
    <t>A099-COG-X-BVM-Re09</t>
  </si>
  <si>
    <t>A100-COG-X-BVM-Re09</t>
  </si>
  <si>
    <t>A101-COG-X-BVM-Re09</t>
  </si>
  <si>
    <t>A102-COG-X-BVM-Re09</t>
  </si>
  <si>
    <t>A103-COG-X-BVM-Re09</t>
  </si>
  <si>
    <t>A104-COG-X-BVM-Re09</t>
  </si>
  <si>
    <t>A105-COG-X-BVM-Re09</t>
  </si>
  <si>
    <t>A106-COG-X-BVM-Re09</t>
  </si>
  <si>
    <t>A107-COG-X-BVM-Re09</t>
  </si>
  <si>
    <t>A108-COG-X-BVM-Re09</t>
  </si>
  <si>
    <t>A109-COG-X-BVM-Re09</t>
  </si>
  <si>
    <t>A010-COG-X-BVM-Re10</t>
  </si>
  <si>
    <t>A011-COG-X-BVM-Re10</t>
  </si>
  <si>
    <t>A012-COG-X-BVM-Re10</t>
  </si>
  <si>
    <t>A013-COG-X-BVM-Re10</t>
  </si>
  <si>
    <t>A014-COG-X-BVM-Re10</t>
  </si>
  <si>
    <t>A015-COG-X-BVM-Re10</t>
  </si>
  <si>
    <t>A016-COG-X-BVM-Re10</t>
  </si>
  <si>
    <t>A017-COG-X-BVM-Re10</t>
  </si>
  <si>
    <t>A018-COG-X-BVM-Re10</t>
  </si>
  <si>
    <t>A019-COG-X-BVM-Re10</t>
  </si>
  <si>
    <t>A020-COG-X-BVM-Re10</t>
  </si>
  <si>
    <t>A021-COG-X-BVM-Re10</t>
  </si>
  <si>
    <t>A022-COG-X-BVM-Re10</t>
  </si>
  <si>
    <t>A023-COG-X-BVM-Re10</t>
  </si>
  <si>
    <t>A024-COG-X-BVM-Re10</t>
  </si>
  <si>
    <t>A025-COG-X-BVM-Re10</t>
  </si>
  <si>
    <t>A026-COG-X-BVM-Re10</t>
  </si>
  <si>
    <t>A027-COG-X-BVM-Re10</t>
  </si>
  <si>
    <t>A028-COG-X-BVM-Re10</t>
  </si>
  <si>
    <t>A029-COG-X-BVM-Re10</t>
  </si>
  <si>
    <t>A030-COG-X-BVM-Re10</t>
  </si>
  <si>
    <t>A031-COG-X-BVM-Re10</t>
  </si>
  <si>
    <t>A032-COG-X-BVM-Re10</t>
  </si>
  <si>
    <t>A033-COG-X-BVM-Re10</t>
  </si>
  <si>
    <t>A034-COG-X-BVM-Re10</t>
  </si>
  <si>
    <t>A035-COG-X-BVM-Re10</t>
  </si>
  <si>
    <t>A036-COG-X-BVM-Re10</t>
  </si>
  <si>
    <t>A037-COG-X-BVM-Re10</t>
  </si>
  <si>
    <t>A038-COG-X-BVM-Re10</t>
  </si>
  <si>
    <t>A039-COG-X-BVM-Re10</t>
  </si>
  <si>
    <t>A040-COG-X-BVM-Re10</t>
  </si>
  <si>
    <t>A041-COG-X-BVM-Re10</t>
  </si>
  <si>
    <t>A042-COG-X-BVM-Re10</t>
  </si>
  <si>
    <t>A043-COG-X-BVM-Re10</t>
  </si>
  <si>
    <t>A044-COG-X-BVM-Re10</t>
  </si>
  <si>
    <t>A045-COG-X-BVM-Re10</t>
  </si>
  <si>
    <t>A046-COG-X-BVM-Re10</t>
  </si>
  <si>
    <t>A047-COG-X-BVM-Re10</t>
  </si>
  <si>
    <t>A048-COG-X-BVM-Re10</t>
  </si>
  <si>
    <t>A049-COG-X-BVM-Re10</t>
  </si>
  <si>
    <t>A050-COG-X-BVM-Re10</t>
  </si>
  <si>
    <t>A051-COG-X-BVM-Re10</t>
  </si>
  <si>
    <t>A052-COG-X-BVM-Re10</t>
  </si>
  <si>
    <t>A053-COG-X-BVM-Re10</t>
  </si>
  <si>
    <t>A054-COG-X-BVM-Re10</t>
  </si>
  <si>
    <t>A055-COG-X-BVM-Re10</t>
  </si>
  <si>
    <t>A056-COG-X-BVM-Re10</t>
  </si>
  <si>
    <t>A057-COG-X-BVM-Re10</t>
  </si>
  <si>
    <t>A058-COG-X-BVM-Re10</t>
  </si>
  <si>
    <t>A059-COG-X-BVM-Re10</t>
  </si>
  <si>
    <t>A060-COG-X-BVM-Re10</t>
  </si>
  <si>
    <t>A061-COG-X-BVM-Re10</t>
  </si>
  <si>
    <t>A062-COG-X-BVM-Re10</t>
  </si>
  <si>
    <t>A063-COG-X-BVM-Re10</t>
  </si>
  <si>
    <t>A064-COG-X-BVM-Re10</t>
  </si>
  <si>
    <t>A065-COG-X-BVM-Re10</t>
  </si>
  <si>
    <t>A066-COG-X-BVM-Re10</t>
  </si>
  <si>
    <t>A067-COG-X-BVM-Re10</t>
  </si>
  <si>
    <t>A068-COG-X-BVM-Re10</t>
  </si>
  <si>
    <t>A069-COG-X-BVM-Re10</t>
  </si>
  <si>
    <t>A070-COG-X-BVM-Re10</t>
  </si>
  <si>
    <t>A071-COG-X-BVM-Re10</t>
  </si>
  <si>
    <t>A072-COG-X-BVM-Re10</t>
  </si>
  <si>
    <t>A073-COG-X-BVM-Re10</t>
  </si>
  <si>
    <t>A074-COG-X-BVM-Re10</t>
  </si>
  <si>
    <t>A075-COG-X-BVM-Re10</t>
  </si>
  <si>
    <t>A076-COG-X-BVM-Re10</t>
  </si>
  <si>
    <t>A077-COG-X-BVM-Re10</t>
  </si>
  <si>
    <t>A078-COG-X-BVM-Re10</t>
  </si>
  <si>
    <t>A079-COG-X-BVM-Re10</t>
  </si>
  <si>
    <t>A080-COG-X-BVM-Re10</t>
  </si>
  <si>
    <t>A081-COG-X-BVM-Re10</t>
  </si>
  <si>
    <t>A082-COG-X-BVM-Re10</t>
  </si>
  <si>
    <t>A083-COG-X-BVM-Re10</t>
  </si>
  <si>
    <t>A084-COG-X-BVM-Re10</t>
  </si>
  <si>
    <t>A085-COG-X-BVM-Re10</t>
  </si>
  <si>
    <t>A086-COG-X-BVM-Re10</t>
  </si>
  <si>
    <t>A087-COG-X-BVM-Re10</t>
  </si>
  <si>
    <t>A088-COG-X-BVM-Re10</t>
  </si>
  <si>
    <t>A089-COG-X-BVM-Re10</t>
  </si>
  <si>
    <t>A090-COG-X-BVM-Re10</t>
  </si>
  <si>
    <t>A091-COG-X-BVM-Re10</t>
  </si>
  <si>
    <t>A092-COG-X-BVM-Re10</t>
  </si>
  <si>
    <t>A093-COG-X-BVM-Re10</t>
  </si>
  <si>
    <t>A094-COG-X-BVM-Re10</t>
  </si>
  <si>
    <t>A095-COG-X-BVM-Re10</t>
  </si>
  <si>
    <t>A096-COG-X-BVM-Re10</t>
  </si>
  <si>
    <t>A097-COG-X-BVM-Re10</t>
  </si>
  <si>
    <t>A098-COG-X-BVM-Re10</t>
  </si>
  <si>
    <t>A099-COG-X-BVM-Re10</t>
  </si>
  <si>
    <t>A100-COG-X-BVM-Re10</t>
  </si>
  <si>
    <t>A101-COG-X-BVM-Re10</t>
  </si>
  <si>
    <t>A102-COG-X-BVM-Re10</t>
  </si>
  <si>
    <t>A103-COG-X-BVM-Re10</t>
  </si>
  <si>
    <t>A104-COG-X-BVM-Re10</t>
  </si>
  <si>
    <t>A105-COG-X-BVM-Re10</t>
  </si>
  <si>
    <t>A106-COG-X-BVM-Re10</t>
  </si>
  <si>
    <t>A107-COG-X-BVM-Re10</t>
  </si>
  <si>
    <t>A108-COG-X-BVM-Re10</t>
  </si>
  <si>
    <t>A109-COG-X-BVM-Re10</t>
  </si>
  <si>
    <t>A010-COG-X-BVM-Re11</t>
  </si>
  <si>
    <t>A011-COG-X-BVM-Re11</t>
  </si>
  <si>
    <t>A012-COG-X-BVM-Re11</t>
  </si>
  <si>
    <t>A013-COG-X-BVM-Re11</t>
  </si>
  <si>
    <t>A014-COG-X-BVM-Re11</t>
  </si>
  <si>
    <t>A015-COG-X-BVM-Re11</t>
  </si>
  <si>
    <t>A016-COG-X-BVM-Re11</t>
  </si>
  <si>
    <t>A017-COG-X-BVM-Re11</t>
  </si>
  <si>
    <t>A018-COG-X-BVM-Re11</t>
  </si>
  <si>
    <t>A019-COG-X-BVM-Re11</t>
  </si>
  <si>
    <t>A020-COG-X-BVM-Re11</t>
  </si>
  <si>
    <t>A021-COG-X-BVM-Re11</t>
  </si>
  <si>
    <t>A022-COG-X-BVM-Re11</t>
  </si>
  <si>
    <t>A023-COG-X-BVM-Re11</t>
  </si>
  <si>
    <t>A024-COG-X-BVM-Re11</t>
  </si>
  <si>
    <t>A025-COG-X-BVM-Re11</t>
  </si>
  <si>
    <t>A026-COG-X-BVM-Re11</t>
  </si>
  <si>
    <t>A027-COG-X-BVM-Re11</t>
  </si>
  <si>
    <t>A028-COG-X-BVM-Re11</t>
  </si>
  <si>
    <t>A029-COG-X-BVM-Re11</t>
  </si>
  <si>
    <t>A030-COG-X-BVM-Re11</t>
  </si>
  <si>
    <t>A031-COG-X-BVM-Re11</t>
  </si>
  <si>
    <t>A032-COG-X-BVM-Re11</t>
  </si>
  <si>
    <t>A033-COG-X-BVM-Re11</t>
  </si>
  <si>
    <t>A034-COG-X-BVM-Re11</t>
  </si>
  <si>
    <t>A035-COG-X-BVM-Re11</t>
  </si>
  <si>
    <t>A036-COG-X-BVM-Re11</t>
  </si>
  <si>
    <t>A037-COG-X-BVM-Re11</t>
  </si>
  <si>
    <t>A038-COG-X-BVM-Re11</t>
  </si>
  <si>
    <t>A039-COG-X-BVM-Re11</t>
  </si>
  <si>
    <t>A040-COG-X-BVM-Re11</t>
  </si>
  <si>
    <t>A041-COG-X-BVM-Re11</t>
  </si>
  <si>
    <t>A042-COG-X-BVM-Re11</t>
  </si>
  <si>
    <t>A043-COG-X-BVM-Re11</t>
  </si>
  <si>
    <t>A044-COG-X-BVM-Re11</t>
  </si>
  <si>
    <t>A045-COG-X-BVM-Re11</t>
  </si>
  <si>
    <t>A046-COG-X-BVM-Re11</t>
  </si>
  <si>
    <t>A047-COG-X-BVM-Re11</t>
  </si>
  <si>
    <t>A048-COG-X-BVM-Re11</t>
  </si>
  <si>
    <t>A049-COG-X-BVM-Re11</t>
  </si>
  <si>
    <t>A050-COG-X-BVM-Re11</t>
  </si>
  <si>
    <t>A051-COG-X-BVM-Re11</t>
  </si>
  <si>
    <t>A052-COG-X-BVM-Re11</t>
  </si>
  <si>
    <t>A053-COG-X-BVM-Re11</t>
  </si>
  <si>
    <t>A054-COG-X-BVM-Re11</t>
  </si>
  <si>
    <t>A055-COG-X-BVM-Re11</t>
  </si>
  <si>
    <t>A056-COG-X-BVM-Re11</t>
  </si>
  <si>
    <t>A057-COG-X-BVM-Re11</t>
  </si>
  <si>
    <t>A058-COG-X-BVM-Re11</t>
  </si>
  <si>
    <t>A059-COG-X-BVM-Re11</t>
  </si>
  <si>
    <t>A060-COG-X-BVM-Re11</t>
  </si>
  <si>
    <t>A061-COG-X-BVM-Re11</t>
  </si>
  <si>
    <t>A062-COG-X-BVM-Re11</t>
  </si>
  <si>
    <t>A063-COG-X-BVM-Re11</t>
  </si>
  <si>
    <t>A064-COG-X-BVM-Re11</t>
  </si>
  <si>
    <t>A065-COG-X-BVM-Re11</t>
  </si>
  <si>
    <t>A066-COG-X-BVM-Re11</t>
  </si>
  <si>
    <t>A067-COG-X-BVM-Re11</t>
  </si>
  <si>
    <t>A068-COG-X-BVM-Re11</t>
  </si>
  <si>
    <t>A069-COG-X-BVM-Re11</t>
  </si>
  <si>
    <t>A070-COG-X-BVM-Re11</t>
  </si>
  <si>
    <t>A071-COG-X-BVM-Re11</t>
  </si>
  <si>
    <t>A072-COG-X-BVM-Re11</t>
  </si>
  <si>
    <t>A073-COG-X-BVM-Re11</t>
  </si>
  <si>
    <t>A074-COG-X-BVM-Re11</t>
  </si>
  <si>
    <t>A075-COG-X-BVM-Re11</t>
  </si>
  <si>
    <t>A076-COG-X-BVM-Re11</t>
  </si>
  <si>
    <t>A077-COG-X-BVM-Re11</t>
  </si>
  <si>
    <t>A078-COG-X-BVM-Re11</t>
  </si>
  <si>
    <t>A079-COG-X-BVM-Re11</t>
  </si>
  <si>
    <t>A080-COG-X-BVM-Re11</t>
  </si>
  <si>
    <t>A081-COG-X-BVM-Re11</t>
  </si>
  <si>
    <t>A082-COG-X-BVM-Re11</t>
  </si>
  <si>
    <t>A083-COG-X-BVM-Re11</t>
  </si>
  <si>
    <t>A084-COG-X-BVM-Re11</t>
  </si>
  <si>
    <t>A085-COG-X-BVM-Re11</t>
  </si>
  <si>
    <t>A086-COG-X-BVM-Re11</t>
  </si>
  <si>
    <t>A087-COG-X-BVM-Re11</t>
  </si>
  <si>
    <t>A088-COG-X-BVM-Re11</t>
  </si>
  <si>
    <t>A089-COG-X-BVM-Re11</t>
  </si>
  <si>
    <t>A090-COG-X-BVM-Re11</t>
  </si>
  <si>
    <t>A091-COG-X-BVM-Re11</t>
  </si>
  <si>
    <t>A092-COG-X-BVM-Re11</t>
  </si>
  <si>
    <t>A093-COG-X-BVM-Re11</t>
  </si>
  <si>
    <t>A094-COG-X-BVM-Re11</t>
  </si>
  <si>
    <t>A095-COG-X-BVM-Re11</t>
  </si>
  <si>
    <t>A096-COG-X-BVM-Re11</t>
  </si>
  <si>
    <t>A097-COG-X-BVM-Re11</t>
  </si>
  <si>
    <t>A098-COG-X-BVM-Re11</t>
  </si>
  <si>
    <t>A099-COG-X-BVM-Re11</t>
  </si>
  <si>
    <t>A100-COG-X-BVM-Re11</t>
  </si>
  <si>
    <t>A101-COG-X-BVM-Re11</t>
  </si>
  <si>
    <t>A102-COG-X-BVM-Re11</t>
  </si>
  <si>
    <t>A103-COG-X-BVM-Re11</t>
  </si>
  <si>
    <t>A104-COG-X-BVM-Re11</t>
  </si>
  <si>
    <t>A105-COG-X-BVM-Re11</t>
  </si>
  <si>
    <t>A106-COG-X-BVM-Re11</t>
  </si>
  <si>
    <t>A107-COG-X-BVM-Re11</t>
  </si>
  <si>
    <t>A108-COG-X-BVM-Re11</t>
  </si>
  <si>
    <t>A109-COG-X-BVM-Re11</t>
  </si>
  <si>
    <t>A010-COG-X-BVM-Re12</t>
  </si>
  <si>
    <t>A011-COG-X-BVM-Re12</t>
  </si>
  <si>
    <t>A012-COG-X-BVM-Re12</t>
  </si>
  <si>
    <t>A013-COG-X-BVM-Re12</t>
  </si>
  <si>
    <t>A014-COG-X-BVM-Re12</t>
  </si>
  <si>
    <t>A015-COG-X-BVM-Re12</t>
  </si>
  <si>
    <t>A016-COG-X-BVM-Re12</t>
  </si>
  <si>
    <t>A017-COG-X-BVM-Re12</t>
  </si>
  <si>
    <t>A018-COG-X-BVM-Re12</t>
  </si>
  <si>
    <t>A019-COG-X-BVM-Re12</t>
  </si>
  <si>
    <t>A020-COG-X-BVM-Re12</t>
  </si>
  <si>
    <t>A021-COG-X-BVM-Re12</t>
  </si>
  <si>
    <t>A022-COG-X-BVM-Re12</t>
  </si>
  <si>
    <t>A023-COG-X-BVM-Re12</t>
  </si>
  <si>
    <t>A024-COG-X-BVM-Re12</t>
  </si>
  <si>
    <t>A025-COG-X-BVM-Re12</t>
  </si>
  <si>
    <t>A026-COG-X-BVM-Re12</t>
  </si>
  <si>
    <t>A027-COG-X-BVM-Re12</t>
  </si>
  <si>
    <t>A028-COG-X-BVM-Re12</t>
  </si>
  <si>
    <t>A029-COG-X-BVM-Re12</t>
  </si>
  <si>
    <t>A030-COG-X-BVM-Re12</t>
  </si>
  <si>
    <t>A031-COG-X-BVM-Re12</t>
  </si>
  <si>
    <t>A032-COG-X-BVM-Re12</t>
  </si>
  <si>
    <t>A033-COG-X-BVM-Re12</t>
  </si>
  <si>
    <t>A034-COG-X-BVM-Re12</t>
  </si>
  <si>
    <t>A035-COG-X-BVM-Re12</t>
  </si>
  <si>
    <t>A036-COG-X-BVM-Re12</t>
  </si>
  <si>
    <t>A037-COG-X-BVM-Re12</t>
  </si>
  <si>
    <t>A038-COG-X-BVM-Re12</t>
  </si>
  <si>
    <t>A039-COG-X-BVM-Re12</t>
  </si>
  <si>
    <t>A040-COG-X-BVM-Re12</t>
  </si>
  <si>
    <t>A041-COG-X-BVM-Re12</t>
  </si>
  <si>
    <t>A042-COG-X-BVM-Re12</t>
  </si>
  <si>
    <t>A043-COG-X-BVM-Re12</t>
  </si>
  <si>
    <t>A044-COG-X-BVM-Re12</t>
  </si>
  <si>
    <t>A045-COG-X-BVM-Re12</t>
  </si>
  <si>
    <t>A046-COG-X-BVM-Re12</t>
  </si>
  <si>
    <t>A047-COG-X-BVM-Re12</t>
  </si>
  <si>
    <t>A048-COG-X-BVM-Re12</t>
  </si>
  <si>
    <t>A049-COG-X-BVM-Re12</t>
  </si>
  <si>
    <t>A050-COG-X-BVM-Re12</t>
  </si>
  <si>
    <t>A051-COG-X-BVM-Re12</t>
  </si>
  <si>
    <t>A052-COG-X-BVM-Re12</t>
  </si>
  <si>
    <t>A053-COG-X-BVM-Re12</t>
  </si>
  <si>
    <t>A054-COG-X-BVM-Re12</t>
  </si>
  <si>
    <t>A055-COG-X-BVM-Re12</t>
  </si>
  <si>
    <t>A056-COG-X-BVM-Re12</t>
  </si>
  <si>
    <t>A057-COG-X-BVM-Re12</t>
  </si>
  <si>
    <t>A058-COG-X-BVM-Re12</t>
  </si>
  <si>
    <t>A059-COG-X-BVM-Re12</t>
  </si>
  <si>
    <t>A060-COG-X-BVM-Re12</t>
  </si>
  <si>
    <t>A061-COG-X-BVM-Re12</t>
  </si>
  <si>
    <t>A062-COG-X-BVM-Re12</t>
  </si>
  <si>
    <t>A063-COG-X-BVM-Re12</t>
  </si>
  <si>
    <t>A064-COG-X-BVM-Re12</t>
  </si>
  <si>
    <t>A065-COG-X-BVM-Re12</t>
  </si>
  <si>
    <t>A066-COG-X-BVM-Re12</t>
  </si>
  <si>
    <t>A067-COG-X-BVM-Re12</t>
  </si>
  <si>
    <t>A068-COG-X-BVM-Re12</t>
  </si>
  <si>
    <t>A069-COG-X-BVM-Re12</t>
  </si>
  <si>
    <t>A070-COG-X-BVM-Re12</t>
  </si>
  <si>
    <t>A071-COG-X-BVM-Re12</t>
  </si>
  <si>
    <t>A072-COG-X-BVM-Re12</t>
  </si>
  <si>
    <t>A073-COG-X-BVM-Re12</t>
  </si>
  <si>
    <t>A074-COG-X-BVM-Re12</t>
  </si>
  <si>
    <t>A075-COG-X-BVM-Re12</t>
  </si>
  <si>
    <t>A076-COG-X-BVM-Re12</t>
  </si>
  <si>
    <t>A077-COG-X-BVM-Re12</t>
  </si>
  <si>
    <t>A078-COG-X-BVM-Re12</t>
  </si>
  <si>
    <t>A079-COG-X-BVM-Re12</t>
  </si>
  <si>
    <t>A080-COG-X-BVM-Re12</t>
  </si>
  <si>
    <t>A081-COG-X-BVM-Re12</t>
  </si>
  <si>
    <t>A082-COG-X-BVM-Re12</t>
  </si>
  <si>
    <t>A083-COG-X-BVM-Re12</t>
  </si>
  <si>
    <t>A084-COG-X-BVM-Re12</t>
  </si>
  <si>
    <t>A085-COG-X-BVM-Re12</t>
  </si>
  <si>
    <t>A086-COG-X-BVM-Re12</t>
  </si>
  <si>
    <t>A087-COG-X-BVM-Re12</t>
  </si>
  <si>
    <t>A088-COG-X-BVM-Re12</t>
  </si>
  <si>
    <t>A089-COG-X-BVM-Re12</t>
  </si>
  <si>
    <t>A090-COG-X-BVM-Re12</t>
  </si>
  <si>
    <t>A091-COG-X-BVM-Re12</t>
  </si>
  <si>
    <t>A092-COG-X-BVM-Re12</t>
  </si>
  <si>
    <t>A093-COG-X-BVM-Re12</t>
  </si>
  <si>
    <t>A094-COG-X-BVM-Re12</t>
  </si>
  <si>
    <t>A095-COG-X-BVM-Re12</t>
  </si>
  <si>
    <t>A096-COG-X-BVM-Re12</t>
  </si>
  <si>
    <t>A097-COG-X-BVM-Re12</t>
  </si>
  <si>
    <t>A098-COG-X-BVM-Re12</t>
  </si>
  <si>
    <t>A099-COG-X-BVM-Re12</t>
  </si>
  <si>
    <t>A100-COG-X-BVM-Re12</t>
  </si>
  <si>
    <t>A101-COG-X-BVM-Re12</t>
  </si>
  <si>
    <t>A102-COG-X-BVM-Re12</t>
  </si>
  <si>
    <t>A103-COG-X-BVM-Re12</t>
  </si>
  <si>
    <t>A104-COG-X-BVM-Re12</t>
  </si>
  <si>
    <t>A105-COG-X-BVM-Re12</t>
  </si>
  <si>
    <t>A106-COG-X-BVM-Re12</t>
  </si>
  <si>
    <t>A107-COG-X-BVM-Re12</t>
  </si>
  <si>
    <t>A108-COG-X-BVM-Re12</t>
  </si>
  <si>
    <t>A109-COG-X-BVM-Re12</t>
  </si>
  <si>
    <t>A010-COG-X-BVM-TotR</t>
  </si>
  <si>
    <t>A011-COG-X-BVM-TotR</t>
  </si>
  <si>
    <t>A012-COG-X-BVM-TotR</t>
  </si>
  <si>
    <t>A013-COG-X-BVM-TotR</t>
  </si>
  <si>
    <t>A014-COG-X-BVM-TotR</t>
  </si>
  <si>
    <t>A015-COG-X-BVM-TotR</t>
  </si>
  <si>
    <t>A016-COG-X-BVM-TotR</t>
  </si>
  <si>
    <t>A017-COG-X-BVM-TotR</t>
  </si>
  <si>
    <t>A018-COG-X-BVM-TotR</t>
  </si>
  <si>
    <t>A019-COG-X-BVM-TotR</t>
  </si>
  <si>
    <t>A020-COG-X-BVM-TotR</t>
  </si>
  <si>
    <t>A021-COG-X-BVM-TotR</t>
  </si>
  <si>
    <t>A022-COG-X-BVM-TotR</t>
  </si>
  <si>
    <t>A023-COG-X-BVM-TotR</t>
  </si>
  <si>
    <t>A024-COG-X-BVM-TotR</t>
  </si>
  <si>
    <t>A025-COG-X-BVM-TotR</t>
  </si>
  <si>
    <t>A026-COG-X-BVM-TotR</t>
  </si>
  <si>
    <t>A027-COG-X-BVM-TotR</t>
  </si>
  <si>
    <t>A028-COG-X-BVM-TotR</t>
  </si>
  <si>
    <t>A029-COG-X-BVM-TotR</t>
  </si>
  <si>
    <t>A030-COG-X-BVM-TotR</t>
  </si>
  <si>
    <t>A031-COG-X-BVM-TotR</t>
  </si>
  <si>
    <t>A032-COG-X-BVM-TotR</t>
  </si>
  <si>
    <t>A033-COG-X-BVM-TotR</t>
  </si>
  <si>
    <t>A034-COG-X-BVM-TotR</t>
  </si>
  <si>
    <t>A035-COG-X-BVM-TotR</t>
  </si>
  <si>
    <t>A036-COG-X-BVM-TotR</t>
  </si>
  <si>
    <t>A037-COG-X-BVM-TotR</t>
  </si>
  <si>
    <t>A038-COG-X-BVM-TotR</t>
  </si>
  <si>
    <t>A039-COG-X-BVM-TotR</t>
  </si>
  <si>
    <t>A040-COG-X-BVM-TotR</t>
  </si>
  <si>
    <t>A041-COG-X-BVM-TotR</t>
  </si>
  <si>
    <t>A042-COG-X-BVM-TotR</t>
  </si>
  <si>
    <t>A043-COG-X-BVM-TotR</t>
  </si>
  <si>
    <t>A044-COG-X-BVM-TotR</t>
  </si>
  <si>
    <t>A045-COG-X-BVM-TotR</t>
  </si>
  <si>
    <t>A046-COG-X-BVM-TotR</t>
  </si>
  <si>
    <t>A047-COG-X-BVM-TotR</t>
  </si>
  <si>
    <t>A048-COG-X-BVM-TotR</t>
  </si>
  <si>
    <t>A049-COG-X-BVM-TotR</t>
  </si>
  <si>
    <t>A050-COG-X-BVM-TotR</t>
  </si>
  <si>
    <t>A051-COG-X-BVM-TotR</t>
  </si>
  <si>
    <t>A052-COG-X-BVM-TotR</t>
  </si>
  <si>
    <t>A053-COG-X-BVM-TotR</t>
  </si>
  <si>
    <t>A054-COG-X-BVM-TotR</t>
  </si>
  <si>
    <t>A055-COG-X-BVM-TotR</t>
  </si>
  <si>
    <t>A056-COG-X-BVM-TotR</t>
  </si>
  <si>
    <t>A057-COG-X-BVM-TotR</t>
  </si>
  <si>
    <t>A058-COG-X-BVM-TotR</t>
  </si>
  <si>
    <t>A059-COG-X-BVM-TotR</t>
  </si>
  <si>
    <t>A060-COG-X-BVM-TotR</t>
  </si>
  <si>
    <t>A061-COG-X-BVM-TotR</t>
  </si>
  <si>
    <t>A062-COG-X-BVM-TotR</t>
  </si>
  <si>
    <t>A063-COG-X-BVM-TotR</t>
  </si>
  <si>
    <t>A064-COG-X-BVM-TotR</t>
  </si>
  <si>
    <t>A065-COG-X-BVM-TotR</t>
  </si>
  <si>
    <t>A066-COG-X-BVM-TotR</t>
  </si>
  <si>
    <t>A067-COG-X-BVM-TotR</t>
  </si>
  <si>
    <t>A068-COG-X-BVM-TotR</t>
  </si>
  <si>
    <t>A069-COG-X-BVM-TotR</t>
  </si>
  <si>
    <t>A070-COG-X-BVM-TotR</t>
  </si>
  <si>
    <t>A071-COG-X-BVM-TotR</t>
  </si>
  <si>
    <t>A072-COG-X-BVM-TotR</t>
  </si>
  <si>
    <t>A073-COG-X-BVM-TotR</t>
  </si>
  <si>
    <t>A074-COG-X-BVM-TotR</t>
  </si>
  <si>
    <t>A075-COG-X-BVM-TotR</t>
  </si>
  <si>
    <t>A076-COG-X-BVM-TotR</t>
  </si>
  <si>
    <t>A077-COG-X-BVM-TotR</t>
  </si>
  <si>
    <t>A078-COG-X-BVM-TotR</t>
  </si>
  <si>
    <t>A079-COG-X-BVM-TotR</t>
  </si>
  <si>
    <t>A080-COG-X-BVM-TotR</t>
  </si>
  <si>
    <t>A081-COG-X-BVM-TotR</t>
  </si>
  <si>
    <t>A082-COG-X-BVM-TotR</t>
  </si>
  <si>
    <t>A083-COG-X-BVM-TotR</t>
  </si>
  <si>
    <t>A084-COG-X-BVM-TotR</t>
  </si>
  <si>
    <t>A085-COG-X-BVM-TotR</t>
  </si>
  <si>
    <t>A086-COG-X-BVM-TotR</t>
  </si>
  <si>
    <t>A087-COG-X-BVM-TotR</t>
  </si>
  <si>
    <t>A088-COG-X-BVM-TotR</t>
  </si>
  <si>
    <t>A089-COG-X-BVM-TotR</t>
  </si>
  <si>
    <t>A090-COG-X-BVM-TotR</t>
  </si>
  <si>
    <t>A091-COG-X-BVM-TotR</t>
  </si>
  <si>
    <t>A092-COG-X-BVM-TotR</t>
  </si>
  <si>
    <t>A093-COG-X-BVM-TotR</t>
  </si>
  <si>
    <t>A094-COG-X-BVM-TotR</t>
  </si>
  <si>
    <t>A095-COG-X-BVM-TotR</t>
  </si>
  <si>
    <t>A096-COG-X-BVM-TotR</t>
  </si>
  <si>
    <t>A097-COG-X-BVM-TotR</t>
  </si>
  <si>
    <t>A098-COG-X-BVM-TotR</t>
  </si>
  <si>
    <t>A099-COG-X-BVM-TotR</t>
  </si>
  <si>
    <t>A100-COG-X-BVM-TotR</t>
  </si>
  <si>
    <t>A101-COG-X-BVM-TotR</t>
  </si>
  <si>
    <t>A102-COG-X-BVM-TotR</t>
  </si>
  <si>
    <t>A103-COG-X-BVM-TotR</t>
  </si>
  <si>
    <t>A104-COG-X-BVM-TotR</t>
  </si>
  <si>
    <t>A105-COG-X-BVM-TotR</t>
  </si>
  <si>
    <t>A106-COG-X-BVM-TotR</t>
  </si>
  <si>
    <t>A107-COG-X-BVM-TotR</t>
  </si>
  <si>
    <t>A108-COG-X-BVM-TotR</t>
  </si>
  <si>
    <t>A109-COG-X-BVM-TotR</t>
  </si>
  <si>
    <t>A010-COG-X-BVM-Lear</t>
  </si>
  <si>
    <t>A011-COG-X-BVM-Lear</t>
  </si>
  <si>
    <t>A012-COG-X-BVM-Lear</t>
  </si>
  <si>
    <t>A013-COG-X-BVM-Lear</t>
  </si>
  <si>
    <t>A014-COG-X-BVM-Lear</t>
  </si>
  <si>
    <t>A015-COG-X-BVM-Lear</t>
  </si>
  <si>
    <t>A016-COG-X-BVM-Lear</t>
  </si>
  <si>
    <t>A017-COG-X-BVM-Lear</t>
  </si>
  <si>
    <t>A018-COG-X-BVM-Lear</t>
  </si>
  <si>
    <t>A019-COG-X-BVM-Lear</t>
  </si>
  <si>
    <t>A020-COG-X-BVM-Lear</t>
  </si>
  <si>
    <t>A021-COG-X-BVM-Lear</t>
  </si>
  <si>
    <t>A022-COG-X-BVM-Lear</t>
  </si>
  <si>
    <t>A023-COG-X-BVM-Lear</t>
  </si>
  <si>
    <t>A024-COG-X-BVM-Lear</t>
  </si>
  <si>
    <t>A025-COG-X-BVM-Lear</t>
  </si>
  <si>
    <t>A026-COG-X-BVM-Lear</t>
  </si>
  <si>
    <t>A027-COG-X-BVM-Lear</t>
  </si>
  <si>
    <t>A028-COG-X-BVM-Lear</t>
  </si>
  <si>
    <t>A029-COG-X-BVM-Lear</t>
  </si>
  <si>
    <t>A030-COG-X-BVM-Lear</t>
  </si>
  <si>
    <t>A031-COG-X-BVM-Lear</t>
  </si>
  <si>
    <t>A032-COG-X-BVM-Lear</t>
  </si>
  <si>
    <t>A033-COG-X-BVM-Lear</t>
  </si>
  <si>
    <t>A034-COG-X-BVM-Lear</t>
  </si>
  <si>
    <t>A035-COG-X-BVM-Lear</t>
  </si>
  <si>
    <t>A036-COG-X-BVM-Lear</t>
  </si>
  <si>
    <t>A037-COG-X-BVM-Lear</t>
  </si>
  <si>
    <t>A038-COG-X-BVM-Lear</t>
  </si>
  <si>
    <t>A039-COG-X-BVM-Lear</t>
  </si>
  <si>
    <t>A040-COG-X-BVM-Lear</t>
  </si>
  <si>
    <t>A041-COG-X-BVM-Lear</t>
  </si>
  <si>
    <t>A042-COG-X-BVM-Lear</t>
  </si>
  <si>
    <t>A043-COG-X-BVM-Lear</t>
  </si>
  <si>
    <t>A044-COG-X-BVM-Lear</t>
  </si>
  <si>
    <t>A045-COG-X-BVM-Lear</t>
  </si>
  <si>
    <t>A046-COG-X-BVM-Lear</t>
  </si>
  <si>
    <t>A047-COG-X-BVM-Lear</t>
  </si>
  <si>
    <t>A048-COG-X-BVM-Lear</t>
  </si>
  <si>
    <t>A049-COG-X-BVM-Lear</t>
  </si>
  <si>
    <t>A050-COG-X-BVM-Lear</t>
  </si>
  <si>
    <t>A051-COG-X-BVM-Lear</t>
  </si>
  <si>
    <t>A052-COG-X-BVM-Lear</t>
  </si>
  <si>
    <t>A053-COG-X-BVM-Lear</t>
  </si>
  <si>
    <t>A054-COG-X-BVM-Lear</t>
  </si>
  <si>
    <t>A055-COG-X-BVM-Lear</t>
  </si>
  <si>
    <t>A056-COG-X-BVM-Lear</t>
  </si>
  <si>
    <t>A057-COG-X-BVM-Lear</t>
  </si>
  <si>
    <t>A058-COG-X-BVM-Lear</t>
  </si>
  <si>
    <t>A059-COG-X-BVM-Lear</t>
  </si>
  <si>
    <t>A060-COG-X-BVM-Lear</t>
  </si>
  <si>
    <t>A061-COG-X-BVM-Lear</t>
  </si>
  <si>
    <t>A062-COG-X-BVM-Lear</t>
  </si>
  <si>
    <t>A063-COG-X-BVM-Lear</t>
  </si>
  <si>
    <t>A064-COG-X-BVM-Lear</t>
  </si>
  <si>
    <t>A065-COG-X-BVM-Lear</t>
  </si>
  <si>
    <t>A066-COG-X-BVM-Lear</t>
  </si>
  <si>
    <t>A067-COG-X-BVM-Lear</t>
  </si>
  <si>
    <t>A068-COG-X-BVM-Lear</t>
  </si>
  <si>
    <t>A069-COG-X-BVM-Lear</t>
  </si>
  <si>
    <t>A070-COG-X-BVM-Lear</t>
  </si>
  <si>
    <t>A071-COG-X-BVM-Lear</t>
  </si>
  <si>
    <t>A072-COG-X-BVM-Lear</t>
  </si>
  <si>
    <t>A073-COG-X-BVM-Lear</t>
  </si>
  <si>
    <t>A074-COG-X-BVM-Lear</t>
  </si>
  <si>
    <t>A075-COG-X-BVM-Lear</t>
  </si>
  <si>
    <t>A076-COG-X-BVM-Lear</t>
  </si>
  <si>
    <t>A077-COG-X-BVM-Lear</t>
  </si>
  <si>
    <t>A078-COG-X-BVM-Lear</t>
  </si>
  <si>
    <t>A079-COG-X-BVM-Lear</t>
  </si>
  <si>
    <t>A080-COG-X-BVM-Lear</t>
  </si>
  <si>
    <t>A081-COG-X-BVM-Lear</t>
  </si>
  <si>
    <t>A082-COG-X-BVM-Lear</t>
  </si>
  <si>
    <t>A083-COG-X-BVM-Lear</t>
  </si>
  <si>
    <t>A084-COG-X-BVM-Lear</t>
  </si>
  <si>
    <t>A085-COG-X-BVM-Lear</t>
  </si>
  <si>
    <t>A086-COG-X-BVM-Lear</t>
  </si>
  <si>
    <t>A087-COG-X-BVM-Lear</t>
  </si>
  <si>
    <t>A088-COG-X-BVM-Lear</t>
  </si>
  <si>
    <t>A089-COG-X-BVM-Lear</t>
  </si>
  <si>
    <t>A090-COG-X-BVM-Lear</t>
  </si>
  <si>
    <t>A091-COG-X-BVM-Lear</t>
  </si>
  <si>
    <t>A092-COG-X-BVM-Lear</t>
  </si>
  <si>
    <t>A093-COG-X-BVM-Lear</t>
  </si>
  <si>
    <t>A094-COG-X-BVM-Lear</t>
  </si>
  <si>
    <t>A095-COG-X-BVM-Lear</t>
  </si>
  <si>
    <t>A096-COG-X-BVM-Lear</t>
  </si>
  <si>
    <t>A097-COG-X-BVM-Lear</t>
  </si>
  <si>
    <t>A098-COG-X-BVM-Lear</t>
  </si>
  <si>
    <t>A099-COG-X-BVM-Lear</t>
  </si>
  <si>
    <t>A100-COG-X-BVM-Lear</t>
  </si>
  <si>
    <t>A101-COG-X-BVM-Lear</t>
  </si>
  <si>
    <t>A102-COG-X-BVM-Lear</t>
  </si>
  <si>
    <t>A103-COG-X-BVM-Lear</t>
  </si>
  <si>
    <t>A104-COG-X-BVM-Lear</t>
  </si>
  <si>
    <t>A105-COG-X-BVM-Lear</t>
  </si>
  <si>
    <t>A106-COG-X-BVM-Lear</t>
  </si>
  <si>
    <t>A107-COG-X-BVM-Lear</t>
  </si>
  <si>
    <t>A108-COG-X-BVM-Lear</t>
  </si>
  <si>
    <t>A109-COG-X-BVM-Lear</t>
  </si>
  <si>
    <t>A010-COG-X-BVM-PerR</t>
  </si>
  <si>
    <t>A011-COG-X-BVM-PerR</t>
  </si>
  <si>
    <t>A012-COG-X-BVM-PerR</t>
  </si>
  <si>
    <t>A013-COG-X-BVM-PerR</t>
  </si>
  <si>
    <t>A014-COG-X-BVM-PerR</t>
  </si>
  <si>
    <t>A015-COG-X-BVM-PerR</t>
  </si>
  <si>
    <t>A016-COG-X-BVM-PerR</t>
  </si>
  <si>
    <t>A017-COG-X-BVM-PerR</t>
  </si>
  <si>
    <t>A018-COG-X-BVM-PerR</t>
  </si>
  <si>
    <t>A019-COG-X-BVM-PerR</t>
  </si>
  <si>
    <t>A020-COG-X-BVM-PerR</t>
  </si>
  <si>
    <t>A021-COG-X-BVM-PerR</t>
  </si>
  <si>
    <t>A022-COG-X-BVM-PerR</t>
  </si>
  <si>
    <t>A023-COG-X-BVM-PerR</t>
  </si>
  <si>
    <t>A024-COG-X-BVM-PerR</t>
  </si>
  <si>
    <t>A025-COG-X-BVM-PerR</t>
  </si>
  <si>
    <t>A026-COG-X-BVM-PerR</t>
  </si>
  <si>
    <t>A027-COG-X-BVM-PerR</t>
  </si>
  <si>
    <t>A028-COG-X-BVM-PerR</t>
  </si>
  <si>
    <t>A029-COG-X-BVM-PerR</t>
  </si>
  <si>
    <t>A030-COG-X-BVM-PerR</t>
  </si>
  <si>
    <t>A031-COG-X-BVM-PerR</t>
  </si>
  <si>
    <t>A032-COG-X-BVM-PerR</t>
  </si>
  <si>
    <t>A033-COG-X-BVM-PerR</t>
  </si>
  <si>
    <t>A034-COG-X-BVM-PerR</t>
  </si>
  <si>
    <t>A035-COG-X-BVM-PerR</t>
  </si>
  <si>
    <t>A036-COG-X-BVM-PerR</t>
  </si>
  <si>
    <t>A037-COG-X-BVM-PerR</t>
  </si>
  <si>
    <t>A038-COG-X-BVM-PerR</t>
  </si>
  <si>
    <t>A039-COG-X-BVM-PerR</t>
  </si>
  <si>
    <t>A040-COG-X-BVM-PerR</t>
  </si>
  <si>
    <t>A041-COG-X-BVM-PerR</t>
  </si>
  <si>
    <t>A042-COG-X-BVM-PerR</t>
  </si>
  <si>
    <t>A043-COG-X-BVM-PerR</t>
  </si>
  <si>
    <t>A044-COG-X-BVM-PerR</t>
  </si>
  <si>
    <t>A045-COG-X-BVM-PerR</t>
  </si>
  <si>
    <t>A046-COG-X-BVM-PerR</t>
  </si>
  <si>
    <t>A047-COG-X-BVM-PerR</t>
  </si>
  <si>
    <t>A048-COG-X-BVM-PerR</t>
  </si>
  <si>
    <t>A049-COG-X-BVM-PerR</t>
  </si>
  <si>
    <t>A050-COG-X-BVM-PerR</t>
  </si>
  <si>
    <t>A051-COG-X-BVM-PerR</t>
  </si>
  <si>
    <t>A052-COG-X-BVM-PerR</t>
  </si>
  <si>
    <t>A053-COG-X-BVM-PerR</t>
  </si>
  <si>
    <t>A054-COG-X-BVM-PerR</t>
  </si>
  <si>
    <t>A055-COG-X-BVM-PerR</t>
  </si>
  <si>
    <t>A056-COG-X-BVM-PerR</t>
  </si>
  <si>
    <t>A057-COG-X-BVM-PerR</t>
  </si>
  <si>
    <t>A058-COG-X-BVM-PerR</t>
  </si>
  <si>
    <t>A059-COG-X-BVM-PerR</t>
  </si>
  <si>
    <t>A060-COG-X-BVM-PerR</t>
  </si>
  <si>
    <t>A061-COG-X-BVM-PerR</t>
  </si>
  <si>
    <t>A062-COG-X-BVM-PerR</t>
  </si>
  <si>
    <t>A063-COG-X-BVM-PerR</t>
  </si>
  <si>
    <t>A064-COG-X-BVM-PerR</t>
  </si>
  <si>
    <t>A065-COG-X-BVM-PerR</t>
  </si>
  <si>
    <t>A066-COG-X-BVM-PerR</t>
  </si>
  <si>
    <t>A067-COG-X-BVM-PerR</t>
  </si>
  <si>
    <t>A068-COG-X-BVM-PerR</t>
  </si>
  <si>
    <t>A069-COG-X-BVM-PerR</t>
  </si>
  <si>
    <t>A070-COG-X-BVM-PerR</t>
  </si>
  <si>
    <t>A071-COG-X-BVM-PerR</t>
  </si>
  <si>
    <t>A072-COG-X-BVM-PerR</t>
  </si>
  <si>
    <t>A073-COG-X-BVM-PerR</t>
  </si>
  <si>
    <t>A074-COG-X-BVM-PerR</t>
  </si>
  <si>
    <t>A075-COG-X-BVM-PerR</t>
  </si>
  <si>
    <t>A076-COG-X-BVM-PerR</t>
  </si>
  <si>
    <t>A077-COG-X-BVM-PerR</t>
  </si>
  <si>
    <t>A078-COG-X-BVM-PerR</t>
  </si>
  <si>
    <t>A079-COG-X-BVM-PerR</t>
  </si>
  <si>
    <t>A080-COG-X-BVM-PerR</t>
  </si>
  <si>
    <t>A081-COG-X-BVM-PerR</t>
  </si>
  <si>
    <t>A082-COG-X-BVM-PerR</t>
  </si>
  <si>
    <t>A083-COG-X-BVM-PerR</t>
  </si>
  <si>
    <t>A084-COG-X-BVM-PerR</t>
  </si>
  <si>
    <t>A085-COG-X-BVM-PerR</t>
  </si>
  <si>
    <t>A086-COG-X-BVM-PerR</t>
  </si>
  <si>
    <t>A087-COG-X-BVM-PerR</t>
  </si>
  <si>
    <t>A088-COG-X-BVM-PerR</t>
  </si>
  <si>
    <t>A089-COG-X-BVM-PerR</t>
  </si>
  <si>
    <t>A090-COG-X-BVM-PerR</t>
  </si>
  <si>
    <t>A091-COG-X-BVM-PerR</t>
  </si>
  <si>
    <t>A092-COG-X-BVM-PerR</t>
  </si>
  <si>
    <t>A093-COG-X-BVM-PerR</t>
  </si>
  <si>
    <t>A094-COG-X-BVM-PerR</t>
  </si>
  <si>
    <t>A095-COG-X-BVM-PerR</t>
  </si>
  <si>
    <t>A096-COG-X-BVM-PerR</t>
  </si>
  <si>
    <t>A097-COG-X-BVM-PerR</t>
  </si>
  <si>
    <t>A098-COG-X-BVM-PerR</t>
  </si>
  <si>
    <t>A099-COG-X-BVM-PerR</t>
  </si>
  <si>
    <t>A100-COG-X-BVM-PerR</t>
  </si>
  <si>
    <t>A101-COG-X-BVM-PerR</t>
  </si>
  <si>
    <t>A102-COG-X-BVM-PerR</t>
  </si>
  <si>
    <t>A103-COG-X-BVM-PerR</t>
  </si>
  <si>
    <t>A104-COG-X-BVM-PerR</t>
  </si>
  <si>
    <t>A105-COG-X-BVM-PerR</t>
  </si>
  <si>
    <t>A106-COG-X-BVM-PerR</t>
  </si>
  <si>
    <t>A107-COG-X-BVM-PerR</t>
  </si>
  <si>
    <t>A108-COG-X-BVM-PerR</t>
  </si>
  <si>
    <t>A109-COG-X-BVM-PerR</t>
  </si>
  <si>
    <t>A010-COG-X-BVM-ReHi</t>
  </si>
  <si>
    <t>A011-COG-X-BVM-ReHi</t>
  </si>
  <si>
    <t>A012-COG-X-BVM-ReHi</t>
  </si>
  <si>
    <t>A013-COG-X-BVM-ReHi</t>
  </si>
  <si>
    <t>A014-COG-X-BVM-ReHi</t>
  </si>
  <si>
    <t>A015-COG-X-BVM-ReHi</t>
  </si>
  <si>
    <t>A016-COG-X-BVM-ReHi</t>
  </si>
  <si>
    <t>A017-COG-X-BVM-ReHi</t>
  </si>
  <si>
    <t>A018-COG-X-BVM-ReHi</t>
  </si>
  <si>
    <t>A019-COG-X-BVM-ReHi</t>
  </si>
  <si>
    <t>A020-COG-X-BVM-ReHi</t>
  </si>
  <si>
    <t>A021-COG-X-BVM-ReHi</t>
  </si>
  <si>
    <t>A022-COG-X-BVM-ReHi</t>
  </si>
  <si>
    <t>A023-COG-X-BVM-ReHi</t>
  </si>
  <si>
    <t>A024-COG-X-BVM-ReHi</t>
  </si>
  <si>
    <t>A025-COG-X-BVM-ReHi</t>
  </si>
  <si>
    <t>A026-COG-X-BVM-ReHi</t>
  </si>
  <si>
    <t>A027-COG-X-BVM-ReHi</t>
  </si>
  <si>
    <t>A028-COG-X-BVM-ReHi</t>
  </si>
  <si>
    <t>A029-COG-X-BVM-ReHi</t>
  </si>
  <si>
    <t>A030-COG-X-BVM-ReHi</t>
  </si>
  <si>
    <t>A031-COG-X-BVM-ReHi</t>
  </si>
  <si>
    <t>A032-COG-X-BVM-ReHi</t>
  </si>
  <si>
    <t>A033-COG-X-BVM-ReHi</t>
  </si>
  <si>
    <t>A034-COG-X-BVM-ReHi</t>
  </si>
  <si>
    <t>A035-COG-X-BVM-ReHi</t>
  </si>
  <si>
    <t>A036-COG-X-BVM-ReHi</t>
  </si>
  <si>
    <t>A037-COG-X-BVM-ReHi</t>
  </si>
  <si>
    <t>A038-COG-X-BVM-ReHi</t>
  </si>
  <si>
    <t>A039-COG-X-BVM-ReHi</t>
  </si>
  <si>
    <t>A040-COG-X-BVM-ReHi</t>
  </si>
  <si>
    <t>A041-COG-X-BVM-ReHi</t>
  </si>
  <si>
    <t>A042-COG-X-BVM-ReHi</t>
  </si>
  <si>
    <t>A043-COG-X-BVM-ReHi</t>
  </si>
  <si>
    <t>A044-COG-X-BVM-ReHi</t>
  </si>
  <si>
    <t>A045-COG-X-BVM-ReHi</t>
  </si>
  <si>
    <t>A046-COG-X-BVM-ReHi</t>
  </si>
  <si>
    <t>A047-COG-X-BVM-ReHi</t>
  </si>
  <si>
    <t>A048-COG-X-BVM-ReHi</t>
  </si>
  <si>
    <t>A049-COG-X-BVM-ReHi</t>
  </si>
  <si>
    <t>A050-COG-X-BVM-ReHi</t>
  </si>
  <si>
    <t>A051-COG-X-BVM-ReHi</t>
  </si>
  <si>
    <t>A052-COG-X-BVM-ReHi</t>
  </si>
  <si>
    <t>A053-COG-X-BVM-ReHi</t>
  </si>
  <si>
    <t>A054-COG-X-BVM-ReHi</t>
  </si>
  <si>
    <t>A055-COG-X-BVM-ReHi</t>
  </si>
  <si>
    <t>A056-COG-X-BVM-ReHi</t>
  </si>
  <si>
    <t>A057-COG-X-BVM-ReHi</t>
  </si>
  <si>
    <t>A058-COG-X-BVM-ReHi</t>
  </si>
  <si>
    <t>A059-COG-X-BVM-ReHi</t>
  </si>
  <si>
    <t>A060-COG-X-BVM-ReHi</t>
  </si>
  <si>
    <t>A061-COG-X-BVM-ReHi</t>
  </si>
  <si>
    <t>A062-COG-X-BVM-ReHi</t>
  </si>
  <si>
    <t>A063-COG-X-BVM-ReHi</t>
  </si>
  <si>
    <t>A064-COG-X-BVM-ReHi</t>
  </si>
  <si>
    <t>A065-COG-X-BVM-ReHi</t>
  </si>
  <si>
    <t>A066-COG-X-BVM-ReHi</t>
  </si>
  <si>
    <t>A067-COG-X-BVM-ReHi</t>
  </si>
  <si>
    <t>A068-COG-X-BVM-ReHi</t>
  </si>
  <si>
    <t>A069-COG-X-BVM-ReHi</t>
  </si>
  <si>
    <t>A070-COG-X-BVM-ReHi</t>
  </si>
  <si>
    <t>A071-COG-X-BVM-ReHi</t>
  </si>
  <si>
    <t>A072-COG-X-BVM-ReHi</t>
  </si>
  <si>
    <t>A073-COG-X-BVM-ReHi</t>
  </si>
  <si>
    <t>A074-COG-X-BVM-ReHi</t>
  </si>
  <si>
    <t>A075-COG-X-BVM-ReHi</t>
  </si>
  <si>
    <t>A076-COG-X-BVM-ReHi</t>
  </si>
  <si>
    <t>A077-COG-X-BVM-ReHi</t>
  </si>
  <si>
    <t>A078-COG-X-BVM-ReHi</t>
  </si>
  <si>
    <t>A079-COG-X-BVM-ReHi</t>
  </si>
  <si>
    <t>A080-COG-X-BVM-ReHi</t>
  </si>
  <si>
    <t>A081-COG-X-BVM-ReHi</t>
  </si>
  <si>
    <t>A082-COG-X-BVM-ReHi</t>
  </si>
  <si>
    <t>A083-COG-X-BVM-ReHi</t>
  </si>
  <si>
    <t>A084-COG-X-BVM-ReHi</t>
  </si>
  <si>
    <t>A085-COG-X-BVM-ReHi</t>
  </si>
  <si>
    <t>A086-COG-X-BVM-ReHi</t>
  </si>
  <si>
    <t>A087-COG-X-BVM-ReHi</t>
  </si>
  <si>
    <t>A088-COG-X-BVM-ReHi</t>
  </si>
  <si>
    <t>A089-COG-X-BVM-ReHi</t>
  </si>
  <si>
    <t>A090-COG-X-BVM-ReHi</t>
  </si>
  <si>
    <t>A091-COG-X-BVM-ReHi</t>
  </si>
  <si>
    <t>A092-COG-X-BVM-ReHi</t>
  </si>
  <si>
    <t>A093-COG-X-BVM-ReHi</t>
  </si>
  <si>
    <t>A094-COG-X-BVM-ReHi</t>
  </si>
  <si>
    <t>A095-COG-X-BVM-ReHi</t>
  </si>
  <si>
    <t>A096-COG-X-BVM-ReHi</t>
  </si>
  <si>
    <t>A097-COG-X-BVM-ReHi</t>
  </si>
  <si>
    <t>A098-COG-X-BVM-ReHi</t>
  </si>
  <si>
    <t>A099-COG-X-BVM-ReHi</t>
  </si>
  <si>
    <t>A100-COG-X-BVM-ReHi</t>
  </si>
  <si>
    <t>A101-COG-X-BVM-ReHi</t>
  </si>
  <si>
    <t>A102-COG-X-BVM-ReHi</t>
  </si>
  <si>
    <t>A103-COG-X-BVM-ReHi</t>
  </si>
  <si>
    <t>A104-COG-X-BVM-ReHi</t>
  </si>
  <si>
    <t>A105-COG-X-BVM-ReHi</t>
  </si>
  <si>
    <t>A106-COG-X-BVM-ReHi</t>
  </si>
  <si>
    <t>A107-COG-X-BVM-ReHi</t>
  </si>
  <si>
    <t>A108-COG-X-BVM-ReHi</t>
  </si>
  <si>
    <t>A109-COG-X-BVM-ReHi</t>
  </si>
  <si>
    <t>A010-COG-X-BVM-ReFA</t>
  </si>
  <si>
    <t>A011-COG-X-BVM-ReFA</t>
  </si>
  <si>
    <t>A012-COG-X-BVM-ReFA</t>
  </si>
  <si>
    <t>A013-COG-X-BVM-ReFA</t>
  </si>
  <si>
    <t>A014-COG-X-BVM-ReFA</t>
  </si>
  <si>
    <t>A015-COG-X-BVM-ReFA</t>
  </si>
  <si>
    <t>A016-COG-X-BVM-ReFA</t>
  </si>
  <si>
    <t>A017-COG-X-BVM-ReFA</t>
  </si>
  <si>
    <t>A018-COG-X-BVM-ReFA</t>
  </si>
  <si>
    <t>A019-COG-X-BVM-ReFA</t>
  </si>
  <si>
    <t>A020-COG-X-BVM-ReFA</t>
  </si>
  <si>
    <t>A021-COG-X-BVM-ReFA</t>
  </si>
  <si>
    <t>A022-COG-X-BVM-ReFA</t>
  </si>
  <si>
    <t>A023-COG-X-BVM-ReFA</t>
  </si>
  <si>
    <t>A024-COG-X-BVM-ReFA</t>
  </si>
  <si>
    <t>A025-COG-X-BVM-ReFA</t>
  </si>
  <si>
    <t>A026-COG-X-BVM-ReFA</t>
  </si>
  <si>
    <t>A027-COG-X-BVM-ReFA</t>
  </si>
  <si>
    <t>A028-COG-X-BVM-ReFA</t>
  </si>
  <si>
    <t>A029-COG-X-BVM-ReFA</t>
  </si>
  <si>
    <t>A030-COG-X-BVM-ReFA</t>
  </si>
  <si>
    <t>A031-COG-X-BVM-ReFA</t>
  </si>
  <si>
    <t>A032-COG-X-BVM-ReFA</t>
  </si>
  <si>
    <t>A033-COG-X-BVM-ReFA</t>
  </si>
  <si>
    <t>A034-COG-X-BVM-ReFA</t>
  </si>
  <si>
    <t>A035-COG-X-BVM-ReFA</t>
  </si>
  <si>
    <t>A036-COG-X-BVM-ReFA</t>
  </si>
  <si>
    <t>A037-COG-X-BVM-ReFA</t>
  </si>
  <si>
    <t>A038-COG-X-BVM-ReFA</t>
  </si>
  <si>
    <t>A039-COG-X-BVM-ReFA</t>
  </si>
  <si>
    <t>A040-COG-X-BVM-ReFA</t>
  </si>
  <si>
    <t>A041-COG-X-BVM-ReFA</t>
  </si>
  <si>
    <t>A042-COG-X-BVM-ReFA</t>
  </si>
  <si>
    <t>A043-COG-X-BVM-ReFA</t>
  </si>
  <si>
    <t>A044-COG-X-BVM-ReFA</t>
  </si>
  <si>
    <t>A045-COG-X-BVM-ReFA</t>
  </si>
  <si>
    <t>A046-COG-X-BVM-ReFA</t>
  </si>
  <si>
    <t>A047-COG-X-BVM-ReFA</t>
  </si>
  <si>
    <t>A048-COG-X-BVM-ReFA</t>
  </si>
  <si>
    <t>A049-COG-X-BVM-ReFA</t>
  </si>
  <si>
    <t>A050-COG-X-BVM-ReFA</t>
  </si>
  <si>
    <t>A051-COG-X-BVM-ReFA</t>
  </si>
  <si>
    <t>A052-COG-X-BVM-ReFA</t>
  </si>
  <si>
    <t>A053-COG-X-BVM-ReFA</t>
  </si>
  <si>
    <t>A054-COG-X-BVM-ReFA</t>
  </si>
  <si>
    <t>A055-COG-X-BVM-ReFA</t>
  </si>
  <si>
    <t>A056-COG-X-BVM-ReFA</t>
  </si>
  <si>
    <t>A057-COG-X-BVM-ReFA</t>
  </si>
  <si>
    <t>A058-COG-X-BVM-ReFA</t>
  </si>
  <si>
    <t>A059-COG-X-BVM-ReFA</t>
  </si>
  <si>
    <t>A060-COG-X-BVM-ReFA</t>
  </si>
  <si>
    <t>A061-COG-X-BVM-ReFA</t>
  </si>
  <si>
    <t>A062-COG-X-BVM-ReFA</t>
  </si>
  <si>
    <t>A063-COG-X-BVM-ReFA</t>
  </si>
  <si>
    <t>A064-COG-X-BVM-ReFA</t>
  </si>
  <si>
    <t>A065-COG-X-BVM-ReFA</t>
  </si>
  <si>
    <t>A066-COG-X-BVM-ReFA</t>
  </si>
  <si>
    <t>A067-COG-X-BVM-ReFA</t>
  </si>
  <si>
    <t>A068-COG-X-BVM-ReFA</t>
  </si>
  <si>
    <t>A069-COG-X-BVM-ReFA</t>
  </si>
  <si>
    <t>A070-COG-X-BVM-ReFA</t>
  </si>
  <si>
    <t>A071-COG-X-BVM-ReFA</t>
  </si>
  <si>
    <t>A072-COG-X-BVM-ReFA</t>
  </si>
  <si>
    <t>A073-COG-X-BVM-ReFA</t>
  </si>
  <si>
    <t>A074-COG-X-BVM-ReFA</t>
  </si>
  <si>
    <t>A075-COG-X-BVM-ReFA</t>
  </si>
  <si>
    <t>A076-COG-X-BVM-ReFA</t>
  </si>
  <si>
    <t>A077-COG-X-BVM-ReFA</t>
  </si>
  <si>
    <t>A078-COG-X-BVM-ReFA</t>
  </si>
  <si>
    <t>A079-COG-X-BVM-ReFA</t>
  </si>
  <si>
    <t>A080-COG-X-BVM-ReFA</t>
  </si>
  <si>
    <t>A081-COG-X-BVM-ReFA</t>
  </si>
  <si>
    <t>A082-COG-X-BVM-ReFA</t>
  </si>
  <si>
    <t>A083-COG-X-BVM-ReFA</t>
  </si>
  <si>
    <t>A084-COG-X-BVM-ReFA</t>
  </si>
  <si>
    <t>A085-COG-X-BVM-ReFA</t>
  </si>
  <si>
    <t>A086-COG-X-BVM-ReFA</t>
  </si>
  <si>
    <t>A087-COG-X-BVM-ReFA</t>
  </si>
  <si>
    <t>A088-COG-X-BVM-ReFA</t>
  </si>
  <si>
    <t>A089-COG-X-BVM-ReFA</t>
  </si>
  <si>
    <t>A090-COG-X-BVM-ReFA</t>
  </si>
  <si>
    <t>A091-COG-X-BVM-ReFA</t>
  </si>
  <si>
    <t>A092-COG-X-BVM-ReFA</t>
  </si>
  <si>
    <t>A093-COG-X-BVM-ReFA</t>
  </si>
  <si>
    <t>A094-COG-X-BVM-ReFA</t>
  </si>
  <si>
    <t>A095-COG-X-BVM-ReFA</t>
  </si>
  <si>
    <t>A096-COG-X-BVM-ReFA</t>
  </si>
  <si>
    <t>A097-COG-X-BVM-ReFA</t>
  </si>
  <si>
    <t>A098-COG-X-BVM-ReFA</t>
  </si>
  <si>
    <t>A099-COG-X-BVM-ReFA</t>
  </si>
  <si>
    <t>A100-COG-X-BVM-ReFA</t>
  </si>
  <si>
    <t>A101-COG-X-BVM-ReFA</t>
  </si>
  <si>
    <t>A102-COG-X-BVM-ReFA</t>
  </si>
  <si>
    <t>A103-COG-X-BVM-ReFA</t>
  </si>
  <si>
    <t>A104-COG-X-BVM-ReFA</t>
  </si>
  <si>
    <t>A105-COG-X-BVM-ReFA</t>
  </si>
  <si>
    <t>A106-COG-X-BVM-ReFA</t>
  </si>
  <si>
    <t>A107-COG-X-BVM-ReFA</t>
  </si>
  <si>
    <t>A108-COG-X-BVM-ReFA</t>
  </si>
  <si>
    <t>A109-COG-X-BVM-ReFA</t>
  </si>
  <si>
    <t>A010-COG-X-BVM-ReDI</t>
  </si>
  <si>
    <t>A011-COG-X-BVM-ReDI</t>
  </si>
  <si>
    <t>A012-COG-X-BVM-ReDI</t>
  </si>
  <si>
    <t>A013-COG-X-BVM-ReDI</t>
  </si>
  <si>
    <t>A014-COG-X-BVM-ReDI</t>
  </si>
  <si>
    <t>A015-COG-X-BVM-ReDI</t>
  </si>
  <si>
    <t>A016-COG-X-BVM-ReDI</t>
  </si>
  <si>
    <t>A017-COG-X-BVM-ReDI</t>
  </si>
  <si>
    <t>A018-COG-X-BVM-ReDI</t>
  </si>
  <si>
    <t>A019-COG-X-BVM-ReDI</t>
  </si>
  <si>
    <t>A020-COG-X-BVM-ReDI</t>
  </si>
  <si>
    <t>A021-COG-X-BVM-ReDI</t>
  </si>
  <si>
    <t>A022-COG-X-BVM-ReDI</t>
  </si>
  <si>
    <t>A023-COG-X-BVM-ReDI</t>
  </si>
  <si>
    <t>A024-COG-X-BVM-ReDI</t>
  </si>
  <si>
    <t>A025-COG-X-BVM-ReDI</t>
  </si>
  <si>
    <t>A026-COG-X-BVM-ReDI</t>
  </si>
  <si>
    <t>A027-COG-X-BVM-ReDI</t>
  </si>
  <si>
    <t>A028-COG-X-BVM-ReDI</t>
  </si>
  <si>
    <t>A029-COG-X-BVM-ReDI</t>
  </si>
  <si>
    <t>A030-COG-X-BVM-ReDI</t>
  </si>
  <si>
    <t>A031-COG-X-BVM-ReDI</t>
  </si>
  <si>
    <t>A032-COG-X-BVM-ReDI</t>
  </si>
  <si>
    <t>A033-COG-X-BVM-ReDI</t>
  </si>
  <si>
    <t>A034-COG-X-BVM-ReDI</t>
  </si>
  <si>
    <t>A035-COG-X-BVM-ReDI</t>
  </si>
  <si>
    <t>A036-COG-X-BVM-ReDI</t>
  </si>
  <si>
    <t>A037-COG-X-BVM-ReDI</t>
  </si>
  <si>
    <t>A038-COG-X-BVM-ReDI</t>
  </si>
  <si>
    <t>A039-COG-X-BVM-ReDI</t>
  </si>
  <si>
    <t>A040-COG-X-BVM-ReDI</t>
  </si>
  <si>
    <t>A041-COG-X-BVM-ReDI</t>
  </si>
  <si>
    <t>A042-COG-X-BVM-ReDI</t>
  </si>
  <si>
    <t>A043-COG-X-BVM-ReDI</t>
  </si>
  <si>
    <t>A044-COG-X-BVM-ReDI</t>
  </si>
  <si>
    <t>A045-COG-X-BVM-ReDI</t>
  </si>
  <si>
    <t>A046-COG-X-BVM-ReDI</t>
  </si>
  <si>
    <t>A047-COG-X-BVM-ReDI</t>
  </si>
  <si>
    <t>A048-COG-X-BVM-ReDI</t>
  </si>
  <si>
    <t>A049-COG-X-BVM-ReDI</t>
  </si>
  <si>
    <t>A050-COG-X-BVM-ReDI</t>
  </si>
  <si>
    <t>A051-COG-X-BVM-ReDI</t>
  </si>
  <si>
    <t>A052-COG-X-BVM-ReDI</t>
  </si>
  <si>
    <t>A053-COG-X-BVM-ReDI</t>
  </si>
  <si>
    <t>A054-COG-X-BVM-ReDI</t>
  </si>
  <si>
    <t>A055-COG-X-BVM-ReDI</t>
  </si>
  <si>
    <t>A056-COG-X-BVM-ReDI</t>
  </si>
  <si>
    <t>A057-COG-X-BVM-ReDI</t>
  </si>
  <si>
    <t>A058-COG-X-BVM-ReDI</t>
  </si>
  <si>
    <t>A059-COG-X-BVM-ReDI</t>
  </si>
  <si>
    <t>A060-COG-X-BVM-ReDI</t>
  </si>
  <si>
    <t>A061-COG-X-BVM-ReDI</t>
  </si>
  <si>
    <t>A062-COG-X-BVM-ReDI</t>
  </si>
  <si>
    <t>A063-COG-X-BVM-ReDI</t>
  </si>
  <si>
    <t>A064-COG-X-BVM-ReDI</t>
  </si>
  <si>
    <t>A065-COG-X-BVM-ReDI</t>
  </si>
  <si>
    <t>A066-COG-X-BVM-ReDI</t>
  </si>
  <si>
    <t>A067-COG-X-BVM-ReDI</t>
  </si>
  <si>
    <t>A068-COG-X-BVM-ReDI</t>
  </si>
  <si>
    <t>A069-COG-X-BVM-ReDI</t>
  </si>
  <si>
    <t>A070-COG-X-BVM-ReDI</t>
  </si>
  <si>
    <t>A071-COG-X-BVM-ReDI</t>
  </si>
  <si>
    <t>A072-COG-X-BVM-ReDI</t>
  </si>
  <si>
    <t>A073-COG-X-BVM-ReDI</t>
  </si>
  <si>
    <t>A074-COG-X-BVM-ReDI</t>
  </si>
  <si>
    <t>A075-COG-X-BVM-ReDI</t>
  </si>
  <si>
    <t>A076-COG-X-BVM-ReDI</t>
  </si>
  <si>
    <t>A077-COG-X-BVM-ReDI</t>
  </si>
  <si>
    <t>A078-COG-X-BVM-ReDI</t>
  </si>
  <si>
    <t>A079-COG-X-BVM-ReDI</t>
  </si>
  <si>
    <t>A080-COG-X-BVM-ReDI</t>
  </si>
  <si>
    <t>A081-COG-X-BVM-ReDI</t>
  </si>
  <si>
    <t>A082-COG-X-BVM-ReDI</t>
  </si>
  <si>
    <t>A083-COG-X-BVM-ReDI</t>
  </si>
  <si>
    <t>A084-COG-X-BVM-ReDI</t>
  </si>
  <si>
    <t>A085-COG-X-BVM-ReDI</t>
  </si>
  <si>
    <t>A086-COG-X-BVM-ReDI</t>
  </si>
  <si>
    <t>A087-COG-X-BVM-ReDI</t>
  </si>
  <si>
    <t>A088-COG-X-BVM-ReDI</t>
  </si>
  <si>
    <t>A089-COG-X-BVM-ReDI</t>
  </si>
  <si>
    <t>A090-COG-X-BVM-ReDI</t>
  </si>
  <si>
    <t>A091-COG-X-BVM-ReDI</t>
  </si>
  <si>
    <t>A092-COG-X-BVM-ReDI</t>
  </si>
  <si>
    <t>A093-COG-X-BVM-ReDI</t>
  </si>
  <si>
    <t>A094-COG-X-BVM-ReDI</t>
  </si>
  <si>
    <t>A095-COG-X-BVM-ReDI</t>
  </si>
  <si>
    <t>A096-COG-X-BVM-ReDI</t>
  </si>
  <si>
    <t>A097-COG-X-BVM-ReDI</t>
  </si>
  <si>
    <t>A098-COG-X-BVM-ReDI</t>
  </si>
  <si>
    <t>A099-COG-X-BVM-ReDI</t>
  </si>
  <si>
    <t>A100-COG-X-BVM-ReDI</t>
  </si>
  <si>
    <t>A101-COG-X-BVM-ReDI</t>
  </si>
  <si>
    <t>A102-COG-X-BVM-ReDI</t>
  </si>
  <si>
    <t>A103-COG-X-BVM-ReDI</t>
  </si>
  <si>
    <t>A104-COG-X-BVM-ReDI</t>
  </si>
  <si>
    <t>A105-COG-X-BVM-ReDI</t>
  </si>
  <si>
    <t>A106-COG-X-BVM-ReDI</t>
  </si>
  <si>
    <t>A107-COG-X-BVM-ReDI</t>
  </si>
  <si>
    <t>A108-COG-X-BVM-ReDI</t>
  </si>
  <si>
    <t>A109-COG-X-BVM-ReDI</t>
  </si>
  <si>
    <t>A010-COG-X-BVM-ReRB</t>
  </si>
  <si>
    <t>A011-COG-X-BVM-ReRB</t>
  </si>
  <si>
    <t>A012-COG-X-BVM-ReRB</t>
  </si>
  <si>
    <t>A013-COG-X-BVM-ReRB</t>
  </si>
  <si>
    <t>A014-COG-X-BVM-ReRB</t>
  </si>
  <si>
    <t>A015-COG-X-BVM-ReRB</t>
  </si>
  <si>
    <t>A016-COG-X-BVM-ReRB</t>
  </si>
  <si>
    <t>A017-COG-X-BVM-ReRB</t>
  </si>
  <si>
    <t>A018-COG-X-BVM-ReRB</t>
  </si>
  <si>
    <t>A019-COG-X-BVM-ReRB</t>
  </si>
  <si>
    <t>A020-COG-X-BVM-ReRB</t>
  </si>
  <si>
    <t>A021-COG-X-BVM-ReRB</t>
  </si>
  <si>
    <t>A022-COG-X-BVM-ReRB</t>
  </si>
  <si>
    <t>A023-COG-X-BVM-ReRB</t>
  </si>
  <si>
    <t>A024-COG-X-BVM-ReRB</t>
  </si>
  <si>
    <t>A025-COG-X-BVM-ReRB</t>
  </si>
  <si>
    <t>A026-COG-X-BVM-ReRB</t>
  </si>
  <si>
    <t>A027-COG-X-BVM-ReRB</t>
  </si>
  <si>
    <t>A028-COG-X-BVM-ReRB</t>
  </si>
  <si>
    <t>A029-COG-X-BVM-ReRB</t>
  </si>
  <si>
    <t>A030-COG-X-BVM-ReRB</t>
  </si>
  <si>
    <t>A031-COG-X-BVM-ReRB</t>
  </si>
  <si>
    <t>A032-COG-X-BVM-ReRB</t>
  </si>
  <si>
    <t>A033-COG-X-BVM-ReRB</t>
  </si>
  <si>
    <t>A034-COG-X-BVM-ReRB</t>
  </si>
  <si>
    <t>A035-COG-X-BVM-ReRB</t>
  </si>
  <si>
    <t>A036-COG-X-BVM-ReRB</t>
  </si>
  <si>
    <t>A037-COG-X-BVM-ReRB</t>
  </si>
  <si>
    <t>A038-COG-X-BVM-ReRB</t>
  </si>
  <si>
    <t>A039-COG-X-BVM-ReRB</t>
  </si>
  <si>
    <t>A040-COG-X-BVM-ReRB</t>
  </si>
  <si>
    <t>A041-COG-X-BVM-ReRB</t>
  </si>
  <si>
    <t>A042-COG-X-BVM-ReRB</t>
  </si>
  <si>
    <t>A043-COG-X-BVM-ReRB</t>
  </si>
  <si>
    <t>A044-COG-X-BVM-ReRB</t>
  </si>
  <si>
    <t>A045-COG-X-BVM-ReRB</t>
  </si>
  <si>
    <t>A046-COG-X-BVM-ReRB</t>
  </si>
  <si>
    <t>A047-COG-X-BVM-ReRB</t>
  </si>
  <si>
    <t>A048-COG-X-BVM-ReRB</t>
  </si>
  <si>
    <t>A049-COG-X-BVM-ReRB</t>
  </si>
  <si>
    <t>A050-COG-X-BVM-ReRB</t>
  </si>
  <si>
    <t>A051-COG-X-BVM-ReRB</t>
  </si>
  <si>
    <t>A052-COG-X-BVM-ReRB</t>
  </si>
  <si>
    <t>A053-COG-X-BVM-ReRB</t>
  </si>
  <si>
    <t>A054-COG-X-BVM-ReRB</t>
  </si>
  <si>
    <t>A055-COG-X-BVM-ReRB</t>
  </si>
  <si>
    <t>A056-COG-X-BVM-ReRB</t>
  </si>
  <si>
    <t>A057-COG-X-BVM-ReRB</t>
  </si>
  <si>
    <t>A058-COG-X-BVM-ReRB</t>
  </si>
  <si>
    <t>A059-COG-X-BVM-ReRB</t>
  </si>
  <si>
    <t>A060-COG-X-BVM-ReRB</t>
  </si>
  <si>
    <t>A061-COG-X-BVM-ReRB</t>
  </si>
  <si>
    <t>A062-COG-X-BVM-ReRB</t>
  </si>
  <si>
    <t>A063-COG-X-BVM-ReRB</t>
  </si>
  <si>
    <t>A064-COG-X-BVM-ReRB</t>
  </si>
  <si>
    <t>A065-COG-X-BVM-ReRB</t>
  </si>
  <si>
    <t>A066-COG-X-BVM-ReRB</t>
  </si>
  <si>
    <t>A067-COG-X-BVM-ReRB</t>
  </si>
  <si>
    <t>A068-COG-X-BVM-ReRB</t>
  </si>
  <si>
    <t>A069-COG-X-BVM-ReRB</t>
  </si>
  <si>
    <t>A070-COG-X-BVM-ReRB</t>
  </si>
  <si>
    <t>A071-COG-X-BVM-ReRB</t>
  </si>
  <si>
    <t>A072-COG-X-BVM-ReRB</t>
  </si>
  <si>
    <t>A073-COG-X-BVM-ReRB</t>
  </si>
  <si>
    <t>A074-COG-X-BVM-ReRB</t>
  </si>
  <si>
    <t>A075-COG-X-BVM-ReRB</t>
  </si>
  <si>
    <t>A076-COG-X-BVM-ReRB</t>
  </si>
  <si>
    <t>A077-COG-X-BVM-ReRB</t>
  </si>
  <si>
    <t>A078-COG-X-BVM-ReRB</t>
  </si>
  <si>
    <t>A079-COG-X-BVM-ReRB</t>
  </si>
  <si>
    <t>A080-COG-X-BVM-ReRB</t>
  </si>
  <si>
    <t>A081-COG-X-BVM-ReRB</t>
  </si>
  <si>
    <t>A082-COG-X-BVM-ReRB</t>
  </si>
  <si>
    <t>A083-COG-X-BVM-ReRB</t>
  </si>
  <si>
    <t>A084-COG-X-BVM-ReRB</t>
  </si>
  <si>
    <t>A085-COG-X-BVM-ReRB</t>
  </si>
  <si>
    <t>A086-COG-X-BVM-ReRB</t>
  </si>
  <si>
    <t>A087-COG-X-BVM-ReRB</t>
  </si>
  <si>
    <t>A088-COG-X-BVM-ReRB</t>
  </si>
  <si>
    <t>A089-COG-X-BVM-ReRB</t>
  </si>
  <si>
    <t>A090-COG-X-BVM-ReRB</t>
  </si>
  <si>
    <t>A091-COG-X-BVM-ReRB</t>
  </si>
  <si>
    <t>A092-COG-X-BVM-ReRB</t>
  </si>
  <si>
    <t>A093-COG-X-BVM-ReRB</t>
  </si>
  <si>
    <t>A094-COG-X-BVM-ReRB</t>
  </si>
  <si>
    <t>A095-COG-X-BVM-ReRB</t>
  </si>
  <si>
    <t>A096-COG-X-BVM-ReRB</t>
  </si>
  <si>
    <t>A097-COG-X-BVM-ReRB</t>
  </si>
  <si>
    <t>A098-COG-X-BVM-ReRB</t>
  </si>
  <si>
    <t>A099-COG-X-BVM-ReRB</t>
  </si>
  <si>
    <t>A100-COG-X-BVM-ReRB</t>
  </si>
  <si>
    <t>A101-COG-X-BVM-ReRB</t>
  </si>
  <si>
    <t>A102-COG-X-BVM-ReRB</t>
  </si>
  <si>
    <t>A103-COG-X-BVM-ReRB</t>
  </si>
  <si>
    <t>A104-COG-X-BVM-ReRB</t>
  </si>
  <si>
    <t>A105-COG-X-BVM-ReRB</t>
  </si>
  <si>
    <t>A106-COG-X-BVM-ReRB</t>
  </si>
  <si>
    <t>A107-COG-X-BVM-ReRB</t>
  </si>
  <si>
    <t>A108-COG-X-BVM-ReRB</t>
  </si>
  <si>
    <t>A109-COG-X-BVM-ReRB</t>
  </si>
  <si>
    <t>FA</t>
  </si>
  <si>
    <t>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</si>
</sst>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workbookViewId="0">
      <selection activeCell="O13" sqref="O1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18</v>
      </c>
      <c r="B2">
        <v>22</v>
      </c>
      <c r="C2" t="s">
        <v>12</v>
      </c>
      <c r="D2">
        <v>19.14</v>
      </c>
      <c r="E2">
        <v>1.22</v>
      </c>
      <c r="F2">
        <v>178</v>
      </c>
      <c r="G2">
        <v>21.285714285714281</v>
      </c>
      <c r="H2">
        <v>0.75592894601845451</v>
      </c>
      <c r="I2">
        <v>7</v>
      </c>
      <c r="J2">
        <v>7.1526014619781177</v>
      </c>
      <c r="K2">
        <v>1.5241793062172531E-4</v>
      </c>
      <c r="L2">
        <v>-6.7820540418439004</v>
      </c>
    </row>
    <row r="3" spans="1:12" x14ac:dyDescent="0.25">
      <c r="A3">
        <v>18</v>
      </c>
      <c r="B3">
        <v>22</v>
      </c>
      <c r="C3" t="s">
        <v>13</v>
      </c>
      <c r="D3">
        <v>7.49</v>
      </c>
      <c r="E3">
        <v>2.04</v>
      </c>
      <c r="F3">
        <v>178</v>
      </c>
      <c r="G3">
        <v>9.7142857142857135</v>
      </c>
      <c r="H3">
        <v>1.704336206492693</v>
      </c>
      <c r="I3">
        <v>7</v>
      </c>
      <c r="J3">
        <v>3.3595581813883659</v>
      </c>
      <c r="K3">
        <v>1.292310561640405E-2</v>
      </c>
      <c r="L3">
        <v>-2.0695164983318421</v>
      </c>
    </row>
    <row r="4" spans="1:12" x14ac:dyDescent="0.25">
      <c r="A4">
        <v>18</v>
      </c>
      <c r="B4">
        <v>22</v>
      </c>
      <c r="C4" t="s">
        <v>14</v>
      </c>
      <c r="D4">
        <v>10.14</v>
      </c>
      <c r="E4">
        <v>1.74</v>
      </c>
      <c r="F4">
        <v>178</v>
      </c>
      <c r="G4">
        <v>11.428571428571431</v>
      </c>
      <c r="H4">
        <v>0.88640526042791823</v>
      </c>
      <c r="I4">
        <v>7</v>
      </c>
      <c r="J4">
        <v>3.5841542488217648</v>
      </c>
      <c r="K4">
        <v>7.2193944701851786E-3</v>
      </c>
      <c r="L4">
        <v>-1.605514197493761</v>
      </c>
    </row>
    <row r="5" spans="1:12" x14ac:dyDescent="0.25">
      <c r="A5">
        <v>18</v>
      </c>
      <c r="B5">
        <v>22</v>
      </c>
      <c r="C5" t="s">
        <v>15</v>
      </c>
      <c r="D5">
        <v>11.1</v>
      </c>
      <c r="E5">
        <v>1.1599999999999999</v>
      </c>
      <c r="F5">
        <v>178</v>
      </c>
      <c r="G5">
        <v>11.857142857142859</v>
      </c>
      <c r="H5">
        <v>0.2439750182371333</v>
      </c>
      <c r="I5">
        <v>7</v>
      </c>
      <c r="J5">
        <v>5.973999058787709</v>
      </c>
      <c r="K5">
        <v>6.4554659141160622E-6</v>
      </c>
      <c r="L5">
        <v>-3.4419677416439858</v>
      </c>
    </row>
    <row r="6" spans="1:12" x14ac:dyDescent="0.25">
      <c r="A6">
        <v>18</v>
      </c>
      <c r="B6">
        <v>22</v>
      </c>
      <c r="C6" t="s">
        <v>16</v>
      </c>
      <c r="D6">
        <v>28.74</v>
      </c>
      <c r="E6">
        <v>4.32</v>
      </c>
      <c r="F6">
        <v>178</v>
      </c>
      <c r="G6">
        <v>33</v>
      </c>
      <c r="H6">
        <v>2.5819888974716112</v>
      </c>
      <c r="I6">
        <v>7</v>
      </c>
      <c r="J6">
        <v>4.1431027390596684</v>
      </c>
      <c r="K6">
        <v>3.8489111956053939E-3</v>
      </c>
      <c r="L6">
        <v>-2.406619449948924</v>
      </c>
    </row>
    <row r="7" spans="1:12" x14ac:dyDescent="0.25">
      <c r="A7">
        <v>18</v>
      </c>
      <c r="B7">
        <v>22</v>
      </c>
      <c r="C7" t="s">
        <v>17</v>
      </c>
      <c r="D7">
        <v>3.63</v>
      </c>
      <c r="E7">
        <v>1.67</v>
      </c>
      <c r="F7">
        <v>178</v>
      </c>
      <c r="G7">
        <v>2.1428571428571428</v>
      </c>
      <c r="H7">
        <v>1.546886273407694</v>
      </c>
      <c r="I7">
        <v>7</v>
      </c>
      <c r="J7">
        <v>-2.4872062721204138</v>
      </c>
      <c r="K7">
        <v>4.3981684416791247E-2</v>
      </c>
      <c r="L7">
        <v>1.210995256622051</v>
      </c>
    </row>
    <row r="8" spans="1:12" x14ac:dyDescent="0.25">
      <c r="A8">
        <v>18</v>
      </c>
      <c r="B8">
        <v>22</v>
      </c>
      <c r="C8" t="s">
        <v>18</v>
      </c>
      <c r="D8">
        <v>10.79</v>
      </c>
      <c r="E8">
        <v>1.37</v>
      </c>
      <c r="F8">
        <v>178</v>
      </c>
      <c r="G8">
        <v>11.857142857142859</v>
      </c>
      <c r="H8">
        <v>0.2439750182371333</v>
      </c>
      <c r="I8">
        <v>7</v>
      </c>
      <c r="J8">
        <v>7.7321512375167529</v>
      </c>
      <c r="K8">
        <v>1.7359054503880122E-8</v>
      </c>
      <c r="L8">
        <v>-6.1432166642616863</v>
      </c>
    </row>
    <row r="9" spans="1:12" x14ac:dyDescent="0.25">
      <c r="A9">
        <v>18</v>
      </c>
      <c r="B9">
        <v>22</v>
      </c>
      <c r="C9" t="s">
        <v>19</v>
      </c>
      <c r="D9">
        <v>95.34</v>
      </c>
      <c r="E9">
        <v>6.6</v>
      </c>
      <c r="F9">
        <v>178</v>
      </c>
      <c r="G9">
        <v>100</v>
      </c>
      <c r="H9">
        <v>0</v>
      </c>
      <c r="I9">
        <v>7</v>
      </c>
      <c r="J9">
        <v>9.4200234149740414</v>
      </c>
      <c r="K9">
        <v>2.4686152632033261E-17</v>
      </c>
      <c r="L9">
        <v>-11.923022741182979</v>
      </c>
    </row>
    <row r="10" spans="1:12" x14ac:dyDescent="0.25">
      <c r="A10">
        <v>18</v>
      </c>
      <c r="B10">
        <v>22</v>
      </c>
      <c r="C10" t="s">
        <v>20</v>
      </c>
      <c r="D10">
        <v>5.93</v>
      </c>
      <c r="E10">
        <v>0.28000000000000003</v>
      </c>
      <c r="F10">
        <v>178</v>
      </c>
      <c r="G10">
        <v>5.7142857142857144</v>
      </c>
      <c r="H10">
        <v>0.48795003647426649</v>
      </c>
      <c r="I10">
        <v>7</v>
      </c>
      <c r="J10">
        <v>-1.16214076843203</v>
      </c>
      <c r="K10">
        <v>0.28824216062428709</v>
      </c>
      <c r="L10">
        <v>0.402968647979628</v>
      </c>
    </row>
    <row r="11" spans="1:12" x14ac:dyDescent="0.25">
      <c r="A11">
        <v>18</v>
      </c>
      <c r="B11">
        <v>22</v>
      </c>
      <c r="C11" t="s">
        <v>21</v>
      </c>
      <c r="D11">
        <v>0.02</v>
      </c>
      <c r="E11">
        <v>0.14000000000000001</v>
      </c>
      <c r="F11">
        <v>178</v>
      </c>
      <c r="G11">
        <v>0</v>
      </c>
      <c r="H11">
        <v>0</v>
      </c>
      <c r="I11">
        <v>7</v>
      </c>
      <c r="J11">
        <v>-1.905952009160905</v>
      </c>
      <c r="K11">
        <v>5.8277041766094238E-2</v>
      </c>
      <c r="L11">
        <v>0.17932169945102999</v>
      </c>
    </row>
    <row r="12" spans="1:12" x14ac:dyDescent="0.25">
      <c r="A12">
        <v>18</v>
      </c>
      <c r="B12">
        <v>22</v>
      </c>
      <c r="C12" t="s">
        <v>22</v>
      </c>
      <c r="D12">
        <v>5.91</v>
      </c>
      <c r="E12">
        <v>0.31</v>
      </c>
      <c r="F12">
        <v>178</v>
      </c>
      <c r="G12">
        <v>5.7142857142857144</v>
      </c>
      <c r="H12">
        <v>0.48795003647426649</v>
      </c>
      <c r="I12">
        <v>7</v>
      </c>
      <c r="J12">
        <v>-1.0528743566382031</v>
      </c>
      <c r="K12">
        <v>0.33174098282100251</v>
      </c>
      <c r="L12">
        <v>0.29546467871921239</v>
      </c>
    </row>
    <row r="13" spans="1:12" x14ac:dyDescent="0.25">
      <c r="A13">
        <v>18</v>
      </c>
      <c r="B13">
        <v>22</v>
      </c>
      <c r="C13" t="s">
        <v>23</v>
      </c>
      <c r="D13">
        <v>0.49</v>
      </c>
      <c r="E13">
        <v>7.0000000000000007E-2</v>
      </c>
      <c r="F13">
        <v>178</v>
      </c>
      <c r="G13">
        <v>0.42857142857142849</v>
      </c>
      <c r="H13">
        <v>0.12198750911856671</v>
      </c>
      <c r="I13">
        <v>7</v>
      </c>
      <c r="J13">
        <v>-1.3237629945053611</v>
      </c>
      <c r="K13">
        <v>0.23261244262614339</v>
      </c>
      <c r="L13">
        <v>0.53813282850217281</v>
      </c>
    </row>
    <row r="14" spans="1:12" x14ac:dyDescent="0.25">
      <c r="A14">
        <v>20</v>
      </c>
      <c r="B14">
        <v>24</v>
      </c>
      <c r="C14" t="s">
        <v>12</v>
      </c>
      <c r="D14">
        <v>21.22</v>
      </c>
      <c r="E14">
        <v>1.25</v>
      </c>
      <c r="F14">
        <v>66</v>
      </c>
      <c r="G14">
        <v>21.9</v>
      </c>
      <c r="H14">
        <v>1.1972189997378651</v>
      </c>
      <c r="I14">
        <v>10</v>
      </c>
      <c r="J14">
        <v>1.663952125207629</v>
      </c>
      <c r="K14">
        <v>0.1216336098759198</v>
      </c>
      <c r="L14">
        <v>-0.50025197687007439</v>
      </c>
    </row>
    <row r="15" spans="1:12" x14ac:dyDescent="0.25">
      <c r="A15">
        <v>20</v>
      </c>
      <c r="B15">
        <v>24</v>
      </c>
      <c r="C15" t="s">
        <v>13</v>
      </c>
      <c r="D15">
        <v>7.39</v>
      </c>
      <c r="E15">
        <v>2.04</v>
      </c>
      <c r="F15">
        <v>66</v>
      </c>
      <c r="G15">
        <v>9.4</v>
      </c>
      <c r="H15">
        <v>1.559914527573012</v>
      </c>
      <c r="I15">
        <v>10</v>
      </c>
      <c r="J15">
        <v>3.6312844296709121</v>
      </c>
      <c r="K15">
        <v>2.6850893021153469E-3</v>
      </c>
      <c r="L15">
        <v>-2.599736369266346</v>
      </c>
    </row>
    <row r="16" spans="1:12" x14ac:dyDescent="0.25">
      <c r="A16">
        <v>20</v>
      </c>
      <c r="B16">
        <v>24</v>
      </c>
      <c r="C16" t="s">
        <v>14</v>
      </c>
      <c r="D16">
        <v>10.029999999999999</v>
      </c>
      <c r="E16">
        <v>1.76</v>
      </c>
      <c r="F16">
        <v>66</v>
      </c>
      <c r="G16">
        <v>11.55</v>
      </c>
      <c r="H16">
        <v>0.76194196337749753</v>
      </c>
      <c r="I16">
        <v>10</v>
      </c>
      <c r="J16">
        <v>4.6910700501787694</v>
      </c>
      <c r="K16">
        <v>6.9918948065640497E-5</v>
      </c>
      <c r="L16">
        <v>-3.780421672335831</v>
      </c>
    </row>
    <row r="17" spans="1:12" x14ac:dyDescent="0.25">
      <c r="A17">
        <v>20</v>
      </c>
      <c r="B17">
        <v>24</v>
      </c>
      <c r="C17" t="s">
        <v>15</v>
      </c>
      <c r="D17">
        <v>11</v>
      </c>
      <c r="E17">
        <v>1.2</v>
      </c>
      <c r="F17">
        <v>66</v>
      </c>
      <c r="G17">
        <v>11.9</v>
      </c>
      <c r="H17">
        <v>0.21081851067789201</v>
      </c>
      <c r="I17">
        <v>10</v>
      </c>
      <c r="J17">
        <v>5.5535851206502382</v>
      </c>
      <c r="K17">
        <v>4.3672999314264818E-7</v>
      </c>
      <c r="L17">
        <v>-5.0785181845003189</v>
      </c>
    </row>
    <row r="18" spans="1:12" x14ac:dyDescent="0.25">
      <c r="A18">
        <v>20</v>
      </c>
      <c r="B18">
        <v>24</v>
      </c>
      <c r="C18" t="s">
        <v>16</v>
      </c>
      <c r="D18">
        <v>28.44</v>
      </c>
      <c r="E18">
        <v>4.38</v>
      </c>
      <c r="F18">
        <v>66</v>
      </c>
      <c r="G18">
        <v>32.85</v>
      </c>
      <c r="H18">
        <v>2.1737065119284158</v>
      </c>
      <c r="I18">
        <v>10</v>
      </c>
      <c r="J18">
        <v>5.0480909219414496</v>
      </c>
      <c r="K18">
        <v>4.5084841190886882E-5</v>
      </c>
      <c r="L18">
        <v>-4.5912251785375338</v>
      </c>
    </row>
    <row r="19" spans="1:12" x14ac:dyDescent="0.25">
      <c r="A19">
        <v>20</v>
      </c>
      <c r="B19">
        <v>24</v>
      </c>
      <c r="C19" t="s">
        <v>17</v>
      </c>
      <c r="D19">
        <v>3.64</v>
      </c>
      <c r="E19">
        <v>1.68</v>
      </c>
      <c r="F19">
        <v>66</v>
      </c>
      <c r="G19">
        <v>2.5</v>
      </c>
      <c r="H19">
        <v>1.471960144387974</v>
      </c>
      <c r="I19">
        <v>10</v>
      </c>
      <c r="J19">
        <v>-2.2381773676950298</v>
      </c>
      <c r="K19">
        <v>4.3590542678742183E-2</v>
      </c>
      <c r="L19">
        <v>0.93659685661683389</v>
      </c>
    </row>
    <row r="20" spans="1:12" x14ac:dyDescent="0.25">
      <c r="A20">
        <v>20</v>
      </c>
      <c r="B20">
        <v>24</v>
      </c>
      <c r="C20" t="s">
        <v>18</v>
      </c>
      <c r="D20">
        <v>10.68</v>
      </c>
      <c r="E20">
        <v>1.41</v>
      </c>
      <c r="F20">
        <v>66</v>
      </c>
      <c r="G20">
        <v>11.5</v>
      </c>
      <c r="H20">
        <v>1.247219128924647</v>
      </c>
      <c r="I20">
        <v>10</v>
      </c>
      <c r="J20">
        <v>1.9029759376682389</v>
      </c>
      <c r="K20">
        <v>7.9853462715510679E-2</v>
      </c>
      <c r="L20">
        <v>-0.64699981760036129</v>
      </c>
    </row>
    <row r="21" spans="1:12" x14ac:dyDescent="0.25">
      <c r="A21">
        <v>20</v>
      </c>
      <c r="B21">
        <v>24</v>
      </c>
      <c r="C21" t="s">
        <v>19</v>
      </c>
      <c r="D21">
        <v>94.93</v>
      </c>
      <c r="E21">
        <v>7.26</v>
      </c>
      <c r="F21">
        <v>66</v>
      </c>
      <c r="G21">
        <v>96.666666667000001</v>
      </c>
      <c r="H21">
        <v>10.540925532840509</v>
      </c>
      <c r="I21">
        <v>10</v>
      </c>
      <c r="J21">
        <v>0.50322922541586612</v>
      </c>
      <c r="K21">
        <v>0.6253567097024666</v>
      </c>
      <c r="L21">
        <v>-4.5780960269809871E-2</v>
      </c>
    </row>
    <row r="22" spans="1:12" x14ac:dyDescent="0.25">
      <c r="A22">
        <v>20</v>
      </c>
      <c r="B22">
        <v>24</v>
      </c>
      <c r="C22" t="s">
        <v>20</v>
      </c>
      <c r="D22">
        <v>5.95</v>
      </c>
      <c r="E22">
        <v>0.21</v>
      </c>
      <c r="F22">
        <v>66</v>
      </c>
      <c r="G22">
        <v>5.8</v>
      </c>
      <c r="H22">
        <v>0.4216370213557839</v>
      </c>
      <c r="I22">
        <v>10</v>
      </c>
      <c r="J22">
        <v>-1.1044361987650659</v>
      </c>
      <c r="K22">
        <v>0.29608020902103788</v>
      </c>
      <c r="L22">
        <v>0.32273264924206119</v>
      </c>
    </row>
    <row r="23" spans="1:12" x14ac:dyDescent="0.25">
      <c r="A23">
        <v>20</v>
      </c>
      <c r="B23">
        <v>24</v>
      </c>
      <c r="C23" t="s">
        <v>21</v>
      </c>
      <c r="D23">
        <v>0.03</v>
      </c>
      <c r="E23">
        <v>0.17</v>
      </c>
      <c r="F23">
        <v>66</v>
      </c>
      <c r="G23">
        <v>0</v>
      </c>
      <c r="H23">
        <v>0</v>
      </c>
      <c r="I23">
        <v>10</v>
      </c>
      <c r="J23">
        <v>-1.433653836112228</v>
      </c>
      <c r="K23">
        <v>0.1564641258671649</v>
      </c>
      <c r="L23">
        <v>0.1516851291028444</v>
      </c>
    </row>
    <row r="24" spans="1:12" x14ac:dyDescent="0.25">
      <c r="A24">
        <v>20</v>
      </c>
      <c r="B24">
        <v>24</v>
      </c>
      <c r="C24" t="s">
        <v>22</v>
      </c>
      <c r="D24">
        <v>5.92</v>
      </c>
      <c r="E24">
        <v>0.26</v>
      </c>
      <c r="F24">
        <v>66</v>
      </c>
      <c r="G24">
        <v>5.8</v>
      </c>
      <c r="H24">
        <v>0.4216370213557839</v>
      </c>
      <c r="I24">
        <v>10</v>
      </c>
      <c r="J24">
        <v>-0.87514292989103382</v>
      </c>
      <c r="K24">
        <v>0.40190267205203162</v>
      </c>
      <c r="L24">
        <v>0.1669172872349389</v>
      </c>
    </row>
    <row r="25" spans="1:12" x14ac:dyDescent="0.25">
      <c r="A25">
        <v>20</v>
      </c>
      <c r="B25">
        <v>24</v>
      </c>
      <c r="C25" t="s">
        <v>23</v>
      </c>
      <c r="D25">
        <v>0.49</v>
      </c>
      <c r="E25">
        <v>0.06</v>
      </c>
      <c r="F25">
        <v>66</v>
      </c>
      <c r="G25">
        <v>0.45</v>
      </c>
      <c r="H25">
        <v>0.105409255338946</v>
      </c>
      <c r="I25">
        <v>10</v>
      </c>
      <c r="J25">
        <v>-1.171587378048295</v>
      </c>
      <c r="K25">
        <v>0.2687815962338731</v>
      </c>
      <c r="L25">
        <v>0.33973066072453101</v>
      </c>
    </row>
    <row r="26" spans="1:12" x14ac:dyDescent="0.25">
      <c r="A26">
        <v>22</v>
      </c>
      <c r="B26">
        <v>26</v>
      </c>
      <c r="C26" t="s">
        <v>12</v>
      </c>
      <c r="D26">
        <v>24.29</v>
      </c>
      <c r="E26">
        <v>1.42</v>
      </c>
      <c r="F26">
        <v>47</v>
      </c>
      <c r="G26">
        <v>24.09090909090909</v>
      </c>
      <c r="H26">
        <v>1.7580981459830649</v>
      </c>
      <c r="I26">
        <v>11</v>
      </c>
      <c r="J26">
        <v>-0.34982437743861777</v>
      </c>
      <c r="K26">
        <v>0.73198082189417768</v>
      </c>
      <c r="L26">
        <v>1.8153691073519052E-2</v>
      </c>
    </row>
    <row r="27" spans="1:12" x14ac:dyDescent="0.25">
      <c r="A27">
        <v>22</v>
      </c>
      <c r="B27">
        <v>26</v>
      </c>
      <c r="C27" t="s">
        <v>13</v>
      </c>
      <c r="D27">
        <v>7.29</v>
      </c>
      <c r="E27">
        <v>2.04</v>
      </c>
      <c r="F27">
        <v>47</v>
      </c>
      <c r="G27">
        <v>9.0909090909090917</v>
      </c>
      <c r="H27">
        <v>1.9598237397554641</v>
      </c>
      <c r="I27">
        <v>11</v>
      </c>
      <c r="J27">
        <v>2.722039800076467</v>
      </c>
      <c r="K27">
        <v>1.540012726666385E-2</v>
      </c>
      <c r="L27">
        <v>-1.6111747437375119</v>
      </c>
    </row>
    <row r="28" spans="1:12" x14ac:dyDescent="0.25">
      <c r="A28">
        <v>22</v>
      </c>
      <c r="B28">
        <v>26</v>
      </c>
      <c r="C28" t="s">
        <v>14</v>
      </c>
      <c r="D28">
        <v>9.93</v>
      </c>
      <c r="E28">
        <v>1.77</v>
      </c>
      <c r="F28">
        <v>47</v>
      </c>
      <c r="G28">
        <v>11.36363636363636</v>
      </c>
      <c r="H28">
        <v>1.097517860695421</v>
      </c>
      <c r="I28">
        <v>11</v>
      </c>
      <c r="J28">
        <v>3.4157290312178969</v>
      </c>
      <c r="K28">
        <v>2.272760123095872E-3</v>
      </c>
      <c r="L28">
        <v>-2.2694479312367779</v>
      </c>
    </row>
    <row r="29" spans="1:12" x14ac:dyDescent="0.25">
      <c r="A29">
        <v>22</v>
      </c>
      <c r="B29">
        <v>26</v>
      </c>
      <c r="C29" t="s">
        <v>15</v>
      </c>
      <c r="D29">
        <v>10.91</v>
      </c>
      <c r="E29">
        <v>1.24</v>
      </c>
      <c r="F29">
        <v>47</v>
      </c>
      <c r="G29">
        <v>11.81818181818182</v>
      </c>
      <c r="H29">
        <v>0.46220813886858758</v>
      </c>
      <c r="I29">
        <v>11</v>
      </c>
      <c r="J29">
        <v>3.9774283165639082</v>
      </c>
      <c r="K29">
        <v>2.5276593466810182E-4</v>
      </c>
      <c r="L29">
        <v>-2.864038681171138</v>
      </c>
    </row>
    <row r="30" spans="1:12" x14ac:dyDescent="0.25">
      <c r="A30">
        <v>22</v>
      </c>
      <c r="B30">
        <v>26</v>
      </c>
      <c r="C30" t="s">
        <v>16</v>
      </c>
      <c r="D30">
        <v>28.13</v>
      </c>
      <c r="E30">
        <v>4.43</v>
      </c>
      <c r="F30">
        <v>47</v>
      </c>
      <c r="G30">
        <v>32.272727272727273</v>
      </c>
      <c r="H30">
        <v>3.3042672134955762</v>
      </c>
      <c r="I30">
        <v>11</v>
      </c>
      <c r="J30">
        <v>3.488665881410006</v>
      </c>
      <c r="K30">
        <v>2.3932021591428561E-3</v>
      </c>
      <c r="L30">
        <v>-2.554325005049956</v>
      </c>
    </row>
    <row r="31" spans="1:12" x14ac:dyDescent="0.25">
      <c r="A31">
        <v>22</v>
      </c>
      <c r="B31">
        <v>26</v>
      </c>
      <c r="C31" t="s">
        <v>17</v>
      </c>
      <c r="D31">
        <v>3.64</v>
      </c>
      <c r="E31">
        <v>1.68</v>
      </c>
      <c r="F31">
        <v>47</v>
      </c>
      <c r="G31">
        <v>2.7272727272727271</v>
      </c>
      <c r="H31">
        <v>1.633457014488541</v>
      </c>
      <c r="I31">
        <v>11</v>
      </c>
      <c r="J31">
        <v>-1.659194132400682</v>
      </c>
      <c r="K31">
        <v>0.11735190615998529</v>
      </c>
      <c r="L31">
        <v>0.50802126717377682</v>
      </c>
    </row>
    <row r="32" spans="1:12" x14ac:dyDescent="0.25">
      <c r="A32">
        <v>22</v>
      </c>
      <c r="B32">
        <v>26</v>
      </c>
      <c r="C32" t="s">
        <v>18</v>
      </c>
      <c r="D32">
        <v>10.57</v>
      </c>
      <c r="E32">
        <v>1.45</v>
      </c>
      <c r="F32">
        <v>47</v>
      </c>
      <c r="G32">
        <v>11.40909090909091</v>
      </c>
      <c r="H32">
        <v>1.221027882936786</v>
      </c>
      <c r="I32">
        <v>11</v>
      </c>
      <c r="J32">
        <v>1.9762678323977989</v>
      </c>
      <c r="K32">
        <v>6.431012588077302E-2</v>
      </c>
      <c r="L32">
        <v>-0.70826947210287328</v>
      </c>
    </row>
    <row r="33" spans="1:12" x14ac:dyDescent="0.25">
      <c r="A33">
        <v>22</v>
      </c>
      <c r="B33">
        <v>26</v>
      </c>
      <c r="C33" t="s">
        <v>19</v>
      </c>
      <c r="D33">
        <v>95.75</v>
      </c>
      <c r="E33">
        <v>7.53</v>
      </c>
      <c r="F33">
        <v>47</v>
      </c>
      <c r="G33">
        <v>96.590909090909093</v>
      </c>
      <c r="H33">
        <v>10.003156066646509</v>
      </c>
      <c r="I33">
        <v>11</v>
      </c>
      <c r="J33">
        <v>0.26197879176651512</v>
      </c>
      <c r="K33">
        <v>0.79751300292884886</v>
      </c>
      <c r="L33">
        <v>-1.0293045272444141E-2</v>
      </c>
    </row>
    <row r="34" spans="1:12" x14ac:dyDescent="0.25">
      <c r="A34">
        <v>22</v>
      </c>
      <c r="B34">
        <v>26</v>
      </c>
      <c r="C34" t="s">
        <v>20</v>
      </c>
      <c r="D34">
        <v>5.91</v>
      </c>
      <c r="E34">
        <v>0.28000000000000003</v>
      </c>
      <c r="F34">
        <v>47</v>
      </c>
      <c r="G34">
        <v>5.9090909090909092</v>
      </c>
      <c r="H34">
        <v>0.30151134457776357</v>
      </c>
      <c r="I34">
        <v>11</v>
      </c>
      <c r="J34">
        <v>-9.1217251122444696E-3</v>
      </c>
      <c r="K34">
        <v>0.99284790340394835</v>
      </c>
      <c r="L34">
        <v>9.9798549940268992E-6</v>
      </c>
    </row>
    <row r="35" spans="1:12" x14ac:dyDescent="0.25">
      <c r="A35">
        <v>22</v>
      </c>
      <c r="B35">
        <v>26</v>
      </c>
      <c r="C35" t="s">
        <v>21</v>
      </c>
      <c r="D35">
        <v>0</v>
      </c>
      <c r="E35">
        <v>0</v>
      </c>
      <c r="F35">
        <v>47</v>
      </c>
      <c r="G35">
        <v>0</v>
      </c>
      <c r="H35">
        <v>0</v>
      </c>
      <c r="I35">
        <v>11</v>
      </c>
    </row>
    <row r="36" spans="1:12" x14ac:dyDescent="0.25">
      <c r="A36">
        <v>22</v>
      </c>
      <c r="B36">
        <v>26</v>
      </c>
      <c r="C36" t="s">
        <v>22</v>
      </c>
      <c r="D36">
        <v>5.91</v>
      </c>
      <c r="E36">
        <v>0.28000000000000003</v>
      </c>
      <c r="F36">
        <v>47</v>
      </c>
      <c r="G36">
        <v>5.9090909090909092</v>
      </c>
      <c r="H36">
        <v>0.30151134457776357</v>
      </c>
      <c r="I36">
        <v>11</v>
      </c>
      <c r="J36">
        <v>-9.1217251122444696E-3</v>
      </c>
      <c r="K36">
        <v>0.99284790340394835</v>
      </c>
      <c r="L36">
        <v>9.9798549940268992E-6</v>
      </c>
    </row>
    <row r="37" spans="1:12" x14ac:dyDescent="0.25">
      <c r="A37">
        <v>22</v>
      </c>
      <c r="B37">
        <v>26</v>
      </c>
      <c r="C37" t="s">
        <v>23</v>
      </c>
      <c r="D37">
        <v>0.47</v>
      </c>
      <c r="E37">
        <v>7.0000000000000007E-2</v>
      </c>
      <c r="F37">
        <v>47</v>
      </c>
      <c r="G37">
        <v>0.47727272727272729</v>
      </c>
      <c r="H37">
        <v>7.5377836144440907E-2</v>
      </c>
      <c r="I37">
        <v>11</v>
      </c>
      <c r="J37">
        <v>0.29189520359180521</v>
      </c>
      <c r="K37">
        <v>0.77455356023993138</v>
      </c>
      <c r="L37">
        <v>-1.1366334522179691E-2</v>
      </c>
    </row>
    <row r="38" spans="1:12" x14ac:dyDescent="0.25">
      <c r="A38">
        <v>24</v>
      </c>
      <c r="B38">
        <v>28</v>
      </c>
      <c r="C38" t="s">
        <v>12</v>
      </c>
      <c r="D38">
        <v>25.48</v>
      </c>
      <c r="E38">
        <v>1.0900000000000001</v>
      </c>
      <c r="F38">
        <v>39</v>
      </c>
      <c r="G38">
        <v>26.333333333333329</v>
      </c>
      <c r="H38">
        <v>1.4142135623730949</v>
      </c>
      <c r="I38">
        <v>9</v>
      </c>
      <c r="J38">
        <v>1.6975705845319149</v>
      </c>
      <c r="K38">
        <v>0.11954179702007831</v>
      </c>
      <c r="L38">
        <v>-0.68275402779823313</v>
      </c>
    </row>
    <row r="39" spans="1:12" x14ac:dyDescent="0.25">
      <c r="A39">
        <v>24</v>
      </c>
      <c r="B39">
        <v>28</v>
      </c>
      <c r="C39" t="s">
        <v>13</v>
      </c>
      <c r="D39">
        <v>7.19</v>
      </c>
      <c r="E39">
        <v>2.04</v>
      </c>
      <c r="F39">
        <v>39</v>
      </c>
      <c r="G39">
        <v>9.0555555555555554</v>
      </c>
      <c r="H39">
        <v>2.2282903261868232</v>
      </c>
      <c r="I39">
        <v>9</v>
      </c>
      <c r="J39">
        <v>2.2991195424480759</v>
      </c>
      <c r="K39">
        <v>4.1501215264097738E-2</v>
      </c>
      <c r="L39">
        <v>-1.2430646466477331</v>
      </c>
    </row>
    <row r="40" spans="1:12" x14ac:dyDescent="0.25">
      <c r="A40">
        <v>24</v>
      </c>
      <c r="B40">
        <v>28</v>
      </c>
      <c r="C40" t="s">
        <v>14</v>
      </c>
      <c r="D40">
        <v>9.82</v>
      </c>
      <c r="E40">
        <v>1.79</v>
      </c>
      <c r="F40">
        <v>39</v>
      </c>
      <c r="G40">
        <v>11.111111111111111</v>
      </c>
      <c r="H40">
        <v>1.139566194264779</v>
      </c>
      <c r="I40">
        <v>9</v>
      </c>
      <c r="J40">
        <v>2.71319357537535</v>
      </c>
      <c r="K40">
        <v>1.403706007829961E-2</v>
      </c>
      <c r="L40">
        <v>-1.411329333737098</v>
      </c>
    </row>
    <row r="41" spans="1:12" x14ac:dyDescent="0.25">
      <c r="A41">
        <v>24</v>
      </c>
      <c r="B41">
        <v>28</v>
      </c>
      <c r="C41" t="s">
        <v>15</v>
      </c>
      <c r="D41">
        <v>10.81</v>
      </c>
      <c r="E41">
        <v>1.28</v>
      </c>
      <c r="F41">
        <v>39</v>
      </c>
      <c r="G41">
        <v>11.83333333333333</v>
      </c>
      <c r="H41">
        <v>0.5</v>
      </c>
      <c r="I41">
        <v>9</v>
      </c>
      <c r="J41">
        <v>3.87370583853874</v>
      </c>
      <c r="K41">
        <v>4.630303807506153E-4</v>
      </c>
      <c r="L41">
        <v>-2.8869870843629188</v>
      </c>
    </row>
    <row r="42" spans="1:12" x14ac:dyDescent="0.25">
      <c r="A42">
        <v>24</v>
      </c>
      <c r="B42">
        <v>28</v>
      </c>
      <c r="C42" t="s">
        <v>16</v>
      </c>
      <c r="D42">
        <v>27.83</v>
      </c>
      <c r="E42">
        <v>4.4800000000000004</v>
      </c>
      <c r="F42">
        <v>39</v>
      </c>
      <c r="G42">
        <v>32</v>
      </c>
      <c r="H42">
        <v>3.6571847095819479</v>
      </c>
      <c r="I42">
        <v>9</v>
      </c>
      <c r="J42">
        <v>2.948092324216252</v>
      </c>
      <c r="K42">
        <v>1.0491736172935161E-2</v>
      </c>
      <c r="L42">
        <v>-1.8980852647472859</v>
      </c>
    </row>
    <row r="43" spans="1:12" x14ac:dyDescent="0.25">
      <c r="A43">
        <v>24</v>
      </c>
      <c r="B43">
        <v>28</v>
      </c>
      <c r="C43" t="s">
        <v>17</v>
      </c>
      <c r="D43">
        <v>3.65</v>
      </c>
      <c r="E43">
        <v>1.69</v>
      </c>
      <c r="F43">
        <v>39</v>
      </c>
      <c r="G43">
        <v>2.7777777777777781</v>
      </c>
      <c r="H43">
        <v>1.922093765778466</v>
      </c>
      <c r="I43">
        <v>9</v>
      </c>
      <c r="J43">
        <v>-1.2540848194764009</v>
      </c>
      <c r="K43">
        <v>0.23572603830220359</v>
      </c>
      <c r="L43">
        <v>0.31594159916610087</v>
      </c>
    </row>
    <row r="44" spans="1:12" x14ac:dyDescent="0.25">
      <c r="A44">
        <v>24</v>
      </c>
      <c r="B44">
        <v>28</v>
      </c>
      <c r="C44" t="s">
        <v>18</v>
      </c>
      <c r="D44">
        <v>10.46</v>
      </c>
      <c r="E44">
        <v>1.48</v>
      </c>
      <c r="F44">
        <v>39</v>
      </c>
      <c r="G44">
        <v>11.72222222222222</v>
      </c>
      <c r="H44">
        <v>0.50689687752485157</v>
      </c>
      <c r="I44">
        <v>9</v>
      </c>
      <c r="J44">
        <v>4.3367016678658974</v>
      </c>
      <c r="K44">
        <v>9.9518422926742867E-5</v>
      </c>
      <c r="L44">
        <v>-3.709806987214169</v>
      </c>
    </row>
    <row r="45" spans="1:12" x14ac:dyDescent="0.25">
      <c r="A45">
        <v>24</v>
      </c>
      <c r="B45">
        <v>28</v>
      </c>
      <c r="C45" t="s">
        <v>19</v>
      </c>
      <c r="D45">
        <v>95.08</v>
      </c>
      <c r="E45">
        <v>8.0399999999999991</v>
      </c>
      <c r="F45">
        <v>39</v>
      </c>
      <c r="G45">
        <v>99.074074073333321</v>
      </c>
      <c r="H45">
        <v>1.8373273008202711</v>
      </c>
      <c r="I45">
        <v>9</v>
      </c>
      <c r="J45">
        <v>2.8015226867929348</v>
      </c>
      <c r="K45">
        <v>7.4183691155626109E-3</v>
      </c>
      <c r="L45">
        <v>-1.157682695032082</v>
      </c>
    </row>
    <row r="46" spans="1:12" x14ac:dyDescent="0.25">
      <c r="A46">
        <v>24</v>
      </c>
      <c r="B46">
        <v>28</v>
      </c>
      <c r="C46" t="s">
        <v>20</v>
      </c>
      <c r="D46">
        <v>5.89</v>
      </c>
      <c r="E46">
        <v>0.3</v>
      </c>
      <c r="F46">
        <v>39</v>
      </c>
      <c r="G46">
        <v>6</v>
      </c>
      <c r="H46">
        <v>0</v>
      </c>
      <c r="I46">
        <v>9</v>
      </c>
      <c r="J46">
        <v>2.2898325994127529</v>
      </c>
      <c r="K46">
        <v>2.7674021846021489E-2</v>
      </c>
      <c r="L46">
        <v>-0.62850082609560332</v>
      </c>
    </row>
    <row r="47" spans="1:12" x14ac:dyDescent="0.25">
      <c r="A47">
        <v>24</v>
      </c>
      <c r="B47">
        <v>28</v>
      </c>
      <c r="C47" t="s">
        <v>21</v>
      </c>
      <c r="D47">
        <v>0</v>
      </c>
      <c r="E47">
        <v>0</v>
      </c>
      <c r="F47">
        <v>39</v>
      </c>
      <c r="G47">
        <v>0</v>
      </c>
      <c r="H47">
        <v>0</v>
      </c>
      <c r="I47">
        <v>9</v>
      </c>
    </row>
    <row r="48" spans="1:12" x14ac:dyDescent="0.25">
      <c r="A48">
        <v>24</v>
      </c>
      <c r="B48">
        <v>28</v>
      </c>
      <c r="C48" t="s">
        <v>22</v>
      </c>
      <c r="D48">
        <v>5.89</v>
      </c>
      <c r="E48">
        <v>0.3</v>
      </c>
      <c r="F48">
        <v>39</v>
      </c>
      <c r="G48">
        <v>6</v>
      </c>
      <c r="H48">
        <v>0</v>
      </c>
      <c r="I48">
        <v>9</v>
      </c>
      <c r="J48">
        <v>2.2898325994127529</v>
      </c>
      <c r="K48">
        <v>2.7674021846021489E-2</v>
      </c>
      <c r="L48">
        <v>-0.62850082609560332</v>
      </c>
    </row>
    <row r="49" spans="1:12" x14ac:dyDescent="0.25">
      <c r="A49">
        <v>24</v>
      </c>
      <c r="B49">
        <v>28</v>
      </c>
      <c r="C49" t="s">
        <v>23</v>
      </c>
      <c r="D49">
        <v>0.47</v>
      </c>
      <c r="E49">
        <v>7.0000000000000007E-2</v>
      </c>
      <c r="F49">
        <v>39</v>
      </c>
      <c r="G49">
        <v>0.5</v>
      </c>
      <c r="H49">
        <v>0</v>
      </c>
      <c r="I49">
        <v>9</v>
      </c>
      <c r="J49">
        <v>2.676427713599316</v>
      </c>
      <c r="K49">
        <v>1.0921856662474271E-2</v>
      </c>
      <c r="L49">
        <v>-0.92500420122394134</v>
      </c>
    </row>
    <row r="50" spans="1:12" x14ac:dyDescent="0.25">
      <c r="A50">
        <v>26</v>
      </c>
      <c r="B50">
        <v>30</v>
      </c>
      <c r="C50" t="s">
        <v>12</v>
      </c>
      <c r="D50">
        <v>28.45</v>
      </c>
      <c r="E50">
        <v>1.62</v>
      </c>
      <c r="F50">
        <v>42</v>
      </c>
      <c r="G50">
        <v>27.6</v>
      </c>
      <c r="H50">
        <v>1.505545305418162</v>
      </c>
      <c r="I50">
        <v>10</v>
      </c>
      <c r="J50">
        <v>-1.5807221515303</v>
      </c>
      <c r="K50">
        <v>0.13564335892995591</v>
      </c>
      <c r="L50">
        <v>0.46091255775928958</v>
      </c>
    </row>
    <row r="51" spans="1:12" x14ac:dyDescent="0.25">
      <c r="A51">
        <v>26</v>
      </c>
      <c r="B51">
        <v>30</v>
      </c>
      <c r="C51" t="s">
        <v>13</v>
      </c>
      <c r="D51">
        <v>7.09</v>
      </c>
      <c r="E51">
        <v>2.0299999999999998</v>
      </c>
      <c r="F51">
        <v>42</v>
      </c>
      <c r="G51">
        <v>8.4</v>
      </c>
      <c r="H51">
        <v>2.270584848790187</v>
      </c>
      <c r="I51">
        <v>10</v>
      </c>
      <c r="J51">
        <v>1.6722571554063601</v>
      </c>
      <c r="K51">
        <v>0.11900669266506191</v>
      </c>
      <c r="L51">
        <v>-0.58351265889760495</v>
      </c>
    </row>
    <row r="52" spans="1:12" x14ac:dyDescent="0.25">
      <c r="A52">
        <v>26</v>
      </c>
      <c r="B52">
        <v>30</v>
      </c>
      <c r="C52" t="s">
        <v>14</v>
      </c>
      <c r="D52">
        <v>9.7200000000000006</v>
      </c>
      <c r="E52">
        <v>1.8</v>
      </c>
      <c r="F52">
        <v>42</v>
      </c>
      <c r="G52">
        <v>10.6</v>
      </c>
      <c r="H52">
        <v>1.410279720087078</v>
      </c>
      <c r="I52">
        <v>10</v>
      </c>
      <c r="J52">
        <v>1.674955047331357</v>
      </c>
      <c r="K52">
        <v>0.1124750386029941</v>
      </c>
      <c r="L52">
        <v>-0.48094336090187623</v>
      </c>
    </row>
    <row r="53" spans="1:12" x14ac:dyDescent="0.25">
      <c r="A53">
        <v>26</v>
      </c>
      <c r="B53">
        <v>30</v>
      </c>
      <c r="C53" t="s">
        <v>15</v>
      </c>
      <c r="D53">
        <v>10.71</v>
      </c>
      <c r="E53">
        <v>1.32</v>
      </c>
      <c r="F53">
        <v>42</v>
      </c>
      <c r="G53">
        <v>11.85</v>
      </c>
      <c r="H53">
        <v>0.47434164902525688</v>
      </c>
      <c r="I53">
        <v>10</v>
      </c>
      <c r="J53">
        <v>4.5067486791551037</v>
      </c>
      <c r="K53">
        <v>5.252313704328814E-5</v>
      </c>
      <c r="L53">
        <v>-4.0249688857335011</v>
      </c>
    </row>
    <row r="54" spans="1:12" x14ac:dyDescent="0.25">
      <c r="A54">
        <v>26</v>
      </c>
      <c r="B54">
        <v>30</v>
      </c>
      <c r="C54" t="s">
        <v>16</v>
      </c>
      <c r="D54">
        <v>27.52</v>
      </c>
      <c r="E54">
        <v>4.54</v>
      </c>
      <c r="F54">
        <v>42</v>
      </c>
      <c r="G54">
        <v>30.85</v>
      </c>
      <c r="H54">
        <v>3.4322813922456241</v>
      </c>
      <c r="I54">
        <v>10</v>
      </c>
      <c r="J54">
        <v>2.5777515416012879</v>
      </c>
      <c r="K54">
        <v>1.931378354414244E-2</v>
      </c>
      <c r="L54">
        <v>-1.3087612642696449</v>
      </c>
    </row>
    <row r="55" spans="1:12" x14ac:dyDescent="0.25">
      <c r="A55">
        <v>26</v>
      </c>
      <c r="B55">
        <v>30</v>
      </c>
      <c r="C55" t="s">
        <v>17</v>
      </c>
      <c r="D55">
        <v>3.66</v>
      </c>
      <c r="E55">
        <v>1.7</v>
      </c>
      <c r="F55">
        <v>42</v>
      </c>
      <c r="G55">
        <v>3.45</v>
      </c>
      <c r="H55">
        <v>2.06087899261995</v>
      </c>
      <c r="I55">
        <v>10</v>
      </c>
      <c r="J55">
        <v>-0.29892466276338142</v>
      </c>
      <c r="K55">
        <v>0.77007651777350539</v>
      </c>
      <c r="L55">
        <v>1.3459075080913969E-2</v>
      </c>
    </row>
    <row r="56" spans="1:12" x14ac:dyDescent="0.25">
      <c r="A56">
        <v>26</v>
      </c>
      <c r="B56">
        <v>30</v>
      </c>
      <c r="C56" t="s">
        <v>18</v>
      </c>
      <c r="D56">
        <v>10.35</v>
      </c>
      <c r="E56">
        <v>1.52</v>
      </c>
      <c r="F56">
        <v>42</v>
      </c>
      <c r="G56">
        <v>11.7</v>
      </c>
      <c r="H56">
        <v>0.48304589153964789</v>
      </c>
      <c r="I56">
        <v>10</v>
      </c>
      <c r="J56">
        <v>4.8231866128986374</v>
      </c>
      <c r="K56">
        <v>1.606426489127096E-5</v>
      </c>
      <c r="L56">
        <v>-4.6508519274112512</v>
      </c>
    </row>
    <row r="57" spans="1:12" x14ac:dyDescent="0.25">
      <c r="A57">
        <v>26</v>
      </c>
      <c r="B57">
        <v>30</v>
      </c>
      <c r="C57" t="s">
        <v>19</v>
      </c>
      <c r="D57">
        <v>96.67</v>
      </c>
      <c r="E57">
        <v>6.31</v>
      </c>
      <c r="F57">
        <v>42</v>
      </c>
      <c r="G57">
        <v>98.749999998999982</v>
      </c>
      <c r="H57">
        <v>2.012691216358685</v>
      </c>
      <c r="I57">
        <v>10</v>
      </c>
      <c r="J57">
        <v>1.7881304312865309</v>
      </c>
      <c r="K57">
        <v>8.040102263097261E-2</v>
      </c>
      <c r="L57">
        <v>-0.39413149807884079</v>
      </c>
    </row>
    <row r="58" spans="1:12" x14ac:dyDescent="0.25">
      <c r="A58">
        <v>26</v>
      </c>
      <c r="B58">
        <v>30</v>
      </c>
      <c r="C58" t="s">
        <v>20</v>
      </c>
      <c r="D58">
        <v>5.97</v>
      </c>
      <c r="E58">
        <v>0.15</v>
      </c>
      <c r="F58">
        <v>42</v>
      </c>
      <c r="G58">
        <v>5.9</v>
      </c>
      <c r="H58">
        <v>0.31622776601683789</v>
      </c>
      <c r="I58">
        <v>10</v>
      </c>
      <c r="J58">
        <v>-0.68197122062643079</v>
      </c>
      <c r="K58">
        <v>0.51076779103737802</v>
      </c>
      <c r="L58">
        <v>0.10697925762048791</v>
      </c>
    </row>
    <row r="59" spans="1:12" x14ac:dyDescent="0.25">
      <c r="A59">
        <v>26</v>
      </c>
      <c r="B59">
        <v>30</v>
      </c>
      <c r="C59" t="s">
        <v>21</v>
      </c>
      <c r="D59">
        <v>0</v>
      </c>
      <c r="E59">
        <v>0</v>
      </c>
      <c r="F59">
        <v>42</v>
      </c>
      <c r="G59">
        <v>0</v>
      </c>
      <c r="H59">
        <v>0</v>
      </c>
      <c r="I59">
        <v>10</v>
      </c>
    </row>
    <row r="60" spans="1:12" x14ac:dyDescent="0.25">
      <c r="A60">
        <v>26</v>
      </c>
      <c r="B60">
        <v>30</v>
      </c>
      <c r="C60" t="s">
        <v>22</v>
      </c>
      <c r="D60">
        <v>5.97</v>
      </c>
      <c r="E60">
        <v>0.15</v>
      </c>
      <c r="F60">
        <v>42</v>
      </c>
      <c r="G60">
        <v>5.9</v>
      </c>
      <c r="H60">
        <v>0.31622776601683789</v>
      </c>
      <c r="I60">
        <v>10</v>
      </c>
      <c r="J60">
        <v>-0.68197122062643079</v>
      </c>
      <c r="K60">
        <v>0.51076779103737802</v>
      </c>
      <c r="L60">
        <v>0.10697925762048791</v>
      </c>
    </row>
    <row r="61" spans="1:12" x14ac:dyDescent="0.25">
      <c r="A61">
        <v>26</v>
      </c>
      <c r="B61">
        <v>30</v>
      </c>
      <c r="C61" t="s">
        <v>23</v>
      </c>
      <c r="D61">
        <v>0.49</v>
      </c>
      <c r="E61">
        <v>0.03</v>
      </c>
      <c r="F61">
        <v>42</v>
      </c>
      <c r="G61">
        <v>0.47499999999999998</v>
      </c>
      <c r="H61">
        <v>7.9056941504209485E-2</v>
      </c>
      <c r="I61">
        <v>10</v>
      </c>
      <c r="J61">
        <v>-0.58997143858202328</v>
      </c>
      <c r="K61">
        <v>0.56879987456647707</v>
      </c>
      <c r="L61">
        <v>8.5157463260577659E-2</v>
      </c>
    </row>
    <row r="62" spans="1:12" x14ac:dyDescent="0.25">
      <c r="A62">
        <v>28</v>
      </c>
      <c r="B62">
        <v>32</v>
      </c>
      <c r="C62" t="s">
        <v>12</v>
      </c>
      <c r="D62">
        <v>30.02</v>
      </c>
      <c r="E62">
        <v>1.1399999999999999</v>
      </c>
      <c r="F62">
        <v>40</v>
      </c>
      <c r="G62">
        <v>30.083333333333329</v>
      </c>
      <c r="H62">
        <v>1.6213537179739279</v>
      </c>
      <c r="I62">
        <v>12</v>
      </c>
      <c r="J62">
        <v>0.12627439676871491</v>
      </c>
      <c r="K62">
        <v>0.90125907894677337</v>
      </c>
      <c r="L62">
        <v>-2.266308357215841E-3</v>
      </c>
    </row>
    <row r="63" spans="1:12" x14ac:dyDescent="0.25">
      <c r="A63">
        <v>28</v>
      </c>
      <c r="B63">
        <v>32</v>
      </c>
      <c r="C63" t="s">
        <v>13</v>
      </c>
      <c r="D63">
        <v>6.99</v>
      </c>
      <c r="E63">
        <v>2.0299999999999998</v>
      </c>
      <c r="F63">
        <v>40</v>
      </c>
      <c r="G63">
        <v>8.25</v>
      </c>
      <c r="H63">
        <v>2.4167972796469899</v>
      </c>
      <c r="I63">
        <v>12</v>
      </c>
      <c r="J63">
        <v>1.640707167261737</v>
      </c>
      <c r="K63">
        <v>0.12042976874749491</v>
      </c>
      <c r="L63">
        <v>-0.54605858592735412</v>
      </c>
    </row>
    <row r="64" spans="1:12" x14ac:dyDescent="0.25">
      <c r="A64">
        <v>28</v>
      </c>
      <c r="B64">
        <v>32</v>
      </c>
      <c r="C64" t="s">
        <v>14</v>
      </c>
      <c r="D64">
        <v>9.61</v>
      </c>
      <c r="E64">
        <v>1.82</v>
      </c>
      <c r="F64">
        <v>40</v>
      </c>
      <c r="G64">
        <v>10.66666666666667</v>
      </c>
      <c r="H64">
        <v>1.403458930534474</v>
      </c>
      <c r="I64">
        <v>12</v>
      </c>
      <c r="J64">
        <v>2.1263377463753632</v>
      </c>
      <c r="K64">
        <v>4.4313300201884613E-2</v>
      </c>
      <c r="L64">
        <v>-0.82337426453935281</v>
      </c>
    </row>
    <row r="65" spans="1:12" x14ac:dyDescent="0.25">
      <c r="A65">
        <v>28</v>
      </c>
      <c r="B65">
        <v>32</v>
      </c>
      <c r="C65" t="s">
        <v>15</v>
      </c>
      <c r="D65">
        <v>10.61</v>
      </c>
      <c r="E65">
        <v>1.36</v>
      </c>
      <c r="F65">
        <v>40</v>
      </c>
      <c r="G65">
        <v>11.91666666666667</v>
      </c>
      <c r="H65">
        <v>0.28867513459481292</v>
      </c>
      <c r="I65">
        <v>12</v>
      </c>
      <c r="J65">
        <v>5.6659468829261348</v>
      </c>
      <c r="K65">
        <v>8.1952811577978242E-7</v>
      </c>
      <c r="L65">
        <v>-6.5796016895243614</v>
      </c>
    </row>
    <row r="66" spans="1:12" x14ac:dyDescent="0.25">
      <c r="A66">
        <v>28</v>
      </c>
      <c r="B66">
        <v>32</v>
      </c>
      <c r="C66" t="s">
        <v>16</v>
      </c>
      <c r="D66">
        <v>27.22</v>
      </c>
      <c r="E66">
        <v>4.59</v>
      </c>
      <c r="F66">
        <v>40</v>
      </c>
      <c r="G66">
        <v>30.833333333333329</v>
      </c>
      <c r="H66">
        <v>3.2844906435973891</v>
      </c>
      <c r="I66">
        <v>12</v>
      </c>
      <c r="J66">
        <v>3.0261824645469471</v>
      </c>
      <c r="K66">
        <v>5.635528419808097E-3</v>
      </c>
      <c r="L66">
        <v>-1.873944291481201</v>
      </c>
    </row>
    <row r="67" spans="1:12" x14ac:dyDescent="0.25">
      <c r="A67">
        <v>28</v>
      </c>
      <c r="B67">
        <v>32</v>
      </c>
      <c r="C67" t="s">
        <v>17</v>
      </c>
      <c r="D67">
        <v>3.66</v>
      </c>
      <c r="E67">
        <v>1.71</v>
      </c>
      <c r="F67">
        <v>40</v>
      </c>
      <c r="G67">
        <v>3.666666666666667</v>
      </c>
      <c r="H67">
        <v>2.3868325657594198</v>
      </c>
      <c r="I67">
        <v>12</v>
      </c>
      <c r="J67">
        <v>9.0069534447074946E-3</v>
      </c>
      <c r="K67">
        <v>0.99293591353827759</v>
      </c>
      <c r="L67">
        <v>-1.091807811737168E-5</v>
      </c>
    </row>
    <row r="68" spans="1:12" x14ac:dyDescent="0.25">
      <c r="A68">
        <v>28</v>
      </c>
      <c r="B68">
        <v>32</v>
      </c>
      <c r="C68" t="s">
        <v>18</v>
      </c>
      <c r="D68">
        <v>10.24</v>
      </c>
      <c r="E68">
        <v>1.56</v>
      </c>
      <c r="F68">
        <v>40</v>
      </c>
      <c r="G68">
        <v>11.75</v>
      </c>
      <c r="H68">
        <v>0.58387420812114221</v>
      </c>
      <c r="I68">
        <v>12</v>
      </c>
      <c r="J68">
        <v>5.0544632910600802</v>
      </c>
      <c r="K68">
        <v>6.8926947554261294E-6</v>
      </c>
      <c r="L68">
        <v>-5.548502433900981</v>
      </c>
    </row>
    <row r="69" spans="1:12" x14ac:dyDescent="0.25">
      <c r="A69">
        <v>28</v>
      </c>
      <c r="B69">
        <v>32</v>
      </c>
      <c r="C69" t="s">
        <v>19</v>
      </c>
      <c r="D69">
        <v>96.33</v>
      </c>
      <c r="E69">
        <v>5.36</v>
      </c>
      <c r="F69">
        <v>40</v>
      </c>
      <c r="G69">
        <v>98.547979797499991</v>
      </c>
      <c r="H69">
        <v>2.8930402118124898</v>
      </c>
      <c r="I69">
        <v>12</v>
      </c>
      <c r="J69">
        <v>1.8641029922794969</v>
      </c>
      <c r="K69">
        <v>7.0740323853933251E-2</v>
      </c>
      <c r="L69">
        <v>-0.51810947448014999</v>
      </c>
    </row>
    <row r="70" spans="1:12" x14ac:dyDescent="0.25">
      <c r="A70">
        <v>28</v>
      </c>
      <c r="B70">
        <v>32</v>
      </c>
      <c r="C70" t="s">
        <v>20</v>
      </c>
      <c r="D70">
        <v>5.97</v>
      </c>
      <c r="E70">
        <v>0.15</v>
      </c>
      <c r="F70">
        <v>40</v>
      </c>
      <c r="G70">
        <v>5.916666666666667</v>
      </c>
      <c r="H70">
        <v>0.28867513459481292</v>
      </c>
      <c r="I70">
        <v>12</v>
      </c>
      <c r="J70">
        <v>-0.61555537373282021</v>
      </c>
      <c r="K70">
        <v>0.54895186757045233</v>
      </c>
      <c r="L70">
        <v>7.3333587909530026E-2</v>
      </c>
    </row>
    <row r="71" spans="1:12" x14ac:dyDescent="0.25">
      <c r="A71">
        <v>28</v>
      </c>
      <c r="B71">
        <v>32</v>
      </c>
      <c r="C71" t="s">
        <v>21</v>
      </c>
      <c r="D71">
        <v>0</v>
      </c>
      <c r="E71">
        <v>0</v>
      </c>
      <c r="F71">
        <v>40</v>
      </c>
      <c r="G71">
        <v>0</v>
      </c>
      <c r="H71">
        <v>0</v>
      </c>
      <c r="I71">
        <v>12</v>
      </c>
    </row>
    <row r="72" spans="1:12" x14ac:dyDescent="0.25">
      <c r="A72">
        <v>28</v>
      </c>
      <c r="B72">
        <v>32</v>
      </c>
      <c r="C72" t="s">
        <v>22</v>
      </c>
      <c r="D72">
        <v>5.97</v>
      </c>
      <c r="E72">
        <v>0.15</v>
      </c>
      <c r="F72">
        <v>40</v>
      </c>
      <c r="G72">
        <v>5.916666666666667</v>
      </c>
      <c r="H72">
        <v>0.28867513459481292</v>
      </c>
      <c r="I72">
        <v>12</v>
      </c>
      <c r="J72">
        <v>-0.61555537373282021</v>
      </c>
      <c r="K72">
        <v>0.54895186757045233</v>
      </c>
      <c r="L72">
        <v>7.3333587909530026E-2</v>
      </c>
    </row>
    <row r="73" spans="1:12" x14ac:dyDescent="0.25">
      <c r="A73">
        <v>28</v>
      </c>
      <c r="B73">
        <v>32</v>
      </c>
      <c r="C73" t="s">
        <v>23</v>
      </c>
      <c r="D73">
        <v>0.49</v>
      </c>
      <c r="E73">
        <v>0.04</v>
      </c>
      <c r="F73">
        <v>40</v>
      </c>
      <c r="G73">
        <v>0.47916666666666669</v>
      </c>
      <c r="H73">
        <v>7.2168783648703216E-2</v>
      </c>
      <c r="I73">
        <v>12</v>
      </c>
      <c r="J73">
        <v>-0.49757690034310581</v>
      </c>
      <c r="K73">
        <v>0.62703610234575735</v>
      </c>
      <c r="L73">
        <v>4.4883309141489143E-2</v>
      </c>
    </row>
    <row r="74" spans="1:12" x14ac:dyDescent="0.25">
      <c r="A74">
        <v>30</v>
      </c>
      <c r="B74">
        <v>34</v>
      </c>
      <c r="C74" t="s">
        <v>12</v>
      </c>
      <c r="D74">
        <v>31.69</v>
      </c>
      <c r="E74">
        <v>1.61</v>
      </c>
      <c r="F74">
        <v>42</v>
      </c>
      <c r="G74">
        <v>31.9</v>
      </c>
      <c r="H74">
        <v>1.1972189997378651</v>
      </c>
      <c r="I74">
        <v>10</v>
      </c>
      <c r="J74">
        <v>0.46375585737007852</v>
      </c>
      <c r="K74">
        <v>0.64847535555137126</v>
      </c>
      <c r="L74">
        <v>-2.5586658378205181E-2</v>
      </c>
    </row>
    <row r="75" spans="1:12" x14ac:dyDescent="0.25">
      <c r="A75">
        <v>30</v>
      </c>
      <c r="B75">
        <v>34</v>
      </c>
      <c r="C75" t="s">
        <v>13</v>
      </c>
      <c r="D75">
        <v>6.89</v>
      </c>
      <c r="E75">
        <v>2.0299999999999998</v>
      </c>
      <c r="F75">
        <v>42</v>
      </c>
      <c r="G75">
        <v>8.35</v>
      </c>
      <c r="H75">
        <v>2.0689503511576972</v>
      </c>
      <c r="I75">
        <v>10</v>
      </c>
      <c r="J75">
        <v>2.0127456526713852</v>
      </c>
      <c r="K75">
        <v>6.4617097405940044E-2</v>
      </c>
      <c r="L75">
        <v>-0.85264429624932647</v>
      </c>
    </row>
    <row r="76" spans="1:12" x14ac:dyDescent="0.25">
      <c r="A76">
        <v>30</v>
      </c>
      <c r="B76">
        <v>34</v>
      </c>
      <c r="C76" t="s">
        <v>14</v>
      </c>
      <c r="D76">
        <v>9.51</v>
      </c>
      <c r="E76">
        <v>1.83</v>
      </c>
      <c r="F76">
        <v>42</v>
      </c>
      <c r="G76">
        <v>11</v>
      </c>
      <c r="H76">
        <v>1.545603082582617</v>
      </c>
      <c r="I76">
        <v>10</v>
      </c>
      <c r="J76">
        <v>2.6396516318437251</v>
      </c>
      <c r="K76">
        <v>1.8100712879042111E-2</v>
      </c>
      <c r="L76">
        <v>-1.456677240763413</v>
      </c>
    </row>
    <row r="77" spans="1:12" x14ac:dyDescent="0.25">
      <c r="A77">
        <v>30</v>
      </c>
      <c r="B77">
        <v>34</v>
      </c>
      <c r="C77" t="s">
        <v>15</v>
      </c>
      <c r="D77">
        <v>10.51</v>
      </c>
      <c r="E77">
        <v>1.4</v>
      </c>
      <c r="F77">
        <v>42</v>
      </c>
      <c r="G77">
        <v>11.9</v>
      </c>
      <c r="H77">
        <v>0.31622776601683789</v>
      </c>
      <c r="I77">
        <v>10</v>
      </c>
      <c r="J77">
        <v>5.8391679503968037</v>
      </c>
      <c r="K77">
        <v>3.8886742039165398E-7</v>
      </c>
      <c r="L77">
        <v>-6.9892868941782504</v>
      </c>
    </row>
    <row r="78" spans="1:12" x14ac:dyDescent="0.25">
      <c r="A78">
        <v>30</v>
      </c>
      <c r="B78">
        <v>34</v>
      </c>
      <c r="C78" t="s">
        <v>16</v>
      </c>
      <c r="D78">
        <v>26.92</v>
      </c>
      <c r="E78">
        <v>4.6399999999999997</v>
      </c>
      <c r="F78">
        <v>42</v>
      </c>
      <c r="G78">
        <v>31.25</v>
      </c>
      <c r="H78">
        <v>3.1993923034087439</v>
      </c>
      <c r="I78">
        <v>10</v>
      </c>
      <c r="J78">
        <v>3.493502828114678</v>
      </c>
      <c r="K78">
        <v>2.399036165892994E-3</v>
      </c>
      <c r="L78">
        <v>-2.569222590201091</v>
      </c>
    </row>
    <row r="79" spans="1:12" x14ac:dyDescent="0.25">
      <c r="A79">
        <v>30</v>
      </c>
      <c r="B79">
        <v>34</v>
      </c>
      <c r="C79" t="s">
        <v>17</v>
      </c>
      <c r="D79">
        <v>3.67</v>
      </c>
      <c r="E79">
        <v>1.71</v>
      </c>
      <c r="F79">
        <v>42</v>
      </c>
      <c r="G79">
        <v>3.55</v>
      </c>
      <c r="H79">
        <v>2.0200385034834252</v>
      </c>
      <c r="I79">
        <v>10</v>
      </c>
      <c r="J79">
        <v>-0.1736257312894525</v>
      </c>
      <c r="K79">
        <v>0.86499464695351991</v>
      </c>
      <c r="L79">
        <v>4.2707114988802903E-3</v>
      </c>
    </row>
    <row r="80" spans="1:12" x14ac:dyDescent="0.25">
      <c r="A80">
        <v>30</v>
      </c>
      <c r="B80">
        <v>34</v>
      </c>
      <c r="C80" t="s">
        <v>18</v>
      </c>
      <c r="D80">
        <v>10.130000000000001</v>
      </c>
      <c r="E80">
        <v>1.6</v>
      </c>
      <c r="F80">
        <v>42</v>
      </c>
      <c r="G80">
        <v>11.8</v>
      </c>
      <c r="H80">
        <v>0.63245553203367588</v>
      </c>
      <c r="I80">
        <v>10</v>
      </c>
      <c r="J80">
        <v>5.2560342680023586</v>
      </c>
      <c r="K80">
        <v>5.9632282661906982E-6</v>
      </c>
      <c r="L80">
        <v>-5.9212422979370158</v>
      </c>
    </row>
    <row r="81" spans="1:12" x14ac:dyDescent="0.25">
      <c r="A81">
        <v>30</v>
      </c>
      <c r="B81">
        <v>34</v>
      </c>
      <c r="C81" t="s">
        <v>19</v>
      </c>
      <c r="D81">
        <v>96.2</v>
      </c>
      <c r="E81">
        <v>4.74</v>
      </c>
      <c r="F81">
        <v>42</v>
      </c>
      <c r="G81">
        <v>99.090909091</v>
      </c>
      <c r="H81">
        <v>2.8747978725928638</v>
      </c>
      <c r="I81">
        <v>10</v>
      </c>
      <c r="J81">
        <v>2.4776690408453979</v>
      </c>
      <c r="K81">
        <v>2.1239864160035541E-2</v>
      </c>
      <c r="L81">
        <v>-1.0837873158007481</v>
      </c>
    </row>
    <row r="82" spans="1:12" x14ac:dyDescent="0.25">
      <c r="A82">
        <v>30</v>
      </c>
      <c r="B82">
        <v>34</v>
      </c>
      <c r="C82" t="s">
        <v>20</v>
      </c>
      <c r="D82">
        <v>5.97</v>
      </c>
      <c r="E82">
        <v>0.15</v>
      </c>
      <c r="F82">
        <v>42</v>
      </c>
      <c r="G82">
        <v>6</v>
      </c>
      <c r="H82">
        <v>0</v>
      </c>
      <c r="I82">
        <v>10</v>
      </c>
      <c r="J82">
        <v>1.296148139681583</v>
      </c>
      <c r="K82">
        <v>0.20217331776410891</v>
      </c>
      <c r="L82">
        <v>-0.1533399521438315</v>
      </c>
    </row>
    <row r="83" spans="1:12" x14ac:dyDescent="0.25">
      <c r="A83">
        <v>30</v>
      </c>
      <c r="B83">
        <v>34</v>
      </c>
      <c r="C83" t="s">
        <v>21</v>
      </c>
      <c r="D83">
        <v>0</v>
      </c>
      <c r="E83">
        <v>0</v>
      </c>
      <c r="F83">
        <v>42</v>
      </c>
      <c r="G83">
        <v>0</v>
      </c>
      <c r="H83">
        <v>0</v>
      </c>
      <c r="I83">
        <v>10</v>
      </c>
    </row>
    <row r="84" spans="1:12" x14ac:dyDescent="0.25">
      <c r="A84">
        <v>30</v>
      </c>
      <c r="B84">
        <v>34</v>
      </c>
      <c r="C84" t="s">
        <v>22</v>
      </c>
      <c r="D84">
        <v>5.97</v>
      </c>
      <c r="E84">
        <v>0.15</v>
      </c>
      <c r="F84">
        <v>42</v>
      </c>
      <c r="G84">
        <v>6</v>
      </c>
      <c r="H84">
        <v>0</v>
      </c>
      <c r="I84">
        <v>10</v>
      </c>
      <c r="J84">
        <v>1.296148139681583</v>
      </c>
      <c r="K84">
        <v>0.20217331776410891</v>
      </c>
      <c r="L84">
        <v>-0.1533399521438315</v>
      </c>
    </row>
    <row r="85" spans="1:12" x14ac:dyDescent="0.25">
      <c r="A85">
        <v>30</v>
      </c>
      <c r="B85">
        <v>34</v>
      </c>
      <c r="C85" t="s">
        <v>23</v>
      </c>
      <c r="D85">
        <v>0.49</v>
      </c>
      <c r="E85">
        <v>0.03</v>
      </c>
      <c r="F85">
        <v>42</v>
      </c>
      <c r="G85">
        <v>0.5</v>
      </c>
      <c r="H85">
        <v>0</v>
      </c>
      <c r="I85">
        <v>10</v>
      </c>
      <c r="J85">
        <v>2.1602468994692892</v>
      </c>
      <c r="K85">
        <v>3.6650531553228061E-2</v>
      </c>
      <c r="L85">
        <v>-0.52856935417415818</v>
      </c>
    </row>
    <row r="86" spans="1:12" x14ac:dyDescent="0.25">
      <c r="A86">
        <v>32</v>
      </c>
      <c r="B86">
        <v>36</v>
      </c>
      <c r="C86" t="s">
        <v>12</v>
      </c>
      <c r="D86">
        <v>34.18</v>
      </c>
      <c r="E86">
        <v>1.41</v>
      </c>
      <c r="F86">
        <v>37</v>
      </c>
      <c r="G86">
        <v>33.555555555555557</v>
      </c>
      <c r="H86">
        <v>1.509230856356236</v>
      </c>
      <c r="I86">
        <v>9</v>
      </c>
      <c r="J86">
        <v>-1.127334468049868</v>
      </c>
      <c r="K86">
        <v>0.28230213708705781</v>
      </c>
      <c r="L86">
        <v>0.24010174369421669</v>
      </c>
    </row>
    <row r="87" spans="1:12" x14ac:dyDescent="0.25">
      <c r="A87">
        <v>32</v>
      </c>
      <c r="B87">
        <v>36</v>
      </c>
      <c r="C87" t="s">
        <v>13</v>
      </c>
      <c r="D87">
        <v>6.79</v>
      </c>
      <c r="E87">
        <v>2.0299999999999998</v>
      </c>
      <c r="F87">
        <v>37</v>
      </c>
      <c r="G87">
        <v>7.333333333333333</v>
      </c>
      <c r="H87">
        <v>1.7853571071357131</v>
      </c>
      <c r="I87">
        <v>9</v>
      </c>
      <c r="J87">
        <v>0.79631840953291655</v>
      </c>
      <c r="K87">
        <v>0.43960106937503263</v>
      </c>
      <c r="L87">
        <v>-9.756613358452032E-2</v>
      </c>
    </row>
    <row r="88" spans="1:12" x14ac:dyDescent="0.25">
      <c r="A88">
        <v>32</v>
      </c>
      <c r="B88">
        <v>36</v>
      </c>
      <c r="C88" t="s">
        <v>14</v>
      </c>
      <c r="D88">
        <v>9.4</v>
      </c>
      <c r="E88">
        <v>1.85</v>
      </c>
      <c r="F88">
        <v>37</v>
      </c>
      <c r="G88">
        <v>11</v>
      </c>
      <c r="H88">
        <v>1.5206906325745551</v>
      </c>
      <c r="I88">
        <v>9</v>
      </c>
      <c r="J88">
        <v>2.7066425972860841</v>
      </c>
      <c r="K88">
        <v>1.6715681125930141E-2</v>
      </c>
      <c r="L88">
        <v>-1.584175069106055</v>
      </c>
    </row>
    <row r="89" spans="1:12" x14ac:dyDescent="0.25">
      <c r="A89">
        <v>32</v>
      </c>
      <c r="B89">
        <v>36</v>
      </c>
      <c r="C89" t="s">
        <v>15</v>
      </c>
      <c r="D89">
        <v>10.41</v>
      </c>
      <c r="E89">
        <v>1.44</v>
      </c>
      <c r="F89">
        <v>37</v>
      </c>
      <c r="G89">
        <v>11.33333333333333</v>
      </c>
      <c r="H89">
        <v>1.6583123951776999</v>
      </c>
      <c r="I89">
        <v>9</v>
      </c>
      <c r="J89">
        <v>1.53548304329105</v>
      </c>
      <c r="K89">
        <v>0.15261279312417411</v>
      </c>
      <c r="L89">
        <v>-0.5086190674055151</v>
      </c>
    </row>
    <row r="90" spans="1:12" x14ac:dyDescent="0.25">
      <c r="A90">
        <v>32</v>
      </c>
      <c r="B90">
        <v>36</v>
      </c>
      <c r="C90" t="s">
        <v>16</v>
      </c>
      <c r="D90">
        <v>26.61</v>
      </c>
      <c r="E90">
        <v>4.7</v>
      </c>
      <c r="F90">
        <v>37</v>
      </c>
      <c r="G90">
        <v>29.666666666666671</v>
      </c>
      <c r="H90">
        <v>3.8078865529319539</v>
      </c>
      <c r="I90">
        <v>9</v>
      </c>
      <c r="J90">
        <v>2.0570031727587739</v>
      </c>
      <c r="K90">
        <v>5.8033749648735491E-2</v>
      </c>
      <c r="L90">
        <v>-0.83040260792389553</v>
      </c>
    </row>
    <row r="91" spans="1:12" x14ac:dyDescent="0.25">
      <c r="A91">
        <v>32</v>
      </c>
      <c r="B91">
        <v>36</v>
      </c>
      <c r="C91" t="s">
        <v>17</v>
      </c>
      <c r="D91">
        <v>3.67</v>
      </c>
      <c r="E91">
        <v>1.72</v>
      </c>
      <c r="F91">
        <v>37</v>
      </c>
      <c r="G91">
        <v>4.166666666666667</v>
      </c>
      <c r="H91">
        <v>2.046338192968113</v>
      </c>
      <c r="I91">
        <v>9</v>
      </c>
      <c r="J91">
        <v>0.67262551227682255</v>
      </c>
      <c r="K91">
        <v>0.51517376716119734</v>
      </c>
      <c r="L91">
        <v>-8.0202120619496609E-2</v>
      </c>
    </row>
    <row r="92" spans="1:12" x14ac:dyDescent="0.25">
      <c r="A92">
        <v>32</v>
      </c>
      <c r="B92">
        <v>36</v>
      </c>
      <c r="C92" t="s">
        <v>18</v>
      </c>
      <c r="D92">
        <v>10.02</v>
      </c>
      <c r="E92">
        <v>1.64</v>
      </c>
      <c r="F92">
        <v>37</v>
      </c>
      <c r="G92">
        <v>11.22222222222222</v>
      </c>
      <c r="H92">
        <v>1.715938356831167</v>
      </c>
      <c r="I92">
        <v>9</v>
      </c>
      <c r="J92">
        <v>1.901231081390828</v>
      </c>
      <c r="K92">
        <v>8.1922419175973954E-2</v>
      </c>
      <c r="L92">
        <v>-0.78976963097813602</v>
      </c>
    </row>
    <row r="93" spans="1:12" x14ac:dyDescent="0.25">
      <c r="A93">
        <v>32</v>
      </c>
      <c r="B93">
        <v>36</v>
      </c>
      <c r="C93" t="s">
        <v>19</v>
      </c>
      <c r="D93">
        <v>94.36</v>
      </c>
      <c r="E93">
        <v>8.52</v>
      </c>
      <c r="F93">
        <v>37</v>
      </c>
      <c r="G93">
        <v>97.029114676666666</v>
      </c>
      <c r="H93">
        <v>6.2712426663262644</v>
      </c>
      <c r="I93">
        <v>9</v>
      </c>
      <c r="J93">
        <v>1.060732539058356</v>
      </c>
      <c r="K93">
        <v>0.3044885802916194</v>
      </c>
      <c r="L93">
        <v>-0.16897691635930939</v>
      </c>
    </row>
    <row r="94" spans="1:12" x14ac:dyDescent="0.25">
      <c r="A94">
        <v>32</v>
      </c>
      <c r="B94">
        <v>36</v>
      </c>
      <c r="C94" t="s">
        <v>20</v>
      </c>
      <c r="D94">
        <v>5.86</v>
      </c>
      <c r="E94">
        <v>0.53</v>
      </c>
      <c r="F94">
        <v>37</v>
      </c>
      <c r="G94">
        <v>6</v>
      </c>
      <c r="H94">
        <v>0</v>
      </c>
      <c r="I94">
        <v>9</v>
      </c>
      <c r="J94">
        <v>1.6067674608334881</v>
      </c>
      <c r="K94">
        <v>0.11684242195795271</v>
      </c>
      <c r="L94">
        <v>-0.27228847670512452</v>
      </c>
    </row>
    <row r="95" spans="1:12" x14ac:dyDescent="0.25">
      <c r="A95">
        <v>32</v>
      </c>
      <c r="B95">
        <v>36</v>
      </c>
      <c r="C95" t="s">
        <v>21</v>
      </c>
      <c r="D95">
        <v>0</v>
      </c>
      <c r="E95">
        <v>0</v>
      </c>
      <c r="F95">
        <v>37</v>
      </c>
      <c r="G95">
        <v>0</v>
      </c>
      <c r="H95">
        <v>0</v>
      </c>
      <c r="I95">
        <v>9</v>
      </c>
    </row>
    <row r="96" spans="1:12" x14ac:dyDescent="0.25">
      <c r="A96">
        <v>32</v>
      </c>
      <c r="B96">
        <v>36</v>
      </c>
      <c r="C96" t="s">
        <v>22</v>
      </c>
      <c r="D96">
        <v>5.86</v>
      </c>
      <c r="E96">
        <v>0.53</v>
      </c>
      <c r="F96">
        <v>37</v>
      </c>
      <c r="G96">
        <v>6</v>
      </c>
      <c r="H96">
        <v>0</v>
      </c>
      <c r="I96">
        <v>9</v>
      </c>
      <c r="J96">
        <v>1.6067674608334881</v>
      </c>
      <c r="K96">
        <v>0.11684242195795271</v>
      </c>
      <c r="L96">
        <v>-0.27228847670512452</v>
      </c>
    </row>
    <row r="97" spans="1:12" x14ac:dyDescent="0.25">
      <c r="A97">
        <v>32</v>
      </c>
      <c r="B97">
        <v>36</v>
      </c>
      <c r="C97" t="s">
        <v>23</v>
      </c>
      <c r="D97">
        <v>0.47</v>
      </c>
      <c r="E97">
        <v>0.08</v>
      </c>
      <c r="F97">
        <v>37</v>
      </c>
      <c r="G97">
        <v>0.5</v>
      </c>
      <c r="H97">
        <v>0</v>
      </c>
      <c r="I97">
        <v>9</v>
      </c>
      <c r="J97">
        <v>2.2810359488618341</v>
      </c>
      <c r="K97">
        <v>2.8566289131110031E-2</v>
      </c>
      <c r="L97">
        <v>-0.64016918443389381</v>
      </c>
    </row>
    <row r="98" spans="1:12" x14ac:dyDescent="0.25">
      <c r="A98">
        <v>34</v>
      </c>
      <c r="B98">
        <v>38</v>
      </c>
      <c r="C98" t="s">
        <v>12</v>
      </c>
      <c r="D98">
        <v>36.15</v>
      </c>
      <c r="E98">
        <v>1.33</v>
      </c>
      <c r="F98">
        <v>51</v>
      </c>
      <c r="G98">
        <v>36.81818181818182</v>
      </c>
      <c r="H98">
        <v>1.5374122295716151</v>
      </c>
      <c r="I98">
        <v>11</v>
      </c>
      <c r="J98">
        <v>1.3375402616552681</v>
      </c>
      <c r="K98">
        <v>0.20327577523503501</v>
      </c>
      <c r="L98">
        <v>-0.33826411585271582</v>
      </c>
    </row>
    <row r="99" spans="1:12" x14ac:dyDescent="0.25">
      <c r="A99">
        <v>34</v>
      </c>
      <c r="B99">
        <v>38</v>
      </c>
      <c r="C99" t="s">
        <v>13</v>
      </c>
      <c r="D99">
        <v>6.69</v>
      </c>
      <c r="E99">
        <v>2.0299999999999998</v>
      </c>
      <c r="F99">
        <v>51</v>
      </c>
      <c r="G99">
        <v>7.7727272727272716</v>
      </c>
      <c r="H99">
        <v>1.6935707301975369</v>
      </c>
      <c r="I99">
        <v>11</v>
      </c>
      <c r="J99">
        <v>1.852655310386349</v>
      </c>
      <c r="K99">
        <v>8.1546479874309422E-2</v>
      </c>
      <c r="L99">
        <v>-0.5959085184762134</v>
      </c>
    </row>
    <row r="100" spans="1:12" x14ac:dyDescent="0.25">
      <c r="A100">
        <v>34</v>
      </c>
      <c r="B100">
        <v>38</v>
      </c>
      <c r="C100" t="s">
        <v>14</v>
      </c>
      <c r="D100">
        <v>9.2899999999999991</v>
      </c>
      <c r="E100">
        <v>1.86</v>
      </c>
      <c r="F100">
        <v>51</v>
      </c>
      <c r="G100">
        <v>10.90909090909091</v>
      </c>
      <c r="H100">
        <v>1.4459976109624419</v>
      </c>
      <c r="I100">
        <v>11</v>
      </c>
      <c r="J100">
        <v>3.1880891675059719</v>
      </c>
      <c r="K100">
        <v>5.106630218954627E-3</v>
      </c>
      <c r="L100">
        <v>-2.0642358502764582</v>
      </c>
    </row>
    <row r="101" spans="1:12" x14ac:dyDescent="0.25">
      <c r="A101">
        <v>34</v>
      </c>
      <c r="B101">
        <v>38</v>
      </c>
      <c r="C101" t="s">
        <v>15</v>
      </c>
      <c r="D101">
        <v>10.32</v>
      </c>
      <c r="E101">
        <v>1.48</v>
      </c>
      <c r="F101">
        <v>51</v>
      </c>
      <c r="G101">
        <v>11</v>
      </c>
      <c r="H101">
        <v>1.6733200530681509</v>
      </c>
      <c r="I101">
        <v>11</v>
      </c>
      <c r="J101">
        <v>1.246721534486217</v>
      </c>
      <c r="K101">
        <v>0.23357267346606411</v>
      </c>
      <c r="L101">
        <v>-0.28367990833278778</v>
      </c>
    </row>
    <row r="102" spans="1:12" x14ac:dyDescent="0.25">
      <c r="A102">
        <v>34</v>
      </c>
      <c r="B102">
        <v>38</v>
      </c>
      <c r="C102" t="s">
        <v>16</v>
      </c>
      <c r="D102">
        <v>26.31</v>
      </c>
      <c r="E102">
        <v>4.75</v>
      </c>
      <c r="F102">
        <v>51</v>
      </c>
      <c r="G102">
        <v>29.68181818181818</v>
      </c>
      <c r="H102">
        <v>3.743479179003987</v>
      </c>
      <c r="I102">
        <v>11</v>
      </c>
      <c r="J102">
        <v>2.5737053745552552</v>
      </c>
      <c r="K102">
        <v>1.9283948822608789E-2</v>
      </c>
      <c r="L102">
        <v>-1.257621309705345</v>
      </c>
    </row>
    <row r="103" spans="1:12" x14ac:dyDescent="0.25">
      <c r="A103">
        <v>34</v>
      </c>
      <c r="B103">
        <v>38</v>
      </c>
      <c r="C103" t="s">
        <v>17</v>
      </c>
      <c r="D103">
        <v>3.68</v>
      </c>
      <c r="E103">
        <v>1.73</v>
      </c>
      <c r="F103">
        <v>51</v>
      </c>
      <c r="G103">
        <v>3.5</v>
      </c>
      <c r="H103">
        <v>1.8439088914585779</v>
      </c>
      <c r="I103">
        <v>11</v>
      </c>
      <c r="J103">
        <v>-0.29681187434335993</v>
      </c>
      <c r="K103">
        <v>0.77095083502442885</v>
      </c>
      <c r="L103">
        <v>1.162343404463834E-2</v>
      </c>
    </row>
    <row r="104" spans="1:12" x14ac:dyDescent="0.25">
      <c r="A104">
        <v>34</v>
      </c>
      <c r="B104">
        <v>38</v>
      </c>
      <c r="C104" t="s">
        <v>18</v>
      </c>
      <c r="D104">
        <v>9.91</v>
      </c>
      <c r="E104">
        <v>1.67</v>
      </c>
      <c r="F104">
        <v>51</v>
      </c>
      <c r="G104">
        <v>11.18181818181818</v>
      </c>
      <c r="H104">
        <v>1.662418829187267</v>
      </c>
      <c r="I104">
        <v>11</v>
      </c>
      <c r="J104">
        <v>2.2994198002907669</v>
      </c>
      <c r="K104">
        <v>3.6599405093985883E-2</v>
      </c>
      <c r="L104">
        <v>-1.0948386786548709</v>
      </c>
    </row>
    <row r="105" spans="1:12" x14ac:dyDescent="0.25">
      <c r="A105">
        <v>34</v>
      </c>
      <c r="B105">
        <v>38</v>
      </c>
      <c r="C105" t="s">
        <v>19</v>
      </c>
      <c r="D105">
        <v>94.07</v>
      </c>
      <c r="E105">
        <v>8.84</v>
      </c>
      <c r="F105">
        <v>51</v>
      </c>
      <c r="G105">
        <v>98.790978843636367</v>
      </c>
      <c r="H105">
        <v>5.6057401212551543</v>
      </c>
      <c r="I105">
        <v>11</v>
      </c>
      <c r="J105">
        <v>2.2534509738304109</v>
      </c>
      <c r="K105">
        <v>3.4378782098667897E-2</v>
      </c>
      <c r="L105">
        <v>-0.82381175261518136</v>
      </c>
    </row>
    <row r="106" spans="1:12" x14ac:dyDescent="0.25">
      <c r="A106">
        <v>34</v>
      </c>
      <c r="B106">
        <v>38</v>
      </c>
      <c r="C106" t="s">
        <v>20</v>
      </c>
      <c r="D106">
        <v>5.82</v>
      </c>
      <c r="E106">
        <v>0.51</v>
      </c>
      <c r="F106">
        <v>51</v>
      </c>
      <c r="G106">
        <v>5.9090909090909092</v>
      </c>
      <c r="H106">
        <v>0.30151134457776357</v>
      </c>
      <c r="I106">
        <v>11</v>
      </c>
      <c r="J106">
        <v>0.7706508063091726</v>
      </c>
      <c r="K106">
        <v>0.44834263774963151</v>
      </c>
      <c r="L106">
        <v>-6.4453606770051283E-2</v>
      </c>
    </row>
    <row r="107" spans="1:12" x14ac:dyDescent="0.25">
      <c r="A107">
        <v>34</v>
      </c>
      <c r="B107">
        <v>38</v>
      </c>
      <c r="C107" t="s">
        <v>21</v>
      </c>
      <c r="D107">
        <v>0.02</v>
      </c>
      <c r="E107">
        <v>0.14000000000000001</v>
      </c>
      <c r="F107">
        <v>51</v>
      </c>
      <c r="G107">
        <v>0</v>
      </c>
      <c r="H107">
        <v>0</v>
      </c>
      <c r="I107">
        <v>11</v>
      </c>
      <c r="J107">
        <v>-1.0202040612204071</v>
      </c>
      <c r="K107">
        <v>0.31254278973956262</v>
      </c>
      <c r="L107">
        <v>7.9042705433924651E-2</v>
      </c>
    </row>
    <row r="108" spans="1:12" x14ac:dyDescent="0.25">
      <c r="A108">
        <v>34</v>
      </c>
      <c r="B108">
        <v>38</v>
      </c>
      <c r="C108" t="s">
        <v>22</v>
      </c>
      <c r="D108">
        <v>5.8</v>
      </c>
      <c r="E108">
        <v>0.56000000000000005</v>
      </c>
      <c r="F108">
        <v>51</v>
      </c>
      <c r="G108">
        <v>5.9090909090909092</v>
      </c>
      <c r="H108">
        <v>0.30151134457776357</v>
      </c>
      <c r="I108">
        <v>11</v>
      </c>
      <c r="J108">
        <v>0.90866562633640668</v>
      </c>
      <c r="K108">
        <v>0.37145465364100011</v>
      </c>
      <c r="L108">
        <v>-8.9231146848065809E-2</v>
      </c>
    </row>
    <row r="109" spans="1:12" x14ac:dyDescent="0.25">
      <c r="A109">
        <v>34</v>
      </c>
      <c r="B109">
        <v>38</v>
      </c>
      <c r="C109" t="s">
        <v>23</v>
      </c>
      <c r="D109">
        <v>0.46</v>
      </c>
      <c r="E109">
        <v>0.09</v>
      </c>
      <c r="F109">
        <v>51</v>
      </c>
      <c r="G109">
        <v>0.47727272727272729</v>
      </c>
      <c r="H109">
        <v>7.5377836144440907E-2</v>
      </c>
      <c r="I109">
        <v>11</v>
      </c>
      <c r="J109">
        <v>0.66465407892376838</v>
      </c>
      <c r="K109">
        <v>0.51530405211893893</v>
      </c>
      <c r="L109">
        <v>-5.6688851955831947E-2</v>
      </c>
    </row>
    <row r="110" spans="1:12" x14ac:dyDescent="0.25">
      <c r="A110">
        <v>36</v>
      </c>
      <c r="B110">
        <v>40</v>
      </c>
      <c r="C110" t="s">
        <v>12</v>
      </c>
      <c r="D110">
        <v>37.979999999999997</v>
      </c>
      <c r="E110">
        <v>1.45</v>
      </c>
      <c r="F110">
        <v>57</v>
      </c>
      <c r="G110">
        <v>37.888888888888893</v>
      </c>
      <c r="H110">
        <v>1.0540925533894601</v>
      </c>
      <c r="I110">
        <v>9</v>
      </c>
      <c r="J110">
        <v>-0.22753419412649509</v>
      </c>
      <c r="K110">
        <v>0.82346250869476489</v>
      </c>
      <c r="L110">
        <v>5.4640137044687899E-3</v>
      </c>
    </row>
    <row r="111" spans="1:12" x14ac:dyDescent="0.25">
      <c r="A111">
        <v>36</v>
      </c>
      <c r="B111">
        <v>40</v>
      </c>
      <c r="C111" t="s">
        <v>13</v>
      </c>
      <c r="D111">
        <v>6.59</v>
      </c>
      <c r="E111">
        <v>2.0299999999999998</v>
      </c>
      <c r="F111">
        <v>57</v>
      </c>
      <c r="G111">
        <v>7.7777777777777777</v>
      </c>
      <c r="H111">
        <v>1.522972240208089</v>
      </c>
      <c r="I111">
        <v>9</v>
      </c>
      <c r="J111">
        <v>2.0676164272659081</v>
      </c>
      <c r="K111">
        <v>5.9229411055653797E-2</v>
      </c>
      <c r="L111">
        <v>-0.73866870531233109</v>
      </c>
    </row>
    <row r="112" spans="1:12" x14ac:dyDescent="0.25">
      <c r="A112">
        <v>36</v>
      </c>
      <c r="B112">
        <v>40</v>
      </c>
      <c r="C112" t="s">
        <v>14</v>
      </c>
      <c r="D112">
        <v>9.19</v>
      </c>
      <c r="E112">
        <v>1.88</v>
      </c>
      <c r="F112">
        <v>57</v>
      </c>
      <c r="G112">
        <v>10.66666666666667</v>
      </c>
      <c r="H112">
        <v>1.5</v>
      </c>
      <c r="I112">
        <v>9</v>
      </c>
      <c r="J112">
        <v>2.6436276797569911</v>
      </c>
      <c r="K112">
        <v>2.099222494889889E-2</v>
      </c>
      <c r="L112">
        <v>-1.3489517294205371</v>
      </c>
    </row>
    <row r="113" spans="1:12" x14ac:dyDescent="0.25">
      <c r="A113">
        <v>36</v>
      </c>
      <c r="B113">
        <v>40</v>
      </c>
      <c r="C113" t="s">
        <v>15</v>
      </c>
      <c r="D113">
        <v>10.220000000000001</v>
      </c>
      <c r="E113">
        <v>1.52</v>
      </c>
      <c r="F113">
        <v>57</v>
      </c>
      <c r="G113">
        <v>10.77777777777778</v>
      </c>
      <c r="H113">
        <v>1.787300882460602</v>
      </c>
      <c r="I113">
        <v>9</v>
      </c>
      <c r="J113">
        <v>0.886959019676821</v>
      </c>
      <c r="K113">
        <v>0.39610951214843038</v>
      </c>
      <c r="L113">
        <v>-0.14417762254608449</v>
      </c>
    </row>
    <row r="114" spans="1:12" x14ac:dyDescent="0.25">
      <c r="A114">
        <v>36</v>
      </c>
      <c r="B114">
        <v>40</v>
      </c>
      <c r="C114" t="s">
        <v>16</v>
      </c>
      <c r="D114">
        <v>26</v>
      </c>
      <c r="E114">
        <v>4.8</v>
      </c>
      <c r="F114">
        <v>57</v>
      </c>
      <c r="G114">
        <v>29.222222222222221</v>
      </c>
      <c r="H114">
        <v>3.8658045015810671</v>
      </c>
      <c r="I114">
        <v>9</v>
      </c>
      <c r="J114">
        <v>2.2424695352447048</v>
      </c>
      <c r="K114">
        <v>4.4148385407123202E-2</v>
      </c>
      <c r="L114">
        <v>-0.9303235202551009</v>
      </c>
    </row>
    <row r="115" spans="1:12" x14ac:dyDescent="0.25">
      <c r="A115">
        <v>36</v>
      </c>
      <c r="B115">
        <v>40</v>
      </c>
      <c r="C115" t="s">
        <v>17</v>
      </c>
      <c r="D115">
        <v>3.69</v>
      </c>
      <c r="E115">
        <v>1.74</v>
      </c>
      <c r="F115">
        <v>57</v>
      </c>
      <c r="G115">
        <v>3.333333333333333</v>
      </c>
      <c r="H115">
        <v>1.6770509831248419</v>
      </c>
      <c r="I115">
        <v>9</v>
      </c>
      <c r="J115">
        <v>-0.58986150085889155</v>
      </c>
      <c r="K115">
        <v>0.56730369220316079</v>
      </c>
      <c r="L115">
        <v>5.0688663558018682E-2</v>
      </c>
    </row>
    <row r="116" spans="1:12" x14ac:dyDescent="0.25">
      <c r="A116">
        <v>36</v>
      </c>
      <c r="B116">
        <v>40</v>
      </c>
      <c r="C116" t="s">
        <v>18</v>
      </c>
      <c r="D116">
        <v>9.8000000000000007</v>
      </c>
      <c r="E116">
        <v>1.71</v>
      </c>
      <c r="F116">
        <v>57</v>
      </c>
      <c r="G116">
        <v>11</v>
      </c>
      <c r="H116">
        <v>1.802775637731995</v>
      </c>
      <c r="I116">
        <v>9</v>
      </c>
      <c r="J116">
        <v>1.8685988073461399</v>
      </c>
      <c r="K116">
        <v>9.0065542230136506E-2</v>
      </c>
      <c r="L116">
        <v>-0.72858540068552247</v>
      </c>
    </row>
    <row r="117" spans="1:12" x14ac:dyDescent="0.25">
      <c r="A117">
        <v>36</v>
      </c>
      <c r="B117">
        <v>40</v>
      </c>
      <c r="C117" t="s">
        <v>19</v>
      </c>
      <c r="D117">
        <v>93.3</v>
      </c>
      <c r="E117">
        <v>10.25</v>
      </c>
      <c r="F117">
        <v>57</v>
      </c>
      <c r="G117">
        <v>98.522307475555564</v>
      </c>
      <c r="H117">
        <v>6.2316741332204426</v>
      </c>
      <c r="I117">
        <v>9</v>
      </c>
      <c r="J117">
        <v>2.1044583275736688</v>
      </c>
      <c r="K117">
        <v>5.1625203678284763E-2</v>
      </c>
      <c r="L117">
        <v>-0.68326008174297537</v>
      </c>
    </row>
    <row r="118" spans="1:12" x14ac:dyDescent="0.25">
      <c r="A118">
        <v>36</v>
      </c>
      <c r="B118">
        <v>40</v>
      </c>
      <c r="C118" t="s">
        <v>20</v>
      </c>
      <c r="D118">
        <v>5.82</v>
      </c>
      <c r="E118">
        <v>0.5</v>
      </c>
      <c r="F118">
        <v>57</v>
      </c>
      <c r="G118">
        <v>5.8888888888888893</v>
      </c>
      <c r="H118">
        <v>0.33333333333333343</v>
      </c>
      <c r="I118">
        <v>9</v>
      </c>
      <c r="J118">
        <v>0.53257389295412472</v>
      </c>
      <c r="K118">
        <v>0.60243180478685876</v>
      </c>
      <c r="L118">
        <v>-3.1434929647949181E-2</v>
      </c>
    </row>
    <row r="119" spans="1:12" x14ac:dyDescent="0.25">
      <c r="A119">
        <v>36</v>
      </c>
      <c r="B119">
        <v>40</v>
      </c>
      <c r="C119" t="s">
        <v>21</v>
      </c>
      <c r="D119">
        <v>0.03</v>
      </c>
      <c r="E119">
        <v>0.18</v>
      </c>
      <c r="F119">
        <v>57</v>
      </c>
      <c r="G119">
        <v>0</v>
      </c>
      <c r="H119">
        <v>0</v>
      </c>
      <c r="I119">
        <v>9</v>
      </c>
      <c r="J119">
        <v>-1.258305739211792</v>
      </c>
      <c r="K119">
        <v>0.21350230111669019</v>
      </c>
      <c r="L119">
        <v>0.119483136391348</v>
      </c>
    </row>
    <row r="120" spans="1:12" x14ac:dyDescent="0.25">
      <c r="A120">
        <v>36</v>
      </c>
      <c r="B120">
        <v>40</v>
      </c>
      <c r="C120" t="s">
        <v>22</v>
      </c>
      <c r="D120">
        <v>5.78</v>
      </c>
      <c r="E120">
        <v>0.55000000000000004</v>
      </c>
      <c r="F120">
        <v>57</v>
      </c>
      <c r="G120">
        <v>5.8888888888888893</v>
      </c>
      <c r="H120">
        <v>0.33333333333333343</v>
      </c>
      <c r="I120">
        <v>9</v>
      </c>
      <c r="J120">
        <v>0.8195548756281209</v>
      </c>
      <c r="K120">
        <v>0.42455853147595979</v>
      </c>
      <c r="L120">
        <v>-7.6758632582724487E-2</v>
      </c>
    </row>
    <row r="121" spans="1:12" x14ac:dyDescent="0.25">
      <c r="A121">
        <v>36</v>
      </c>
      <c r="B121">
        <v>40</v>
      </c>
      <c r="C121" t="s">
        <v>23</v>
      </c>
      <c r="D121">
        <v>0.47</v>
      </c>
      <c r="E121">
        <v>0.09</v>
      </c>
      <c r="F121">
        <v>57</v>
      </c>
      <c r="G121">
        <v>0.47222222222222221</v>
      </c>
      <c r="H121">
        <v>8.3333333333333343E-2</v>
      </c>
      <c r="I121">
        <v>9</v>
      </c>
      <c r="J121">
        <v>7.3516233644697365E-2</v>
      </c>
      <c r="K121">
        <v>0.94269601830452154</v>
      </c>
      <c r="L121">
        <v>-6.3851703871201852E-4</v>
      </c>
    </row>
    <row r="122" spans="1:12" x14ac:dyDescent="0.25">
      <c r="A122">
        <v>38</v>
      </c>
      <c r="B122">
        <v>42</v>
      </c>
      <c r="C122" t="s">
        <v>12</v>
      </c>
      <c r="D122">
        <v>39.93</v>
      </c>
      <c r="E122">
        <v>1.24</v>
      </c>
      <c r="F122">
        <v>43</v>
      </c>
      <c r="G122">
        <v>39.454545454545453</v>
      </c>
      <c r="H122">
        <v>1.7529196424044291</v>
      </c>
      <c r="I122">
        <v>11</v>
      </c>
      <c r="J122">
        <v>-0.84700677000268632</v>
      </c>
      <c r="K122">
        <v>0.41269932322722341</v>
      </c>
      <c r="L122">
        <v>0.13498786119364431</v>
      </c>
    </row>
    <row r="123" spans="1:12" x14ac:dyDescent="0.25">
      <c r="A123">
        <v>38</v>
      </c>
      <c r="B123">
        <v>42</v>
      </c>
      <c r="C123" t="s">
        <v>13</v>
      </c>
      <c r="D123">
        <v>6.49</v>
      </c>
      <c r="E123">
        <v>2.0299999999999998</v>
      </c>
      <c r="F123">
        <v>43</v>
      </c>
      <c r="G123">
        <v>7.5</v>
      </c>
      <c r="H123">
        <v>1.7606816861659009</v>
      </c>
      <c r="I123">
        <v>11</v>
      </c>
      <c r="J123">
        <v>1.64351952021995</v>
      </c>
      <c r="K123">
        <v>0.1181439762911177</v>
      </c>
      <c r="L123">
        <v>-0.47291215904348538</v>
      </c>
    </row>
    <row r="124" spans="1:12" x14ac:dyDescent="0.25">
      <c r="A124">
        <v>38</v>
      </c>
      <c r="B124">
        <v>42</v>
      </c>
      <c r="C124" t="s">
        <v>14</v>
      </c>
      <c r="D124">
        <v>9.08</v>
      </c>
      <c r="E124">
        <v>1.9</v>
      </c>
      <c r="F124">
        <v>43</v>
      </c>
      <c r="G124">
        <v>10.59090909090909</v>
      </c>
      <c r="H124">
        <v>1.700267358655424</v>
      </c>
      <c r="I124">
        <v>11</v>
      </c>
      <c r="J124">
        <v>2.5657935227128061</v>
      </c>
      <c r="K124">
        <v>2.0049363789149881E-2</v>
      </c>
      <c r="L124">
        <v>-1.376823799110777</v>
      </c>
    </row>
    <row r="125" spans="1:12" x14ac:dyDescent="0.25">
      <c r="A125">
        <v>38</v>
      </c>
      <c r="B125">
        <v>42</v>
      </c>
      <c r="C125" t="s">
        <v>15</v>
      </c>
      <c r="D125">
        <v>10.119999999999999</v>
      </c>
      <c r="E125">
        <v>1.56</v>
      </c>
      <c r="F125">
        <v>43</v>
      </c>
      <c r="G125">
        <v>11.45454545454546</v>
      </c>
      <c r="H125">
        <v>1.0357254813546271</v>
      </c>
      <c r="I125">
        <v>11</v>
      </c>
      <c r="J125">
        <v>3.3994565297184751</v>
      </c>
      <c r="K125">
        <v>2.4489707046903512E-3</v>
      </c>
      <c r="L125">
        <v>-2.3644149045500318</v>
      </c>
    </row>
    <row r="126" spans="1:12" x14ac:dyDescent="0.25">
      <c r="A126">
        <v>38</v>
      </c>
      <c r="B126">
        <v>42</v>
      </c>
      <c r="C126" t="s">
        <v>16</v>
      </c>
      <c r="D126">
        <v>25.7</v>
      </c>
      <c r="E126">
        <v>4.8600000000000003</v>
      </c>
      <c r="F126">
        <v>43</v>
      </c>
      <c r="G126">
        <v>29.54545454545455</v>
      </c>
      <c r="H126">
        <v>3.636306817737919</v>
      </c>
      <c r="I126">
        <v>11</v>
      </c>
      <c r="J126">
        <v>2.9057622391796389</v>
      </c>
      <c r="K126">
        <v>8.6742831781152548E-3</v>
      </c>
      <c r="L126">
        <v>-1.7051291276782661</v>
      </c>
    </row>
    <row r="127" spans="1:12" x14ac:dyDescent="0.25">
      <c r="A127">
        <v>38</v>
      </c>
      <c r="B127">
        <v>42</v>
      </c>
      <c r="C127" t="s">
        <v>17</v>
      </c>
      <c r="D127">
        <v>3.69</v>
      </c>
      <c r="E127">
        <v>1.74</v>
      </c>
      <c r="F127">
        <v>43</v>
      </c>
      <c r="G127">
        <v>4.0909090909090908</v>
      </c>
      <c r="H127">
        <v>1.7580981459830649</v>
      </c>
      <c r="I127">
        <v>11</v>
      </c>
      <c r="J127">
        <v>0.67630778150136528</v>
      </c>
      <c r="K127">
        <v>0.50887018388506589</v>
      </c>
      <c r="L127">
        <v>-6.7464442781708059E-2</v>
      </c>
    </row>
    <row r="128" spans="1:12" x14ac:dyDescent="0.25">
      <c r="A128">
        <v>38</v>
      </c>
      <c r="B128">
        <v>42</v>
      </c>
      <c r="C128" t="s">
        <v>18</v>
      </c>
      <c r="D128">
        <v>9.69</v>
      </c>
      <c r="E128">
        <v>1.75</v>
      </c>
      <c r="F128">
        <v>43</v>
      </c>
      <c r="G128">
        <v>11.68181818181818</v>
      </c>
      <c r="H128">
        <v>0.90201793975306488</v>
      </c>
      <c r="I128">
        <v>11</v>
      </c>
      <c r="J128">
        <v>5.2273854160268787</v>
      </c>
      <c r="K128">
        <v>1.064960442785663E-5</v>
      </c>
      <c r="L128">
        <v>-6.1074368985703131</v>
      </c>
    </row>
    <row r="129" spans="1:12" x14ac:dyDescent="0.25">
      <c r="A129">
        <v>38</v>
      </c>
      <c r="B129">
        <v>42</v>
      </c>
      <c r="C129" t="s">
        <v>19</v>
      </c>
      <c r="D129">
        <v>91.63</v>
      </c>
      <c r="E129">
        <v>9.92</v>
      </c>
      <c r="F129">
        <v>43</v>
      </c>
      <c r="G129">
        <v>100.8084800545455</v>
      </c>
      <c r="H129">
        <v>1.7992973190341699</v>
      </c>
      <c r="I129">
        <v>11</v>
      </c>
      <c r="J129">
        <v>5.7111335276712731</v>
      </c>
      <c r="K129">
        <v>6.123997312363487E-7</v>
      </c>
      <c r="L129">
        <v>-6.3714858582586986</v>
      </c>
    </row>
    <row r="130" spans="1:12" x14ac:dyDescent="0.25">
      <c r="A130">
        <v>38</v>
      </c>
      <c r="B130">
        <v>42</v>
      </c>
      <c r="C130" t="s">
        <v>20</v>
      </c>
      <c r="D130">
        <v>5.9</v>
      </c>
      <c r="E130">
        <v>0.28999999999999998</v>
      </c>
      <c r="F130">
        <v>43</v>
      </c>
      <c r="G130">
        <v>5.9090909090909092</v>
      </c>
      <c r="H130">
        <v>0.30151134457776357</v>
      </c>
      <c r="I130">
        <v>11</v>
      </c>
      <c r="J130">
        <v>8.992407652989913E-2</v>
      </c>
      <c r="K130">
        <v>0.92953012917972888</v>
      </c>
      <c r="L130">
        <v>-9.8721966803006519E-4</v>
      </c>
    </row>
    <row r="131" spans="1:12" x14ac:dyDescent="0.25">
      <c r="A131">
        <v>38</v>
      </c>
      <c r="B131">
        <v>42</v>
      </c>
      <c r="C131" t="s">
        <v>21</v>
      </c>
      <c r="D131">
        <v>0.04</v>
      </c>
      <c r="E131">
        <v>0.21</v>
      </c>
      <c r="F131">
        <v>43</v>
      </c>
      <c r="G131">
        <v>0</v>
      </c>
      <c r="H131">
        <v>0</v>
      </c>
      <c r="I131">
        <v>11</v>
      </c>
      <c r="J131">
        <v>-1.249035909390857</v>
      </c>
      <c r="K131">
        <v>0.21856877171456571</v>
      </c>
      <c r="L131">
        <v>0.13996924041162601</v>
      </c>
    </row>
    <row r="132" spans="1:12" x14ac:dyDescent="0.25">
      <c r="A132">
        <v>38</v>
      </c>
      <c r="B132">
        <v>42</v>
      </c>
      <c r="C132" t="s">
        <v>22</v>
      </c>
      <c r="D132">
        <v>5.86</v>
      </c>
      <c r="E132">
        <v>0.35</v>
      </c>
      <c r="F132">
        <v>43</v>
      </c>
      <c r="G132">
        <v>5.9090909090909092</v>
      </c>
      <c r="H132">
        <v>0.30151134457776357</v>
      </c>
      <c r="I132">
        <v>11</v>
      </c>
      <c r="J132">
        <v>0.46567138863092827</v>
      </c>
      <c r="K132">
        <v>0.64716636973912944</v>
      </c>
      <c r="L132">
        <v>-2.718963954719824E-2</v>
      </c>
    </row>
    <row r="133" spans="1:12" x14ac:dyDescent="0.25">
      <c r="A133">
        <v>38</v>
      </c>
      <c r="B133">
        <v>42</v>
      </c>
      <c r="C133" t="s">
        <v>23</v>
      </c>
      <c r="D133">
        <v>0.48</v>
      </c>
      <c r="E133">
        <v>0.09</v>
      </c>
      <c r="F133">
        <v>43</v>
      </c>
      <c r="G133">
        <v>0.47727272727272729</v>
      </c>
      <c r="H133">
        <v>7.5377836144440907E-2</v>
      </c>
      <c r="I133">
        <v>11</v>
      </c>
      <c r="J133">
        <v>-0.10272224455620919</v>
      </c>
      <c r="K133">
        <v>0.91931592399664597</v>
      </c>
      <c r="L133">
        <v>1.140346243671746E-3</v>
      </c>
    </row>
    <row r="134" spans="1:12" x14ac:dyDescent="0.25">
      <c r="A134">
        <v>40</v>
      </c>
      <c r="B134">
        <v>44</v>
      </c>
      <c r="C134" t="s">
        <v>12</v>
      </c>
      <c r="D134">
        <v>42</v>
      </c>
      <c r="E134">
        <v>1.53</v>
      </c>
      <c r="F134">
        <v>54</v>
      </c>
      <c r="G134">
        <v>42.3</v>
      </c>
      <c r="H134">
        <v>1.3374935098492591</v>
      </c>
      <c r="I134">
        <v>10</v>
      </c>
      <c r="J134">
        <v>0.63637223955633582</v>
      </c>
      <c r="K134">
        <v>0.53498198301263589</v>
      </c>
      <c r="L134">
        <v>-5.4202606473020262E-2</v>
      </c>
    </row>
    <row r="135" spans="1:12" x14ac:dyDescent="0.25">
      <c r="A135">
        <v>40</v>
      </c>
      <c r="B135">
        <v>44</v>
      </c>
      <c r="C135" t="s">
        <v>13</v>
      </c>
      <c r="D135">
        <v>6.39</v>
      </c>
      <c r="E135">
        <v>2.0299999999999998</v>
      </c>
      <c r="F135">
        <v>54</v>
      </c>
      <c r="G135">
        <v>7.7</v>
      </c>
      <c r="H135">
        <v>1.988857852023507</v>
      </c>
      <c r="I135">
        <v>10</v>
      </c>
      <c r="J135">
        <v>1.907044353381268</v>
      </c>
      <c r="K135">
        <v>7.9338173671269455E-2</v>
      </c>
      <c r="L135">
        <v>-0.71226363388897584</v>
      </c>
    </row>
    <row r="136" spans="1:12" x14ac:dyDescent="0.25">
      <c r="A136">
        <v>40</v>
      </c>
      <c r="B136">
        <v>44</v>
      </c>
      <c r="C136" t="s">
        <v>14</v>
      </c>
      <c r="D136">
        <v>8.98</v>
      </c>
      <c r="E136">
        <v>1.91</v>
      </c>
      <c r="F136">
        <v>54</v>
      </c>
      <c r="G136">
        <v>10.6</v>
      </c>
      <c r="H136">
        <v>1.9972202905260319</v>
      </c>
      <c r="I136">
        <v>10</v>
      </c>
      <c r="J136">
        <v>2.3719972983158031</v>
      </c>
      <c r="K136">
        <v>3.4887797298998623E-2</v>
      </c>
      <c r="L136">
        <v>-1.2277606140831381</v>
      </c>
    </row>
    <row r="137" spans="1:12" x14ac:dyDescent="0.25">
      <c r="A137">
        <v>40</v>
      </c>
      <c r="B137">
        <v>44</v>
      </c>
      <c r="C137" t="s">
        <v>15</v>
      </c>
      <c r="D137">
        <v>10.02</v>
      </c>
      <c r="E137">
        <v>1.6</v>
      </c>
      <c r="F137">
        <v>54</v>
      </c>
      <c r="G137">
        <v>11.8</v>
      </c>
      <c r="H137">
        <v>0.34960294939005049</v>
      </c>
      <c r="I137">
        <v>10</v>
      </c>
      <c r="J137">
        <v>7.2893523981965096</v>
      </c>
      <c r="K137">
        <v>7.8421713474637667E-10</v>
      </c>
      <c r="L137">
        <v>-10.91217652710321</v>
      </c>
    </row>
    <row r="138" spans="1:12" x14ac:dyDescent="0.25">
      <c r="A138">
        <v>40</v>
      </c>
      <c r="B138">
        <v>44</v>
      </c>
      <c r="C138" t="s">
        <v>16</v>
      </c>
      <c r="D138">
        <v>25.4</v>
      </c>
      <c r="E138">
        <v>4.91</v>
      </c>
      <c r="F138">
        <v>54</v>
      </c>
      <c r="G138">
        <v>30.1</v>
      </c>
      <c r="H138">
        <v>4.0879225911349044</v>
      </c>
      <c r="I138">
        <v>10</v>
      </c>
      <c r="J138">
        <v>3.2298344422760188</v>
      </c>
      <c r="K138">
        <v>5.9203193017525651E-3</v>
      </c>
      <c r="L138">
        <v>-2.1815131967154722</v>
      </c>
    </row>
    <row r="139" spans="1:12" x14ac:dyDescent="0.25">
      <c r="A139">
        <v>40</v>
      </c>
      <c r="B139">
        <v>44</v>
      </c>
      <c r="C139" t="s">
        <v>17</v>
      </c>
      <c r="D139">
        <v>3.7</v>
      </c>
      <c r="E139">
        <v>1.75</v>
      </c>
      <c r="F139">
        <v>54</v>
      </c>
      <c r="G139">
        <v>4.0999999999999996</v>
      </c>
      <c r="H139">
        <v>1.7919573407620819</v>
      </c>
      <c r="I139">
        <v>10</v>
      </c>
      <c r="J139">
        <v>0.65075150019835859</v>
      </c>
      <c r="K139">
        <v>0.5270872991828579</v>
      </c>
      <c r="L139">
        <v>-6.3346982554003464E-2</v>
      </c>
    </row>
    <row r="140" spans="1:12" x14ac:dyDescent="0.25">
      <c r="A140">
        <v>40</v>
      </c>
      <c r="B140">
        <v>44</v>
      </c>
      <c r="C140" t="s">
        <v>18</v>
      </c>
      <c r="D140">
        <v>9.58</v>
      </c>
      <c r="E140">
        <v>1.79</v>
      </c>
      <c r="F140">
        <v>54</v>
      </c>
      <c r="G140">
        <v>11.8</v>
      </c>
      <c r="H140">
        <v>0.34960294939005049</v>
      </c>
      <c r="I140">
        <v>10</v>
      </c>
      <c r="J140">
        <v>8.298998303549519</v>
      </c>
      <c r="K140">
        <v>1.246091795966662E-11</v>
      </c>
      <c r="L140">
        <v>-14.58006873563761</v>
      </c>
    </row>
    <row r="141" spans="1:12" x14ac:dyDescent="0.25">
      <c r="A141">
        <v>40</v>
      </c>
      <c r="B141">
        <v>44</v>
      </c>
      <c r="C141" t="s">
        <v>19</v>
      </c>
      <c r="D141">
        <v>93.61</v>
      </c>
      <c r="E141">
        <v>7.96</v>
      </c>
      <c r="F141">
        <v>54</v>
      </c>
      <c r="G141">
        <v>100.019762841</v>
      </c>
      <c r="H141">
        <v>2.0965803538569672</v>
      </c>
      <c r="I141">
        <v>10</v>
      </c>
      <c r="J141">
        <v>5.0470137333544534</v>
      </c>
      <c r="K141">
        <v>5.2679890056954954E-6</v>
      </c>
      <c r="L141">
        <v>-4.5702742228482656</v>
      </c>
    </row>
    <row r="142" spans="1:12" x14ac:dyDescent="0.25">
      <c r="A142">
        <v>40</v>
      </c>
      <c r="B142">
        <v>44</v>
      </c>
      <c r="C142" t="s">
        <v>20</v>
      </c>
      <c r="D142">
        <v>5.96</v>
      </c>
      <c r="E142">
        <v>0.19</v>
      </c>
      <c r="F142">
        <v>54</v>
      </c>
      <c r="G142">
        <v>5.8</v>
      </c>
      <c r="H142">
        <v>0.4216370213557839</v>
      </c>
      <c r="I142">
        <v>10</v>
      </c>
      <c r="J142">
        <v>-1.17805452701802</v>
      </c>
      <c r="K142">
        <v>0.26690376252778258</v>
      </c>
      <c r="L142">
        <v>0.38556859439348551</v>
      </c>
    </row>
    <row r="143" spans="1:12" x14ac:dyDescent="0.25">
      <c r="A143">
        <v>40</v>
      </c>
      <c r="B143">
        <v>44</v>
      </c>
      <c r="C143" t="s">
        <v>21</v>
      </c>
      <c r="D143">
        <v>0.19</v>
      </c>
      <c r="E143">
        <v>0.13</v>
      </c>
      <c r="F143">
        <v>54</v>
      </c>
      <c r="G143">
        <v>0</v>
      </c>
      <c r="H143">
        <v>0</v>
      </c>
      <c r="I143">
        <v>10</v>
      </c>
      <c r="J143">
        <v>-10.7400704106647</v>
      </c>
      <c r="K143">
        <v>6.531566006656722E-15</v>
      </c>
      <c r="L143">
        <v>22.423167879500799</v>
      </c>
    </row>
    <row r="144" spans="1:12" x14ac:dyDescent="0.25">
      <c r="A144">
        <v>40</v>
      </c>
      <c r="B144">
        <v>44</v>
      </c>
      <c r="C144" t="s">
        <v>22</v>
      </c>
      <c r="D144">
        <v>5.94</v>
      </c>
      <c r="E144">
        <v>0.23</v>
      </c>
      <c r="F144">
        <v>54</v>
      </c>
      <c r="G144">
        <v>5.8</v>
      </c>
      <c r="H144">
        <v>0.4216370213557839</v>
      </c>
      <c r="I144">
        <v>10</v>
      </c>
      <c r="J144">
        <v>-1.022213541890642</v>
      </c>
      <c r="K144">
        <v>0.33073945293750823</v>
      </c>
      <c r="L144">
        <v>0.25241842933722541</v>
      </c>
    </row>
    <row r="145" spans="1:12" x14ac:dyDescent="0.25">
      <c r="A145">
        <v>40</v>
      </c>
      <c r="B145">
        <v>44</v>
      </c>
      <c r="C145" t="s">
        <v>23</v>
      </c>
      <c r="D145">
        <v>0.49</v>
      </c>
      <c r="E145">
        <v>0.05</v>
      </c>
      <c r="F145">
        <v>54</v>
      </c>
      <c r="G145">
        <v>0.45</v>
      </c>
      <c r="H145">
        <v>0.105409255338946</v>
      </c>
      <c r="I145">
        <v>10</v>
      </c>
      <c r="J145">
        <v>-1.175755076535925</v>
      </c>
      <c r="K145">
        <v>0.26756834728959999</v>
      </c>
      <c r="L145">
        <v>0.37399806425818782</v>
      </c>
    </row>
    <row r="146" spans="1:12" x14ac:dyDescent="0.25">
      <c r="A146">
        <v>42</v>
      </c>
      <c r="B146">
        <v>46</v>
      </c>
      <c r="C146" t="s">
        <v>12</v>
      </c>
      <c r="D146">
        <v>44.08</v>
      </c>
      <c r="E146">
        <v>1.33</v>
      </c>
      <c r="F146">
        <v>49</v>
      </c>
      <c r="G146">
        <v>43.555555555555557</v>
      </c>
      <c r="H146">
        <v>1.333333333333333</v>
      </c>
      <c r="I146">
        <v>9</v>
      </c>
      <c r="J146">
        <v>-1.085011600426343</v>
      </c>
      <c r="K146">
        <v>0.30086037247354858</v>
      </c>
      <c r="L146">
        <v>0.2056169666602278</v>
      </c>
    </row>
    <row r="147" spans="1:12" x14ac:dyDescent="0.25">
      <c r="A147">
        <v>42</v>
      </c>
      <c r="B147">
        <v>46</v>
      </c>
      <c r="C147" t="s">
        <v>13</v>
      </c>
      <c r="D147">
        <v>6.28</v>
      </c>
      <c r="E147">
        <v>2.0299999999999998</v>
      </c>
      <c r="F147">
        <v>49</v>
      </c>
      <c r="G147">
        <v>7.5</v>
      </c>
      <c r="H147">
        <v>2</v>
      </c>
      <c r="I147">
        <v>9</v>
      </c>
      <c r="J147">
        <v>1.6781047802422231</v>
      </c>
      <c r="K147">
        <v>0.12086676560233579</v>
      </c>
      <c r="L147">
        <v>-0.55267939598125893</v>
      </c>
    </row>
    <row r="148" spans="1:12" x14ac:dyDescent="0.25">
      <c r="A148">
        <v>42</v>
      </c>
      <c r="B148">
        <v>46</v>
      </c>
      <c r="C148" t="s">
        <v>14</v>
      </c>
      <c r="D148">
        <v>8.8699999999999992</v>
      </c>
      <c r="E148">
        <v>1.93</v>
      </c>
      <c r="F148">
        <v>49</v>
      </c>
      <c r="G148">
        <v>10.888888888888889</v>
      </c>
      <c r="H148">
        <v>1.576740660702042</v>
      </c>
      <c r="I148">
        <v>9</v>
      </c>
      <c r="J148">
        <v>3.4016146051339802</v>
      </c>
      <c r="K148">
        <v>4.8012131106737388E-3</v>
      </c>
      <c r="L148">
        <v>-2.4851917286042791</v>
      </c>
    </row>
    <row r="149" spans="1:12" x14ac:dyDescent="0.25">
      <c r="A149">
        <v>42</v>
      </c>
      <c r="B149">
        <v>46</v>
      </c>
      <c r="C149" t="s">
        <v>15</v>
      </c>
      <c r="D149">
        <v>9.92</v>
      </c>
      <c r="E149">
        <v>1.64</v>
      </c>
      <c r="F149">
        <v>49</v>
      </c>
      <c r="G149">
        <v>11.77777777777778</v>
      </c>
      <c r="H149">
        <v>0.26352313834736502</v>
      </c>
      <c r="I149">
        <v>9</v>
      </c>
      <c r="J149">
        <v>7.4248267065383899</v>
      </c>
      <c r="K149">
        <v>6.9915892668437523E-10</v>
      </c>
      <c r="L149">
        <v>-11.17813469256081</v>
      </c>
    </row>
    <row r="150" spans="1:12" x14ac:dyDescent="0.25">
      <c r="A150">
        <v>42</v>
      </c>
      <c r="B150">
        <v>46</v>
      </c>
      <c r="C150" t="s">
        <v>16</v>
      </c>
      <c r="D150">
        <v>25.09</v>
      </c>
      <c r="E150">
        <v>4.96</v>
      </c>
      <c r="F150">
        <v>49</v>
      </c>
      <c r="G150">
        <v>30.166666666666671</v>
      </c>
      <c r="H150">
        <v>3.2977264895682299</v>
      </c>
      <c r="I150">
        <v>9</v>
      </c>
      <c r="J150">
        <v>3.881762328787123</v>
      </c>
      <c r="K150">
        <v>1.383573182198367E-3</v>
      </c>
      <c r="L150">
        <v>-3.0503380035420702</v>
      </c>
    </row>
    <row r="151" spans="1:12" x14ac:dyDescent="0.25">
      <c r="A151">
        <v>42</v>
      </c>
      <c r="B151">
        <v>46</v>
      </c>
      <c r="C151" t="s">
        <v>17</v>
      </c>
      <c r="D151">
        <v>3.7</v>
      </c>
      <c r="E151">
        <v>1.76</v>
      </c>
      <c r="F151">
        <v>49</v>
      </c>
      <c r="G151">
        <v>4.2777777777777777</v>
      </c>
      <c r="H151">
        <v>1.872683754520353</v>
      </c>
      <c r="I151">
        <v>9</v>
      </c>
      <c r="J151">
        <v>0.85856027053576467</v>
      </c>
      <c r="K151">
        <v>0.40930315519470861</v>
      </c>
      <c r="L151">
        <v>-0.12617352471421031</v>
      </c>
    </row>
    <row r="152" spans="1:12" x14ac:dyDescent="0.25">
      <c r="A152">
        <v>42</v>
      </c>
      <c r="B152">
        <v>46</v>
      </c>
      <c r="C152" t="s">
        <v>18</v>
      </c>
      <c r="D152">
        <v>9.4700000000000006</v>
      </c>
      <c r="E152">
        <v>1.83</v>
      </c>
      <c r="F152">
        <v>49</v>
      </c>
      <c r="G152">
        <v>11.72222222222222</v>
      </c>
      <c r="H152">
        <v>0.36324157862838952</v>
      </c>
      <c r="I152">
        <v>9</v>
      </c>
      <c r="J152">
        <v>7.8173235515174309</v>
      </c>
      <c r="K152">
        <v>1.6387222331727241E-10</v>
      </c>
      <c r="L152">
        <v>-12.96567346880998</v>
      </c>
    </row>
    <row r="153" spans="1:12" x14ac:dyDescent="0.25">
      <c r="A153">
        <v>42</v>
      </c>
      <c r="B153">
        <v>46</v>
      </c>
      <c r="C153" t="s">
        <v>19</v>
      </c>
      <c r="D153">
        <v>94.55</v>
      </c>
      <c r="E153">
        <v>6.42</v>
      </c>
      <c r="F153">
        <v>49</v>
      </c>
      <c r="G153">
        <v>99.516908212222219</v>
      </c>
      <c r="H153">
        <v>1.4492753633333331</v>
      </c>
      <c r="I153">
        <v>9</v>
      </c>
      <c r="J153">
        <v>4.7915621468944458</v>
      </c>
      <c r="K153">
        <v>1.3518225810363209E-5</v>
      </c>
      <c r="L153">
        <v>-4.0516779007530914</v>
      </c>
    </row>
    <row r="154" spans="1:12" x14ac:dyDescent="0.25">
      <c r="A154">
        <v>42</v>
      </c>
      <c r="B154">
        <v>46</v>
      </c>
      <c r="C154" t="s">
        <v>20</v>
      </c>
      <c r="D154">
        <v>5.98</v>
      </c>
      <c r="E154">
        <v>0.14000000000000001</v>
      </c>
      <c r="F154">
        <v>49</v>
      </c>
      <c r="G154">
        <v>5.8888888888888893</v>
      </c>
      <c r="H154">
        <v>0.33333333333333343</v>
      </c>
      <c r="I154">
        <v>9</v>
      </c>
      <c r="J154">
        <v>-0.80703032565843036</v>
      </c>
      <c r="K154">
        <v>0.44158106963279359</v>
      </c>
      <c r="L154">
        <v>0.17893376629410529</v>
      </c>
    </row>
    <row r="155" spans="1:12" x14ac:dyDescent="0.25">
      <c r="A155">
        <v>42</v>
      </c>
      <c r="B155">
        <v>46</v>
      </c>
      <c r="C155" t="s">
        <v>21</v>
      </c>
      <c r="D155">
        <v>0.04</v>
      </c>
      <c r="E155">
        <v>0.2</v>
      </c>
      <c r="F155">
        <v>49</v>
      </c>
      <c r="G155">
        <v>0</v>
      </c>
      <c r="H155">
        <v>0</v>
      </c>
      <c r="I155">
        <v>9</v>
      </c>
      <c r="J155">
        <v>-1.4</v>
      </c>
      <c r="K155">
        <v>0.16794388930402609</v>
      </c>
      <c r="L155">
        <v>0.1673836620481183</v>
      </c>
    </row>
    <row r="156" spans="1:12" x14ac:dyDescent="0.25">
      <c r="A156">
        <v>42</v>
      </c>
      <c r="B156">
        <v>46</v>
      </c>
      <c r="C156" t="s">
        <v>22</v>
      </c>
      <c r="D156">
        <v>5.93</v>
      </c>
      <c r="E156">
        <v>0.24</v>
      </c>
      <c r="F156">
        <v>49</v>
      </c>
      <c r="G156">
        <v>5.8888888888888893</v>
      </c>
      <c r="H156">
        <v>0.33333333333333343</v>
      </c>
      <c r="I156">
        <v>9</v>
      </c>
      <c r="J156">
        <v>-0.35355075535051861</v>
      </c>
      <c r="K156">
        <v>0.73133071285342166</v>
      </c>
      <c r="L156">
        <v>2.187070387187947E-2</v>
      </c>
    </row>
    <row r="157" spans="1:12" x14ac:dyDescent="0.25">
      <c r="A157">
        <v>42</v>
      </c>
      <c r="B157">
        <v>46</v>
      </c>
      <c r="C157" t="s">
        <v>23</v>
      </c>
      <c r="D157">
        <v>0.5</v>
      </c>
      <c r="E157">
        <v>0.06</v>
      </c>
      <c r="F157">
        <v>49</v>
      </c>
      <c r="G157">
        <v>0.47222222222222221</v>
      </c>
      <c r="H157">
        <v>8.3333333333333343E-2</v>
      </c>
      <c r="I157">
        <v>9</v>
      </c>
      <c r="J157">
        <v>-0.95554258202844478</v>
      </c>
      <c r="K157">
        <v>0.36278963338398462</v>
      </c>
      <c r="L157">
        <v>0.19154857290882199</v>
      </c>
    </row>
    <row r="158" spans="1:12" x14ac:dyDescent="0.25">
      <c r="A158">
        <v>44</v>
      </c>
      <c r="B158">
        <v>48</v>
      </c>
      <c r="C158" t="s">
        <v>12</v>
      </c>
      <c r="D158">
        <v>46</v>
      </c>
      <c r="E158">
        <v>1.45</v>
      </c>
      <c r="F158">
        <v>48</v>
      </c>
      <c r="G158">
        <v>46.454545454545453</v>
      </c>
      <c r="H158">
        <v>1.507556722888818</v>
      </c>
      <c r="I158">
        <v>11</v>
      </c>
      <c r="J158">
        <v>0.90833974370874682</v>
      </c>
      <c r="K158">
        <v>0.37849816412722198</v>
      </c>
      <c r="L158">
        <v>-0.13133891210561319</v>
      </c>
    </row>
    <row r="159" spans="1:12" x14ac:dyDescent="0.25">
      <c r="A159">
        <v>44</v>
      </c>
      <c r="B159">
        <v>48</v>
      </c>
      <c r="C159" t="s">
        <v>13</v>
      </c>
      <c r="D159">
        <v>6.18</v>
      </c>
      <c r="E159">
        <v>2.0299999999999998</v>
      </c>
      <c r="F159">
        <v>48</v>
      </c>
      <c r="G159">
        <v>6.2272727272727284</v>
      </c>
      <c r="H159">
        <v>1.7082686610079281</v>
      </c>
      <c r="I159">
        <v>11</v>
      </c>
      <c r="J159">
        <v>7.9775526240154382E-2</v>
      </c>
      <c r="K159">
        <v>0.93733995370709045</v>
      </c>
      <c r="L159">
        <v>-6.7185986752759481E-4</v>
      </c>
    </row>
    <row r="160" spans="1:12" x14ac:dyDescent="0.25">
      <c r="A160">
        <v>44</v>
      </c>
      <c r="B160">
        <v>48</v>
      </c>
      <c r="C160" t="s">
        <v>14</v>
      </c>
      <c r="D160">
        <v>8.77</v>
      </c>
      <c r="E160">
        <v>1.94</v>
      </c>
      <c r="F160">
        <v>48</v>
      </c>
      <c r="G160">
        <v>9.7727272727272734</v>
      </c>
      <c r="H160">
        <v>2.338414381195475</v>
      </c>
      <c r="I160">
        <v>11</v>
      </c>
      <c r="J160">
        <v>1.3217648930728561</v>
      </c>
      <c r="K160">
        <v>0.20847758075721221</v>
      </c>
      <c r="L160">
        <v>-0.33875632122674398</v>
      </c>
    </row>
    <row r="161" spans="1:12" x14ac:dyDescent="0.25">
      <c r="A161">
        <v>44</v>
      </c>
      <c r="B161">
        <v>48</v>
      </c>
      <c r="C161" t="s">
        <v>15</v>
      </c>
      <c r="D161">
        <v>9.83</v>
      </c>
      <c r="E161">
        <v>1.68</v>
      </c>
      <c r="F161">
        <v>48</v>
      </c>
      <c r="G161">
        <v>11.18181818181818</v>
      </c>
      <c r="H161">
        <v>0.98164981721404287</v>
      </c>
      <c r="I161">
        <v>11</v>
      </c>
      <c r="J161">
        <v>3.5329935272032551</v>
      </c>
      <c r="K161">
        <v>1.5924738633651609E-3</v>
      </c>
      <c r="L161">
        <v>-2.3939015378677411</v>
      </c>
    </row>
    <row r="162" spans="1:12" x14ac:dyDescent="0.25">
      <c r="A162">
        <v>44</v>
      </c>
      <c r="B162">
        <v>48</v>
      </c>
      <c r="C162" t="s">
        <v>16</v>
      </c>
      <c r="D162">
        <v>24.79</v>
      </c>
      <c r="E162">
        <v>5.0199999999999996</v>
      </c>
      <c r="F162">
        <v>48</v>
      </c>
      <c r="G162">
        <v>27.18181818181818</v>
      </c>
      <c r="H162">
        <v>4.2442474437332658</v>
      </c>
      <c r="I162">
        <v>11</v>
      </c>
      <c r="J162">
        <v>1.626443176879351</v>
      </c>
      <c r="K162">
        <v>0.122176517959521</v>
      </c>
      <c r="L162">
        <v>-0.44632030973910058</v>
      </c>
    </row>
    <row r="163" spans="1:12" x14ac:dyDescent="0.25">
      <c r="A163">
        <v>44</v>
      </c>
      <c r="B163">
        <v>48</v>
      </c>
      <c r="C163" t="s">
        <v>17</v>
      </c>
      <c r="D163">
        <v>3.71</v>
      </c>
      <c r="E163">
        <v>1.77</v>
      </c>
      <c r="F163">
        <v>48</v>
      </c>
      <c r="G163">
        <v>4.9545454545454541</v>
      </c>
      <c r="H163">
        <v>1.55651125043389</v>
      </c>
      <c r="I163">
        <v>11</v>
      </c>
      <c r="J163">
        <v>2.3291369088971789</v>
      </c>
      <c r="K163">
        <v>3.2849281320309412E-2</v>
      </c>
      <c r="L163">
        <v>-1.064460545666603</v>
      </c>
    </row>
    <row r="164" spans="1:12" x14ac:dyDescent="0.25">
      <c r="A164">
        <v>44</v>
      </c>
      <c r="B164">
        <v>48</v>
      </c>
      <c r="C164" t="s">
        <v>18</v>
      </c>
      <c r="D164">
        <v>9.36</v>
      </c>
      <c r="E164">
        <v>1.86</v>
      </c>
      <c r="F164">
        <v>48</v>
      </c>
      <c r="G164">
        <v>11.13636363636364</v>
      </c>
      <c r="H164">
        <v>0.97700842091839435</v>
      </c>
      <c r="I164">
        <v>11</v>
      </c>
      <c r="J164">
        <v>4.4569290718682666</v>
      </c>
      <c r="K164">
        <v>1.127536491469479E-4</v>
      </c>
      <c r="L164">
        <v>-4.0353646485400256</v>
      </c>
    </row>
    <row r="165" spans="1:12" x14ac:dyDescent="0.25">
      <c r="A165">
        <v>44</v>
      </c>
      <c r="B165">
        <v>48</v>
      </c>
      <c r="C165" t="s">
        <v>19</v>
      </c>
      <c r="D165">
        <v>93.26</v>
      </c>
      <c r="E165">
        <v>8.4600000000000009</v>
      </c>
      <c r="F165">
        <v>48</v>
      </c>
      <c r="G165">
        <v>99.604743082727268</v>
      </c>
      <c r="H165">
        <v>1.3109188903861799</v>
      </c>
      <c r="I165">
        <v>11</v>
      </c>
      <c r="J165">
        <v>4.9434175175322839</v>
      </c>
      <c r="K165">
        <v>7.6866003241454044E-6</v>
      </c>
      <c r="L165">
        <v>-4.2131695912459071</v>
      </c>
    </row>
    <row r="166" spans="1:12" x14ac:dyDescent="0.25">
      <c r="A166">
        <v>44</v>
      </c>
      <c r="B166">
        <v>48</v>
      </c>
      <c r="C166" t="s">
        <v>20</v>
      </c>
      <c r="D166">
        <v>5.89</v>
      </c>
      <c r="E166">
        <v>0.3</v>
      </c>
      <c r="F166">
        <v>48</v>
      </c>
      <c r="G166">
        <v>5.9090909090909092</v>
      </c>
      <c r="H166">
        <v>0.30151134457776357</v>
      </c>
      <c r="I166">
        <v>11</v>
      </c>
      <c r="J166">
        <v>0.18959161946180331</v>
      </c>
      <c r="K166">
        <v>0.85218956855878381</v>
      </c>
      <c r="L166">
        <v>-4.4165112246471964E-3</v>
      </c>
    </row>
    <row r="167" spans="1:12" x14ac:dyDescent="0.25">
      <c r="A167">
        <v>44</v>
      </c>
      <c r="B167">
        <v>48</v>
      </c>
      <c r="C167" t="s">
        <v>21</v>
      </c>
      <c r="D167">
        <v>0.02</v>
      </c>
      <c r="E167">
        <v>0.14000000000000001</v>
      </c>
      <c r="F167">
        <v>48</v>
      </c>
      <c r="G167">
        <v>0</v>
      </c>
      <c r="H167">
        <v>0</v>
      </c>
      <c r="I167">
        <v>11</v>
      </c>
      <c r="J167">
        <v>-0.9897433186107869</v>
      </c>
      <c r="K167">
        <v>0.32736782377309143</v>
      </c>
      <c r="L167">
        <v>7.6295683440827891E-2</v>
      </c>
    </row>
    <row r="168" spans="1:12" x14ac:dyDescent="0.25">
      <c r="A168">
        <v>44</v>
      </c>
      <c r="B168">
        <v>48</v>
      </c>
      <c r="C168" t="s">
        <v>22</v>
      </c>
      <c r="D168">
        <v>5.87</v>
      </c>
      <c r="E168">
        <v>0.33</v>
      </c>
      <c r="F168">
        <v>48</v>
      </c>
      <c r="G168">
        <v>5.9090909090909092</v>
      </c>
      <c r="H168">
        <v>0.30151134457776357</v>
      </c>
      <c r="I168">
        <v>11</v>
      </c>
      <c r="J168">
        <v>0.38088629051848089</v>
      </c>
      <c r="K168">
        <v>0.70830127504467866</v>
      </c>
      <c r="L168">
        <v>-1.8005619811953019E-2</v>
      </c>
    </row>
    <row r="169" spans="1:12" x14ac:dyDescent="0.25">
      <c r="A169">
        <v>44</v>
      </c>
      <c r="B169">
        <v>48</v>
      </c>
      <c r="C169" t="s">
        <v>23</v>
      </c>
      <c r="D169">
        <v>0.47</v>
      </c>
      <c r="E169">
        <v>0.08</v>
      </c>
      <c r="F169">
        <v>48</v>
      </c>
      <c r="G169">
        <v>0.47727272727272729</v>
      </c>
      <c r="H169">
        <v>7.5377836144440907E-2</v>
      </c>
      <c r="I169">
        <v>11</v>
      </c>
      <c r="J169">
        <v>0.28529006233893328</v>
      </c>
      <c r="K169">
        <v>0.77917305634150402</v>
      </c>
      <c r="L169">
        <v>-9.9498898423489215E-3</v>
      </c>
    </row>
    <row r="170" spans="1:12" x14ac:dyDescent="0.25">
      <c r="A170">
        <v>46</v>
      </c>
      <c r="B170">
        <v>50</v>
      </c>
      <c r="C170" t="s">
        <v>12</v>
      </c>
      <c r="D170">
        <v>47.61</v>
      </c>
      <c r="E170">
        <v>1.32</v>
      </c>
      <c r="F170">
        <v>41</v>
      </c>
      <c r="G170">
        <v>48.230769230769234</v>
      </c>
      <c r="H170">
        <v>1.423250162705427</v>
      </c>
      <c r="I170">
        <v>13</v>
      </c>
      <c r="J170">
        <v>1.3939628326168449</v>
      </c>
      <c r="K170">
        <v>0.17940734110795181</v>
      </c>
      <c r="L170">
        <v>-0.3445015971720502</v>
      </c>
    </row>
    <row r="171" spans="1:12" x14ac:dyDescent="0.25">
      <c r="A171">
        <v>46</v>
      </c>
      <c r="B171">
        <v>50</v>
      </c>
      <c r="C171" t="s">
        <v>13</v>
      </c>
      <c r="D171">
        <v>6.08</v>
      </c>
      <c r="E171">
        <v>2.0299999999999998</v>
      </c>
      <c r="F171">
        <v>41</v>
      </c>
      <c r="G171">
        <v>6.7692307692307692</v>
      </c>
      <c r="H171">
        <v>2.2695023740108811</v>
      </c>
      <c r="I171">
        <v>13</v>
      </c>
      <c r="J171">
        <v>0.97793937504790551</v>
      </c>
      <c r="K171">
        <v>0.34071804444195569</v>
      </c>
      <c r="L171">
        <v>-0.15437377780817829</v>
      </c>
    </row>
    <row r="172" spans="1:12" x14ac:dyDescent="0.25">
      <c r="A172">
        <v>46</v>
      </c>
      <c r="B172">
        <v>50</v>
      </c>
      <c r="C172" t="s">
        <v>14</v>
      </c>
      <c r="D172">
        <v>8.66</v>
      </c>
      <c r="E172">
        <v>1.96</v>
      </c>
      <c r="F172">
        <v>41</v>
      </c>
      <c r="G172">
        <v>9.9615384615384617</v>
      </c>
      <c r="H172">
        <v>2.3757589880353538</v>
      </c>
      <c r="I172">
        <v>13</v>
      </c>
      <c r="J172">
        <v>1.7914053302874531</v>
      </c>
      <c r="K172">
        <v>9.0544691502419575E-2</v>
      </c>
      <c r="L172">
        <v>-0.65798554536075182</v>
      </c>
    </row>
    <row r="173" spans="1:12" x14ac:dyDescent="0.25">
      <c r="A173">
        <v>46</v>
      </c>
      <c r="B173">
        <v>50</v>
      </c>
      <c r="C173" t="s">
        <v>15</v>
      </c>
      <c r="D173">
        <v>9.73</v>
      </c>
      <c r="E173">
        <v>1.72</v>
      </c>
      <c r="F173">
        <v>41</v>
      </c>
      <c r="G173">
        <v>11.30769230769231</v>
      </c>
      <c r="H173">
        <v>0.96907304373951308</v>
      </c>
      <c r="I173">
        <v>13</v>
      </c>
      <c r="J173">
        <v>4.1518972478851532</v>
      </c>
      <c r="K173">
        <v>1.8667812170521699E-4</v>
      </c>
      <c r="L173">
        <v>-3.726440728638611</v>
      </c>
    </row>
    <row r="174" spans="1:12" x14ac:dyDescent="0.25">
      <c r="A174">
        <v>46</v>
      </c>
      <c r="B174">
        <v>50</v>
      </c>
      <c r="C174" t="s">
        <v>16</v>
      </c>
      <c r="D174">
        <v>24.48</v>
      </c>
      <c r="E174">
        <v>5.07</v>
      </c>
      <c r="F174">
        <v>41</v>
      </c>
      <c r="G174">
        <v>28.03846153846154</v>
      </c>
      <c r="H174">
        <v>4.9390516062530434</v>
      </c>
      <c r="I174">
        <v>13</v>
      </c>
      <c r="J174">
        <v>2.249027249002244</v>
      </c>
      <c r="K174">
        <v>3.5551650183672193E-2</v>
      </c>
      <c r="L174">
        <v>-1.0231398311542079</v>
      </c>
    </row>
    <row r="175" spans="1:12" x14ac:dyDescent="0.25">
      <c r="A175">
        <v>46</v>
      </c>
      <c r="B175">
        <v>50</v>
      </c>
      <c r="C175" t="s">
        <v>17</v>
      </c>
      <c r="D175">
        <v>3.71</v>
      </c>
      <c r="E175">
        <v>1.77</v>
      </c>
      <c r="F175">
        <v>41</v>
      </c>
      <c r="G175">
        <v>4.5769230769230766</v>
      </c>
      <c r="H175">
        <v>1.913179659691272</v>
      </c>
      <c r="I175">
        <v>13</v>
      </c>
      <c r="J175">
        <v>1.4489620703621671</v>
      </c>
      <c r="K175">
        <v>0.16367125109814759</v>
      </c>
      <c r="L175">
        <v>-0.37771976100084242</v>
      </c>
    </row>
    <row r="176" spans="1:12" x14ac:dyDescent="0.25">
      <c r="A176">
        <v>46</v>
      </c>
      <c r="B176">
        <v>50</v>
      </c>
      <c r="C176" t="s">
        <v>18</v>
      </c>
      <c r="D176">
        <v>9.25</v>
      </c>
      <c r="E176">
        <v>1.9</v>
      </c>
      <c r="F176">
        <v>41</v>
      </c>
      <c r="G176">
        <v>11.03846153846154</v>
      </c>
      <c r="H176">
        <v>1.3301243435223531</v>
      </c>
      <c r="I176">
        <v>13</v>
      </c>
      <c r="J176">
        <v>3.777605255123142</v>
      </c>
      <c r="K176">
        <v>7.3163365389045793E-4</v>
      </c>
      <c r="L176">
        <v>-3.1422891761330609</v>
      </c>
    </row>
    <row r="177" spans="1:12" x14ac:dyDescent="0.25">
      <c r="A177">
        <v>46</v>
      </c>
      <c r="B177">
        <v>50</v>
      </c>
      <c r="C177" t="s">
        <v>19</v>
      </c>
      <c r="D177">
        <v>93.38</v>
      </c>
      <c r="E177">
        <v>8.5299999999999994</v>
      </c>
      <c r="F177">
        <v>41</v>
      </c>
      <c r="G177">
        <v>97.435897436153851</v>
      </c>
      <c r="H177">
        <v>9.2450032694959852</v>
      </c>
      <c r="I177">
        <v>13</v>
      </c>
      <c r="J177">
        <v>1.4036618677649719</v>
      </c>
      <c r="K177">
        <v>0.17660472375171529</v>
      </c>
      <c r="L177">
        <v>-0.35103505035670551</v>
      </c>
    </row>
    <row r="178" spans="1:12" x14ac:dyDescent="0.25">
      <c r="A178">
        <v>46</v>
      </c>
      <c r="B178">
        <v>50</v>
      </c>
      <c r="C178" t="s">
        <v>20</v>
      </c>
      <c r="D178">
        <v>5.87</v>
      </c>
      <c r="E178">
        <v>0.33</v>
      </c>
      <c r="F178">
        <v>41</v>
      </c>
      <c r="G178">
        <v>6</v>
      </c>
      <c r="H178">
        <v>0</v>
      </c>
      <c r="I178">
        <v>13</v>
      </c>
      <c r="J178">
        <v>2.522442881412938</v>
      </c>
      <c r="K178">
        <v>1.5735308911465951E-2</v>
      </c>
      <c r="L178">
        <v>-0.80989153100622036</v>
      </c>
    </row>
    <row r="179" spans="1:12" x14ac:dyDescent="0.25">
      <c r="A179">
        <v>46</v>
      </c>
      <c r="B179">
        <v>50</v>
      </c>
      <c r="C179" t="s">
        <v>21</v>
      </c>
      <c r="D179">
        <v>0.02</v>
      </c>
      <c r="E179">
        <v>0.15</v>
      </c>
      <c r="F179">
        <v>41</v>
      </c>
      <c r="G179">
        <v>0</v>
      </c>
      <c r="H179">
        <v>0</v>
      </c>
      <c r="I179">
        <v>13</v>
      </c>
      <c r="J179">
        <v>-0.85374989832437986</v>
      </c>
      <c r="K179">
        <v>0.39832761437286551</v>
      </c>
      <c r="L179">
        <v>6.0772807262901497E-2</v>
      </c>
    </row>
    <row r="180" spans="1:12" x14ac:dyDescent="0.25">
      <c r="A180">
        <v>46</v>
      </c>
      <c r="B180">
        <v>50</v>
      </c>
      <c r="C180" t="s">
        <v>22</v>
      </c>
      <c r="D180">
        <v>5.85</v>
      </c>
      <c r="E180">
        <v>0.35</v>
      </c>
      <c r="F180">
        <v>41</v>
      </c>
      <c r="G180">
        <v>6</v>
      </c>
      <c r="H180">
        <v>0</v>
      </c>
      <c r="I180">
        <v>13</v>
      </c>
      <c r="J180">
        <v>2.7441961017569421</v>
      </c>
      <c r="K180">
        <v>9.0379212409564622E-3</v>
      </c>
      <c r="L180">
        <v>-0.99876017446707355</v>
      </c>
    </row>
    <row r="181" spans="1:12" x14ac:dyDescent="0.25">
      <c r="A181">
        <v>46</v>
      </c>
      <c r="B181">
        <v>50</v>
      </c>
      <c r="C181" t="s">
        <v>23</v>
      </c>
      <c r="D181">
        <v>0.47</v>
      </c>
      <c r="E181">
        <v>0.09</v>
      </c>
      <c r="F181">
        <v>41</v>
      </c>
      <c r="G181">
        <v>0.5</v>
      </c>
      <c r="H181">
        <v>0</v>
      </c>
      <c r="I181">
        <v>13</v>
      </c>
      <c r="J181">
        <v>2.134374745810951</v>
      </c>
      <c r="K181">
        <v>3.8992533267619471E-2</v>
      </c>
      <c r="L181">
        <v>-0.53550944089073671</v>
      </c>
    </row>
    <row r="182" spans="1:12" x14ac:dyDescent="0.25">
      <c r="A182">
        <v>48</v>
      </c>
      <c r="B182">
        <v>52</v>
      </c>
      <c r="C182" t="s">
        <v>12</v>
      </c>
      <c r="D182">
        <v>50.07</v>
      </c>
      <c r="E182">
        <v>1.62</v>
      </c>
      <c r="F182">
        <v>39</v>
      </c>
      <c r="G182">
        <v>49.81818181818182</v>
      </c>
      <c r="H182">
        <v>1.4709304414677</v>
      </c>
      <c r="I182">
        <v>11</v>
      </c>
      <c r="J182">
        <v>-0.49011298217389582</v>
      </c>
      <c r="K182">
        <v>0.63015070567999931</v>
      </c>
      <c r="L182">
        <v>3.1761300528156483E-2</v>
      </c>
    </row>
    <row r="183" spans="1:12" x14ac:dyDescent="0.25">
      <c r="A183">
        <v>48</v>
      </c>
      <c r="B183">
        <v>52</v>
      </c>
      <c r="C183" t="s">
        <v>13</v>
      </c>
      <c r="D183">
        <v>5.98</v>
      </c>
      <c r="E183">
        <v>2.0299999999999998</v>
      </c>
      <c r="F183">
        <v>39</v>
      </c>
      <c r="G183">
        <v>7.6818181818181817</v>
      </c>
      <c r="H183">
        <v>2.0404990476930789</v>
      </c>
      <c r="I183">
        <v>11</v>
      </c>
      <c r="J183">
        <v>2.4457457427391929</v>
      </c>
      <c r="K183">
        <v>2.636922058944784E-2</v>
      </c>
      <c r="L183">
        <v>-1.3222203568984749</v>
      </c>
    </row>
    <row r="184" spans="1:12" x14ac:dyDescent="0.25">
      <c r="A184">
        <v>48</v>
      </c>
      <c r="B184">
        <v>52</v>
      </c>
      <c r="C184" t="s">
        <v>14</v>
      </c>
      <c r="D184">
        <v>8.56</v>
      </c>
      <c r="E184">
        <v>1.97</v>
      </c>
      <c r="F184">
        <v>39</v>
      </c>
      <c r="G184">
        <v>10.36363636363636</v>
      </c>
      <c r="H184">
        <v>2.0011360409890822</v>
      </c>
      <c r="I184">
        <v>11</v>
      </c>
      <c r="J184">
        <v>2.649086131426547</v>
      </c>
      <c r="K184">
        <v>1.756861031733192E-2</v>
      </c>
      <c r="L184">
        <v>-1.601726279123094</v>
      </c>
    </row>
    <row r="185" spans="1:12" x14ac:dyDescent="0.25">
      <c r="A185">
        <v>48</v>
      </c>
      <c r="B185">
        <v>52</v>
      </c>
      <c r="C185" t="s">
        <v>15</v>
      </c>
      <c r="D185">
        <v>9.6300000000000008</v>
      </c>
      <c r="E185">
        <v>1.76</v>
      </c>
      <c r="F185">
        <v>39</v>
      </c>
      <c r="G185">
        <v>11.59090909090909</v>
      </c>
      <c r="H185">
        <v>0.4369314487526515</v>
      </c>
      <c r="I185">
        <v>11</v>
      </c>
      <c r="J185">
        <v>6.3032187353430666</v>
      </c>
      <c r="K185">
        <v>8.7852992463858731E-8</v>
      </c>
      <c r="L185">
        <v>-8.7650331678701825</v>
      </c>
    </row>
    <row r="186" spans="1:12" x14ac:dyDescent="0.25">
      <c r="A186">
        <v>48</v>
      </c>
      <c r="B186">
        <v>52</v>
      </c>
      <c r="C186" t="s">
        <v>16</v>
      </c>
      <c r="D186">
        <v>24.18</v>
      </c>
      <c r="E186">
        <v>5.12</v>
      </c>
      <c r="F186">
        <v>39</v>
      </c>
      <c r="G186">
        <v>29.63636363636364</v>
      </c>
      <c r="H186">
        <v>4.1957770978145934</v>
      </c>
      <c r="I186">
        <v>11</v>
      </c>
      <c r="J186">
        <v>3.6194615823282952</v>
      </c>
      <c r="K186">
        <v>1.792752864443943E-3</v>
      </c>
      <c r="L186">
        <v>-3.0324999363658649</v>
      </c>
    </row>
    <row r="187" spans="1:12" x14ac:dyDescent="0.25">
      <c r="A187">
        <v>48</v>
      </c>
      <c r="B187">
        <v>52</v>
      </c>
      <c r="C187" t="s">
        <v>17</v>
      </c>
      <c r="D187">
        <v>3.72</v>
      </c>
      <c r="E187">
        <v>1.78</v>
      </c>
      <c r="F187">
        <v>39</v>
      </c>
      <c r="G187">
        <v>3.954545454545455</v>
      </c>
      <c r="H187">
        <v>1.781215111301067</v>
      </c>
      <c r="I187">
        <v>11</v>
      </c>
      <c r="J187">
        <v>0.38576201382512348</v>
      </c>
      <c r="K187">
        <v>0.70472541610714645</v>
      </c>
      <c r="L187">
        <v>-2.0023125452000509E-2</v>
      </c>
    </row>
    <row r="188" spans="1:12" x14ac:dyDescent="0.25">
      <c r="A188">
        <v>48</v>
      </c>
      <c r="B188">
        <v>52</v>
      </c>
      <c r="C188" t="s">
        <v>18</v>
      </c>
      <c r="D188">
        <v>9.14</v>
      </c>
      <c r="E188">
        <v>1.94</v>
      </c>
      <c r="F188">
        <v>39</v>
      </c>
      <c r="G188">
        <v>11.18181818181818</v>
      </c>
      <c r="H188">
        <v>1.2302992983970871</v>
      </c>
      <c r="I188">
        <v>11</v>
      </c>
      <c r="J188">
        <v>4.2199850769522582</v>
      </c>
      <c r="K188">
        <v>2.6941583933786148E-4</v>
      </c>
      <c r="L188">
        <v>-4.0152767400355591</v>
      </c>
    </row>
    <row r="189" spans="1:12" x14ac:dyDescent="0.25">
      <c r="A189">
        <v>48</v>
      </c>
      <c r="B189">
        <v>52</v>
      </c>
      <c r="C189" t="s">
        <v>19</v>
      </c>
      <c r="D189">
        <v>94.16</v>
      </c>
      <c r="E189">
        <v>8.42</v>
      </c>
      <c r="F189">
        <v>39</v>
      </c>
      <c r="G189">
        <v>96.14325068909092</v>
      </c>
      <c r="H189">
        <v>10.149561917897531</v>
      </c>
      <c r="I189">
        <v>11</v>
      </c>
      <c r="J189">
        <v>0.59306691686224822</v>
      </c>
      <c r="K189">
        <v>0.56251639331842807</v>
      </c>
      <c r="L189">
        <v>-5.6258336249161732E-2</v>
      </c>
    </row>
    <row r="190" spans="1:12" x14ac:dyDescent="0.25">
      <c r="A190">
        <v>48</v>
      </c>
      <c r="B190">
        <v>52</v>
      </c>
      <c r="C190" t="s">
        <v>20</v>
      </c>
      <c r="D190">
        <v>5.76</v>
      </c>
      <c r="E190">
        <v>0.42</v>
      </c>
      <c r="F190">
        <v>39</v>
      </c>
      <c r="G190">
        <v>5.9090909090909092</v>
      </c>
      <c r="H190">
        <v>0.30151134457776357</v>
      </c>
      <c r="I190">
        <v>11</v>
      </c>
      <c r="J190">
        <v>1.318431785862811</v>
      </c>
      <c r="K190">
        <v>0.2008053379222646</v>
      </c>
      <c r="L190">
        <v>-0.26102787411376421</v>
      </c>
    </row>
    <row r="191" spans="1:12" x14ac:dyDescent="0.25">
      <c r="A191">
        <v>48</v>
      </c>
      <c r="B191">
        <v>52</v>
      </c>
      <c r="C191" t="s">
        <v>21</v>
      </c>
      <c r="D191">
        <v>0.02</v>
      </c>
      <c r="E191">
        <v>0.16</v>
      </c>
      <c r="F191">
        <v>39</v>
      </c>
      <c r="G191">
        <v>0</v>
      </c>
      <c r="H191">
        <v>0</v>
      </c>
      <c r="I191">
        <v>11</v>
      </c>
      <c r="J191">
        <v>-0.78062474979979979</v>
      </c>
      <c r="K191">
        <v>0.43985919544633478</v>
      </c>
      <c r="L191">
        <v>5.0110102604639141E-2</v>
      </c>
    </row>
    <row r="192" spans="1:12" x14ac:dyDescent="0.25">
      <c r="A192">
        <v>48</v>
      </c>
      <c r="B192">
        <v>52</v>
      </c>
      <c r="C192" t="s">
        <v>22</v>
      </c>
      <c r="D192">
        <v>5.74</v>
      </c>
      <c r="E192">
        <v>0.49</v>
      </c>
      <c r="F192">
        <v>39</v>
      </c>
      <c r="G192">
        <v>5.9090909090909092</v>
      </c>
      <c r="H192">
        <v>0.30151134457776357</v>
      </c>
      <c r="I192">
        <v>11</v>
      </c>
      <c r="J192">
        <v>1.4080707663269809</v>
      </c>
      <c r="K192">
        <v>0.17070465470477331</v>
      </c>
      <c r="L192">
        <v>-0.28395549709092749</v>
      </c>
    </row>
    <row r="193" spans="1:12" x14ac:dyDescent="0.25">
      <c r="A193">
        <v>48</v>
      </c>
      <c r="B193">
        <v>52</v>
      </c>
      <c r="C193" t="s">
        <v>23</v>
      </c>
      <c r="D193">
        <v>0.44</v>
      </c>
      <c r="E193">
        <v>0.1</v>
      </c>
      <c r="F193">
        <v>39</v>
      </c>
      <c r="G193">
        <v>0.47727272727272729</v>
      </c>
      <c r="H193">
        <v>7.5377836144440907E-2</v>
      </c>
      <c r="I193">
        <v>11</v>
      </c>
      <c r="J193">
        <v>1.340659561676746</v>
      </c>
      <c r="K193">
        <v>0.19433536048441519</v>
      </c>
      <c r="L193">
        <v>-0.27797433713039738</v>
      </c>
    </row>
    <row r="194" spans="1:12" x14ac:dyDescent="0.25">
      <c r="A194">
        <v>50</v>
      </c>
      <c r="B194">
        <v>54</v>
      </c>
      <c r="C194" t="s">
        <v>12</v>
      </c>
      <c r="D194">
        <v>52.16</v>
      </c>
      <c r="E194">
        <v>1.23</v>
      </c>
      <c r="F194">
        <v>36</v>
      </c>
      <c r="G194">
        <v>51.5</v>
      </c>
      <c r="H194">
        <v>1.509230856356236</v>
      </c>
      <c r="I194">
        <v>10</v>
      </c>
      <c r="J194">
        <v>-1.2706347462679111</v>
      </c>
      <c r="K194">
        <v>0.2269661123620873</v>
      </c>
      <c r="L194">
        <v>0.32898954259453672</v>
      </c>
    </row>
    <row r="195" spans="1:12" x14ac:dyDescent="0.25">
      <c r="A195">
        <v>50</v>
      </c>
      <c r="B195">
        <v>54</v>
      </c>
      <c r="C195" t="s">
        <v>13</v>
      </c>
      <c r="D195">
        <v>5.88</v>
      </c>
      <c r="E195">
        <v>2.02</v>
      </c>
      <c r="F195">
        <v>36</v>
      </c>
      <c r="G195">
        <v>7.35</v>
      </c>
      <c r="H195">
        <v>2.4272755646334572</v>
      </c>
      <c r="I195">
        <v>10</v>
      </c>
      <c r="J195">
        <v>1.7538430898398021</v>
      </c>
      <c r="K195">
        <v>0.10358547999110861</v>
      </c>
      <c r="L195">
        <v>-0.68611752480114285</v>
      </c>
    </row>
    <row r="196" spans="1:12" x14ac:dyDescent="0.25">
      <c r="A196">
        <v>50</v>
      </c>
      <c r="B196">
        <v>54</v>
      </c>
      <c r="C196" t="s">
        <v>14</v>
      </c>
      <c r="D196">
        <v>8.4499999999999993</v>
      </c>
      <c r="E196">
        <v>1.99</v>
      </c>
      <c r="F196">
        <v>36</v>
      </c>
      <c r="G196">
        <v>10.050000000000001</v>
      </c>
      <c r="H196">
        <v>2.0743138088962758</v>
      </c>
      <c r="I196">
        <v>10</v>
      </c>
      <c r="J196">
        <v>2.176758824622242</v>
      </c>
      <c r="K196">
        <v>4.7164115361177102E-2</v>
      </c>
      <c r="L196">
        <v>-1.0571283876178841</v>
      </c>
    </row>
    <row r="197" spans="1:12" x14ac:dyDescent="0.25">
      <c r="A197">
        <v>50</v>
      </c>
      <c r="B197">
        <v>54</v>
      </c>
      <c r="C197" t="s">
        <v>15</v>
      </c>
      <c r="D197">
        <v>9.5299999999999994</v>
      </c>
      <c r="E197">
        <v>1.8</v>
      </c>
      <c r="F197">
        <v>36</v>
      </c>
      <c r="G197">
        <v>11.4</v>
      </c>
      <c r="H197">
        <v>0.7745966692414834</v>
      </c>
      <c r="I197">
        <v>10</v>
      </c>
      <c r="J197">
        <v>4.8283192382719156</v>
      </c>
      <c r="K197">
        <v>2.5912345444751721E-5</v>
      </c>
      <c r="L197">
        <v>-5.2196392177079352</v>
      </c>
    </row>
    <row r="198" spans="1:12" x14ac:dyDescent="0.25">
      <c r="A198">
        <v>50</v>
      </c>
      <c r="B198">
        <v>54</v>
      </c>
      <c r="C198" t="s">
        <v>16</v>
      </c>
      <c r="D198">
        <v>23.87</v>
      </c>
      <c r="E198">
        <v>5.18</v>
      </c>
      <c r="F198">
        <v>36</v>
      </c>
      <c r="G198">
        <v>28.8</v>
      </c>
      <c r="H198">
        <v>4.967673276069771</v>
      </c>
      <c r="I198">
        <v>10</v>
      </c>
      <c r="J198">
        <v>2.75032043964063</v>
      </c>
      <c r="K198">
        <v>1.494169322114682E-2</v>
      </c>
      <c r="L198">
        <v>-1.75193930806321</v>
      </c>
    </row>
    <row r="199" spans="1:12" x14ac:dyDescent="0.25">
      <c r="A199">
        <v>50</v>
      </c>
      <c r="B199">
        <v>54</v>
      </c>
      <c r="C199" t="s">
        <v>17</v>
      </c>
      <c r="D199">
        <v>3.73</v>
      </c>
      <c r="E199">
        <v>1.79</v>
      </c>
      <c r="F199">
        <v>36</v>
      </c>
      <c r="G199">
        <v>4.0999999999999996</v>
      </c>
      <c r="H199">
        <v>1.86785676348292</v>
      </c>
      <c r="I199">
        <v>10</v>
      </c>
      <c r="J199">
        <v>0.55913719558477071</v>
      </c>
      <c r="K199">
        <v>0.58493703108869655</v>
      </c>
      <c r="L199">
        <v>-4.7707733559343393E-2</v>
      </c>
    </row>
    <row r="200" spans="1:12" x14ac:dyDescent="0.25">
      <c r="A200">
        <v>50</v>
      </c>
      <c r="B200">
        <v>54</v>
      </c>
      <c r="C200" t="s">
        <v>18</v>
      </c>
      <c r="D200">
        <v>9.0299999999999994</v>
      </c>
      <c r="E200">
        <v>1.98</v>
      </c>
      <c r="F200">
        <v>36</v>
      </c>
      <c r="G200">
        <v>10.7</v>
      </c>
      <c r="H200">
        <v>1.8135294011647261</v>
      </c>
      <c r="I200">
        <v>10</v>
      </c>
      <c r="J200">
        <v>2.5239695066513428</v>
      </c>
      <c r="K200">
        <v>2.2943282393734901E-2</v>
      </c>
      <c r="L200">
        <v>-1.4060370855975211</v>
      </c>
    </row>
    <row r="201" spans="1:12" x14ac:dyDescent="0.25">
      <c r="A201">
        <v>50</v>
      </c>
      <c r="B201">
        <v>54</v>
      </c>
      <c r="C201" t="s">
        <v>19</v>
      </c>
      <c r="D201">
        <v>95.96</v>
      </c>
      <c r="E201">
        <v>7.31</v>
      </c>
      <c r="F201">
        <v>36</v>
      </c>
      <c r="G201">
        <v>93.125996811000007</v>
      </c>
      <c r="H201">
        <v>12.53332143606295</v>
      </c>
      <c r="I201">
        <v>10</v>
      </c>
      <c r="J201">
        <v>-0.68348289656013328</v>
      </c>
      <c r="K201">
        <v>0.50875672213802825</v>
      </c>
      <c r="L201">
        <v>9.6275723924807516E-2</v>
      </c>
    </row>
    <row r="202" spans="1:12" x14ac:dyDescent="0.25">
      <c r="A202">
        <v>50</v>
      </c>
      <c r="B202">
        <v>54</v>
      </c>
      <c r="C202" t="s">
        <v>20</v>
      </c>
      <c r="D202">
        <v>5.86</v>
      </c>
      <c r="E202">
        <v>0.35</v>
      </c>
      <c r="F202">
        <v>36</v>
      </c>
      <c r="G202">
        <v>5.9</v>
      </c>
      <c r="H202">
        <v>0.31622776601683789</v>
      </c>
      <c r="I202">
        <v>10</v>
      </c>
      <c r="J202">
        <v>0.34551156035937369</v>
      </c>
      <c r="K202">
        <v>0.7342959091668424</v>
      </c>
      <c r="L202">
        <v>-1.562534479400169E-2</v>
      </c>
    </row>
    <row r="203" spans="1:12" x14ac:dyDescent="0.25">
      <c r="A203">
        <v>50</v>
      </c>
      <c r="B203">
        <v>54</v>
      </c>
      <c r="C203" t="s">
        <v>21</v>
      </c>
      <c r="D203">
        <v>0.02</v>
      </c>
      <c r="E203">
        <v>0.16</v>
      </c>
      <c r="F203">
        <v>36</v>
      </c>
      <c r="G203">
        <v>0</v>
      </c>
      <c r="H203">
        <v>0</v>
      </c>
      <c r="I203">
        <v>10</v>
      </c>
      <c r="J203">
        <v>-0.75</v>
      </c>
      <c r="K203">
        <v>0.4582669236562269</v>
      </c>
      <c r="L203">
        <v>4.7495249571196302E-2</v>
      </c>
    </row>
    <row r="204" spans="1:12" x14ac:dyDescent="0.25">
      <c r="A204">
        <v>50</v>
      </c>
      <c r="B204">
        <v>54</v>
      </c>
      <c r="C204" t="s">
        <v>22</v>
      </c>
      <c r="D204">
        <v>5.83</v>
      </c>
      <c r="E204">
        <v>0.44</v>
      </c>
      <c r="F204">
        <v>36</v>
      </c>
      <c r="G204">
        <v>5.9</v>
      </c>
      <c r="H204">
        <v>0.31622776601683789</v>
      </c>
      <c r="I204">
        <v>10</v>
      </c>
      <c r="J204">
        <v>0.56448349709899615</v>
      </c>
      <c r="K204">
        <v>0.57876144964118315</v>
      </c>
      <c r="L204">
        <v>-3.9803498740702603E-2</v>
      </c>
    </row>
    <row r="205" spans="1:12" x14ac:dyDescent="0.25">
      <c r="A205">
        <v>50</v>
      </c>
      <c r="B205">
        <v>54</v>
      </c>
      <c r="C205" t="s">
        <v>23</v>
      </c>
      <c r="D205">
        <v>0.47</v>
      </c>
      <c r="E205">
        <v>0.08</v>
      </c>
      <c r="F205">
        <v>36</v>
      </c>
      <c r="G205">
        <v>0.47499999999999998</v>
      </c>
      <c r="H205">
        <v>7.9056941504209485E-2</v>
      </c>
      <c r="I205">
        <v>10</v>
      </c>
      <c r="J205">
        <v>0.1764705882352943</v>
      </c>
      <c r="K205">
        <v>0.86235778904938809</v>
      </c>
      <c r="L205">
        <v>-4.0292015187665068E-3</v>
      </c>
    </row>
    <row r="206" spans="1:12" x14ac:dyDescent="0.25">
      <c r="A206">
        <v>52</v>
      </c>
      <c r="B206">
        <v>56</v>
      </c>
      <c r="C206" t="s">
        <v>12</v>
      </c>
      <c r="D206">
        <v>53.6</v>
      </c>
      <c r="E206">
        <v>1.44</v>
      </c>
      <c r="F206">
        <v>38</v>
      </c>
      <c r="G206">
        <v>54.111111111111107</v>
      </c>
      <c r="H206">
        <v>1.6914819275153701</v>
      </c>
      <c r="I206">
        <v>9</v>
      </c>
      <c r="J206">
        <v>0.83747118579964563</v>
      </c>
      <c r="K206">
        <v>0.42029100678614228</v>
      </c>
      <c r="L206">
        <v>-0.12932209892479329</v>
      </c>
    </row>
    <row r="207" spans="1:12" x14ac:dyDescent="0.25">
      <c r="A207">
        <v>52</v>
      </c>
      <c r="B207">
        <v>56</v>
      </c>
      <c r="C207" t="s">
        <v>13</v>
      </c>
      <c r="D207">
        <v>5.78</v>
      </c>
      <c r="E207">
        <v>2.02</v>
      </c>
      <c r="F207">
        <v>38</v>
      </c>
      <c r="G207">
        <v>6.4444444444444446</v>
      </c>
      <c r="H207">
        <v>2.429563289518875</v>
      </c>
      <c r="I207">
        <v>9</v>
      </c>
      <c r="J207">
        <v>0.7605490327980341</v>
      </c>
      <c r="K207">
        <v>0.46324986248764932</v>
      </c>
      <c r="L207">
        <v>-0.10580420607416061</v>
      </c>
    </row>
    <row r="208" spans="1:12" x14ac:dyDescent="0.25">
      <c r="A208">
        <v>52</v>
      </c>
      <c r="B208">
        <v>56</v>
      </c>
      <c r="C208" t="s">
        <v>14</v>
      </c>
      <c r="D208">
        <v>8.35</v>
      </c>
      <c r="E208">
        <v>2</v>
      </c>
      <c r="F208">
        <v>38</v>
      </c>
      <c r="G208">
        <v>10.22222222222222</v>
      </c>
      <c r="H208">
        <v>1.3488678380198871</v>
      </c>
      <c r="I208">
        <v>9</v>
      </c>
      <c r="J208">
        <v>3.3766710721837541</v>
      </c>
      <c r="K208">
        <v>3.4737499925868538E-3</v>
      </c>
      <c r="L208">
        <v>-2.4224613070367749</v>
      </c>
    </row>
    <row r="209" spans="1:12" x14ac:dyDescent="0.25">
      <c r="A209">
        <v>52</v>
      </c>
      <c r="B209">
        <v>56</v>
      </c>
      <c r="C209" t="s">
        <v>15</v>
      </c>
      <c r="D209">
        <v>9.43</v>
      </c>
      <c r="E209">
        <v>1.84</v>
      </c>
      <c r="F209">
        <v>38</v>
      </c>
      <c r="G209">
        <v>11.555555555555561</v>
      </c>
      <c r="H209">
        <v>0.80794664290272145</v>
      </c>
      <c r="I209">
        <v>9</v>
      </c>
      <c r="J209">
        <v>5.2870982886040121</v>
      </c>
      <c r="K209">
        <v>1.040179033729853E-5</v>
      </c>
      <c r="L209">
        <v>-6.219744279667923</v>
      </c>
    </row>
    <row r="210" spans="1:12" x14ac:dyDescent="0.25">
      <c r="A210">
        <v>52</v>
      </c>
      <c r="B210">
        <v>56</v>
      </c>
      <c r="C210" t="s">
        <v>16</v>
      </c>
      <c r="D210">
        <v>23.57</v>
      </c>
      <c r="E210">
        <v>5.23</v>
      </c>
      <c r="F210">
        <v>38</v>
      </c>
      <c r="G210">
        <v>28.222222222222221</v>
      </c>
      <c r="H210">
        <v>3.8169941635329292</v>
      </c>
      <c r="I210">
        <v>9</v>
      </c>
      <c r="J210">
        <v>3.0421367679640499</v>
      </c>
      <c r="K210">
        <v>7.7602917062539857E-3</v>
      </c>
      <c r="L210">
        <v>-1.9602062418986981</v>
      </c>
    </row>
    <row r="211" spans="1:12" x14ac:dyDescent="0.25">
      <c r="A211">
        <v>52</v>
      </c>
      <c r="B211">
        <v>56</v>
      </c>
      <c r="C211" t="s">
        <v>17</v>
      </c>
      <c r="D211">
        <v>3.73</v>
      </c>
      <c r="E211">
        <v>1.8</v>
      </c>
      <c r="F211">
        <v>38</v>
      </c>
      <c r="G211">
        <v>5.1111111111111107</v>
      </c>
      <c r="H211">
        <v>2.2607766610417559</v>
      </c>
      <c r="I211">
        <v>9</v>
      </c>
      <c r="J211">
        <v>1.708902828967285</v>
      </c>
      <c r="K211">
        <v>0.11672898749969279</v>
      </c>
      <c r="L211">
        <v>-0.68160429208849282</v>
      </c>
    </row>
    <row r="212" spans="1:12" x14ac:dyDescent="0.25">
      <c r="A212">
        <v>52</v>
      </c>
      <c r="B212">
        <v>56</v>
      </c>
      <c r="C212" t="s">
        <v>18</v>
      </c>
      <c r="D212">
        <v>8.92</v>
      </c>
      <c r="E212">
        <v>2.0099999999999998</v>
      </c>
      <c r="F212">
        <v>38</v>
      </c>
      <c r="G212">
        <v>11.055555555555561</v>
      </c>
      <c r="H212">
        <v>1.6478099944404321</v>
      </c>
      <c r="I212">
        <v>9</v>
      </c>
      <c r="J212">
        <v>3.343276552827525</v>
      </c>
      <c r="K212">
        <v>4.7263507490856397E-3</v>
      </c>
      <c r="L212">
        <v>-2.546063535563674</v>
      </c>
    </row>
    <row r="213" spans="1:12" x14ac:dyDescent="0.25">
      <c r="A213">
        <v>52</v>
      </c>
      <c r="B213">
        <v>56</v>
      </c>
      <c r="C213" t="s">
        <v>19</v>
      </c>
      <c r="D213">
        <v>94.54</v>
      </c>
      <c r="E213">
        <v>8.5500000000000007</v>
      </c>
      <c r="F213">
        <v>38</v>
      </c>
      <c r="G213">
        <v>95.224171539999986</v>
      </c>
      <c r="H213">
        <v>9.7789424019429241</v>
      </c>
      <c r="I213">
        <v>9</v>
      </c>
      <c r="J213">
        <v>0.19313436313094479</v>
      </c>
      <c r="K213">
        <v>0.85034833612585758</v>
      </c>
      <c r="L213">
        <v>-5.4854232255580884E-3</v>
      </c>
    </row>
    <row r="214" spans="1:12" x14ac:dyDescent="0.25">
      <c r="A214">
        <v>52</v>
      </c>
      <c r="B214">
        <v>56</v>
      </c>
      <c r="C214" t="s">
        <v>20</v>
      </c>
      <c r="D214">
        <v>5.89</v>
      </c>
      <c r="E214">
        <v>0.31</v>
      </c>
      <c r="F214">
        <v>38</v>
      </c>
      <c r="G214">
        <v>5.7777777777777777</v>
      </c>
      <c r="H214">
        <v>0.44095855184409838</v>
      </c>
      <c r="I214">
        <v>9</v>
      </c>
      <c r="J214">
        <v>-0.72237921095513491</v>
      </c>
      <c r="K214">
        <v>0.48668753386880742</v>
      </c>
      <c r="L214">
        <v>0.1041401821961702</v>
      </c>
    </row>
    <row r="215" spans="1:12" x14ac:dyDescent="0.25">
      <c r="A215">
        <v>52</v>
      </c>
      <c r="B215">
        <v>56</v>
      </c>
      <c r="C215" t="s">
        <v>21</v>
      </c>
      <c r="D215">
        <v>7.0000000000000007E-2</v>
      </c>
      <c r="E215">
        <v>0.27</v>
      </c>
      <c r="F215">
        <v>38</v>
      </c>
      <c r="G215">
        <v>0</v>
      </c>
      <c r="H215">
        <v>0</v>
      </c>
      <c r="I215">
        <v>9</v>
      </c>
      <c r="J215">
        <v>-1.5981814081771419</v>
      </c>
      <c r="K215">
        <v>0.1185087816973589</v>
      </c>
      <c r="L215">
        <v>0.26483028113573981</v>
      </c>
    </row>
    <row r="216" spans="1:12" x14ac:dyDescent="0.25">
      <c r="A216">
        <v>52</v>
      </c>
      <c r="B216">
        <v>56</v>
      </c>
      <c r="C216" t="s">
        <v>22</v>
      </c>
      <c r="D216">
        <v>5.81</v>
      </c>
      <c r="E216">
        <v>0.45</v>
      </c>
      <c r="F216">
        <v>38</v>
      </c>
      <c r="G216">
        <v>5.7777777777777777</v>
      </c>
      <c r="H216">
        <v>0.44095855184409838</v>
      </c>
      <c r="I216">
        <v>9</v>
      </c>
      <c r="J216">
        <v>-0.19633873230117829</v>
      </c>
      <c r="K216">
        <v>0.84755897127513358</v>
      </c>
      <c r="L216">
        <v>5.1616723710391048E-3</v>
      </c>
    </row>
    <row r="217" spans="1:12" x14ac:dyDescent="0.25">
      <c r="A217">
        <v>52</v>
      </c>
      <c r="B217">
        <v>56</v>
      </c>
      <c r="C217" t="s">
        <v>23</v>
      </c>
      <c r="D217">
        <v>0.49</v>
      </c>
      <c r="E217">
        <v>0.09</v>
      </c>
      <c r="F217">
        <v>38</v>
      </c>
      <c r="G217">
        <v>0.44444444444444442</v>
      </c>
      <c r="H217">
        <v>0.11023963796102459</v>
      </c>
      <c r="I217">
        <v>9</v>
      </c>
      <c r="J217">
        <v>-1.152118239464661</v>
      </c>
      <c r="K217">
        <v>0.27443811778974919</v>
      </c>
      <c r="L217">
        <v>0.27238778919177847</v>
      </c>
    </row>
    <row r="218" spans="1:12" x14ac:dyDescent="0.25">
      <c r="A218">
        <v>54</v>
      </c>
      <c r="B218">
        <v>58</v>
      </c>
      <c r="C218" t="s">
        <v>12</v>
      </c>
      <c r="D218">
        <v>56.06</v>
      </c>
      <c r="E218">
        <v>1.45</v>
      </c>
      <c r="F218">
        <v>32</v>
      </c>
      <c r="G218">
        <v>56.555555555555557</v>
      </c>
      <c r="H218">
        <v>1.509230856356236</v>
      </c>
      <c r="I218">
        <v>9</v>
      </c>
      <c r="J218">
        <v>0.87768831104201883</v>
      </c>
      <c r="K218">
        <v>0.39670058716606199</v>
      </c>
      <c r="L218">
        <v>-0.13607178757202121</v>
      </c>
    </row>
    <row r="219" spans="1:12" x14ac:dyDescent="0.25">
      <c r="A219">
        <v>54</v>
      </c>
      <c r="B219">
        <v>58</v>
      </c>
      <c r="C219" t="s">
        <v>13</v>
      </c>
      <c r="D219">
        <v>5.68</v>
      </c>
      <c r="E219">
        <v>2.02</v>
      </c>
      <c r="F219">
        <v>32</v>
      </c>
      <c r="G219">
        <v>5.6111111111111107</v>
      </c>
      <c r="H219">
        <v>2.0883273476902779</v>
      </c>
      <c r="I219">
        <v>9</v>
      </c>
      <c r="J219">
        <v>-8.8053159381099783E-2</v>
      </c>
      <c r="K219">
        <v>0.93122500380371509</v>
      </c>
      <c r="L219">
        <v>1.0479742099705491E-3</v>
      </c>
    </row>
    <row r="220" spans="1:12" x14ac:dyDescent="0.25">
      <c r="A220">
        <v>54</v>
      </c>
      <c r="B220">
        <v>58</v>
      </c>
      <c r="C220" t="s">
        <v>14</v>
      </c>
      <c r="D220">
        <v>8.24</v>
      </c>
      <c r="E220">
        <v>2.02</v>
      </c>
      <c r="F220">
        <v>32</v>
      </c>
      <c r="G220">
        <v>10.055555555555561</v>
      </c>
      <c r="H220">
        <v>1.4457792977414561</v>
      </c>
      <c r="I220">
        <v>9</v>
      </c>
      <c r="J220">
        <v>3.0269115713727128</v>
      </c>
      <c r="K220">
        <v>7.3122360961611656E-3</v>
      </c>
      <c r="L220">
        <v>-2.0236677274959951</v>
      </c>
    </row>
    <row r="221" spans="1:12" x14ac:dyDescent="0.25">
      <c r="A221">
        <v>54</v>
      </c>
      <c r="B221">
        <v>58</v>
      </c>
      <c r="C221" t="s">
        <v>15</v>
      </c>
      <c r="D221">
        <v>9.33</v>
      </c>
      <c r="E221">
        <v>1.88</v>
      </c>
      <c r="F221">
        <v>32</v>
      </c>
      <c r="G221">
        <v>11.388888888888889</v>
      </c>
      <c r="H221">
        <v>0.96104688288923301</v>
      </c>
      <c r="I221">
        <v>9</v>
      </c>
      <c r="J221">
        <v>4.4603427619955651</v>
      </c>
      <c r="K221">
        <v>1.340700232321142E-4</v>
      </c>
      <c r="L221">
        <v>-4.6043208825361273</v>
      </c>
    </row>
    <row r="222" spans="1:12" x14ac:dyDescent="0.25">
      <c r="A222">
        <v>54</v>
      </c>
      <c r="B222">
        <v>58</v>
      </c>
      <c r="C222" t="s">
        <v>16</v>
      </c>
      <c r="D222">
        <v>23.27</v>
      </c>
      <c r="E222">
        <v>5.28</v>
      </c>
      <c r="F222">
        <v>32</v>
      </c>
      <c r="G222">
        <v>27.055555555555561</v>
      </c>
      <c r="H222">
        <v>3.6094013046179532</v>
      </c>
      <c r="I222">
        <v>9</v>
      </c>
      <c r="J222">
        <v>2.4860190525208292</v>
      </c>
      <c r="K222">
        <v>2.2515110542548181E-2</v>
      </c>
      <c r="L222">
        <v>-1.2515695629096939</v>
      </c>
    </row>
    <row r="223" spans="1:12" x14ac:dyDescent="0.25">
      <c r="A223">
        <v>54</v>
      </c>
      <c r="B223">
        <v>58</v>
      </c>
      <c r="C223" t="s">
        <v>17</v>
      </c>
      <c r="D223">
        <v>3.74</v>
      </c>
      <c r="E223">
        <v>1.8</v>
      </c>
      <c r="F223">
        <v>32</v>
      </c>
      <c r="G223">
        <v>5.833333333333333</v>
      </c>
      <c r="H223">
        <v>1.984313483298443</v>
      </c>
      <c r="I223">
        <v>9</v>
      </c>
      <c r="J223">
        <v>2.8519686511081841</v>
      </c>
      <c r="K223">
        <v>1.4605596583857849E-2</v>
      </c>
      <c r="L223">
        <v>-2.0889703446166039</v>
      </c>
    </row>
    <row r="224" spans="1:12" x14ac:dyDescent="0.25">
      <c r="A224">
        <v>54</v>
      </c>
      <c r="B224">
        <v>58</v>
      </c>
      <c r="C224" t="s">
        <v>18</v>
      </c>
      <c r="D224">
        <v>8.81</v>
      </c>
      <c r="E224">
        <v>2.0499999999999998</v>
      </c>
      <c r="F224">
        <v>32</v>
      </c>
      <c r="G224">
        <v>10.83333333333333</v>
      </c>
      <c r="H224">
        <v>1.6393596310755001</v>
      </c>
      <c r="I224">
        <v>9</v>
      </c>
      <c r="J224">
        <v>3.0857724414641972</v>
      </c>
      <c r="K224">
        <v>7.1733074317251039E-3</v>
      </c>
      <c r="L224">
        <v>-2.19926544085591</v>
      </c>
    </row>
    <row r="225" spans="1:12" x14ac:dyDescent="0.25">
      <c r="A225">
        <v>54</v>
      </c>
      <c r="B225">
        <v>58</v>
      </c>
      <c r="C225" t="s">
        <v>19</v>
      </c>
      <c r="D225">
        <v>93.99</v>
      </c>
      <c r="E225">
        <v>8.43</v>
      </c>
      <c r="F225">
        <v>32</v>
      </c>
      <c r="G225">
        <v>94.298245613333322</v>
      </c>
      <c r="H225">
        <v>9.4368343991985491</v>
      </c>
      <c r="I225">
        <v>9</v>
      </c>
      <c r="J225">
        <v>8.8557133853674211E-2</v>
      </c>
      <c r="K225">
        <v>0.93091412201332879</v>
      </c>
      <c r="L225">
        <v>-1.1084165624199989E-3</v>
      </c>
    </row>
    <row r="226" spans="1:12" x14ac:dyDescent="0.25">
      <c r="A226">
        <v>54</v>
      </c>
      <c r="B226">
        <v>58</v>
      </c>
      <c r="C226" t="s">
        <v>20</v>
      </c>
      <c r="D226">
        <v>5.81</v>
      </c>
      <c r="E226">
        <v>0.47</v>
      </c>
      <c r="F226">
        <v>32</v>
      </c>
      <c r="G226">
        <v>5.8888888888888893</v>
      </c>
      <c r="H226">
        <v>0.33333333333333343</v>
      </c>
      <c r="I226">
        <v>9</v>
      </c>
      <c r="J226">
        <v>0.56860930702665635</v>
      </c>
      <c r="K226">
        <v>0.576649122017039</v>
      </c>
      <c r="L226">
        <v>-4.2347347370210363E-2</v>
      </c>
    </row>
    <row r="227" spans="1:12" x14ac:dyDescent="0.25">
      <c r="A227">
        <v>54</v>
      </c>
      <c r="B227">
        <v>58</v>
      </c>
      <c r="C227" t="s">
        <v>21</v>
      </c>
      <c r="D227">
        <v>0.09</v>
      </c>
      <c r="E227">
        <v>0.28999999999999998</v>
      </c>
      <c r="F227">
        <v>32</v>
      </c>
      <c r="G227">
        <v>0</v>
      </c>
      <c r="H227">
        <v>0</v>
      </c>
      <c r="I227">
        <v>9</v>
      </c>
      <c r="J227">
        <v>-1.7555754567390141</v>
      </c>
      <c r="K227">
        <v>8.9039182458369004E-2</v>
      </c>
      <c r="L227">
        <v>0.36564401500001642</v>
      </c>
    </row>
    <row r="228" spans="1:12" x14ac:dyDescent="0.25">
      <c r="A228">
        <v>54</v>
      </c>
      <c r="B228">
        <v>58</v>
      </c>
      <c r="C228" t="s">
        <v>22</v>
      </c>
      <c r="D228">
        <v>5.71</v>
      </c>
      <c r="E228">
        <v>0.57999999999999996</v>
      </c>
      <c r="F228">
        <v>32</v>
      </c>
      <c r="G228">
        <v>5.8888888888888893</v>
      </c>
      <c r="H228">
        <v>0.33333333333333343</v>
      </c>
      <c r="I228">
        <v>9</v>
      </c>
      <c r="J228">
        <v>1.1832119625274149</v>
      </c>
      <c r="K228">
        <v>0.24875867320270739</v>
      </c>
      <c r="L228">
        <v>-0.20065077274307069</v>
      </c>
    </row>
    <row r="229" spans="1:12" x14ac:dyDescent="0.25">
      <c r="A229">
        <v>54</v>
      </c>
      <c r="B229">
        <v>58</v>
      </c>
      <c r="C229" t="s">
        <v>23</v>
      </c>
      <c r="D229">
        <v>0.48</v>
      </c>
      <c r="E229">
        <v>0.11</v>
      </c>
      <c r="F229">
        <v>32</v>
      </c>
      <c r="G229">
        <v>0.47222222222222221</v>
      </c>
      <c r="H229">
        <v>8.3333333333333343E-2</v>
      </c>
      <c r="I229">
        <v>9</v>
      </c>
      <c r="J229">
        <v>-0.2293810891016265</v>
      </c>
      <c r="K229">
        <v>0.8213542913984706</v>
      </c>
      <c r="L229">
        <v>6.3260674040246769E-3</v>
      </c>
    </row>
    <row r="230" spans="1:12" x14ac:dyDescent="0.25">
      <c r="A230">
        <v>56</v>
      </c>
      <c r="B230">
        <v>60</v>
      </c>
      <c r="C230" t="s">
        <v>12</v>
      </c>
      <c r="D230">
        <v>58.11</v>
      </c>
      <c r="E230">
        <v>1.34</v>
      </c>
      <c r="F230">
        <v>34</v>
      </c>
      <c r="G230">
        <v>58.307692307692307</v>
      </c>
      <c r="H230">
        <v>1.5483655567842809</v>
      </c>
      <c r="I230">
        <v>13</v>
      </c>
      <c r="J230">
        <v>0.40588691278941053</v>
      </c>
      <c r="K230">
        <v>0.68929456542282519</v>
      </c>
      <c r="L230">
        <v>-2.2841452222645789E-2</v>
      </c>
    </row>
    <row r="231" spans="1:12" x14ac:dyDescent="0.25">
      <c r="A231">
        <v>56</v>
      </c>
      <c r="B231">
        <v>60</v>
      </c>
      <c r="C231" t="s">
        <v>13</v>
      </c>
      <c r="D231">
        <v>5.58</v>
      </c>
      <c r="E231">
        <v>2.02</v>
      </c>
      <c r="F231">
        <v>34</v>
      </c>
      <c r="G231">
        <v>5.6923076923076934</v>
      </c>
      <c r="H231">
        <v>1.785805858457902</v>
      </c>
      <c r="I231">
        <v>13</v>
      </c>
      <c r="J231">
        <v>0.185809712870111</v>
      </c>
      <c r="K231">
        <v>0.85412490045084744</v>
      </c>
      <c r="L231">
        <v>-3.9232417888815166E-3</v>
      </c>
    </row>
    <row r="232" spans="1:12" x14ac:dyDescent="0.25">
      <c r="A232">
        <v>56</v>
      </c>
      <c r="B232">
        <v>60</v>
      </c>
      <c r="C232" t="s">
        <v>14</v>
      </c>
      <c r="D232">
        <v>8.14</v>
      </c>
      <c r="E232">
        <v>2.04</v>
      </c>
      <c r="F232">
        <v>34</v>
      </c>
      <c r="G232">
        <v>9.8461538461538467</v>
      </c>
      <c r="H232">
        <v>1.573009527739414</v>
      </c>
      <c r="I232">
        <v>13</v>
      </c>
      <c r="J232">
        <v>3.0509123647925298</v>
      </c>
      <c r="K232">
        <v>4.9323884455507866E-3</v>
      </c>
      <c r="L232">
        <v>-2.043009467104365</v>
      </c>
    </row>
    <row r="233" spans="1:12" x14ac:dyDescent="0.25">
      <c r="A233">
        <v>56</v>
      </c>
      <c r="B233">
        <v>60</v>
      </c>
      <c r="C233" t="s">
        <v>15</v>
      </c>
      <c r="D233">
        <v>9.24</v>
      </c>
      <c r="E233">
        <v>1.92</v>
      </c>
      <c r="F233">
        <v>34</v>
      </c>
      <c r="G233">
        <v>11.19230769230769</v>
      </c>
      <c r="H233">
        <v>1.031553471276484</v>
      </c>
      <c r="I233">
        <v>13</v>
      </c>
      <c r="J233">
        <v>4.4756329655160476</v>
      </c>
      <c r="K233">
        <v>6.2911126064371854E-5</v>
      </c>
      <c r="L233">
        <v>-4.7457268352047102</v>
      </c>
    </row>
    <row r="234" spans="1:12" x14ac:dyDescent="0.25">
      <c r="A234">
        <v>56</v>
      </c>
      <c r="B234">
        <v>60</v>
      </c>
      <c r="C234" t="s">
        <v>16</v>
      </c>
      <c r="D234">
        <v>22.96</v>
      </c>
      <c r="E234">
        <v>5.34</v>
      </c>
      <c r="F234">
        <v>34</v>
      </c>
      <c r="G234">
        <v>26.73076923076923</v>
      </c>
      <c r="H234">
        <v>3.3330128051020691</v>
      </c>
      <c r="I234">
        <v>13</v>
      </c>
      <c r="J234">
        <v>2.8978232964670751</v>
      </c>
      <c r="K234">
        <v>6.4526068146271076E-3</v>
      </c>
      <c r="L234">
        <v>-1.690306651519687</v>
      </c>
    </row>
    <row r="235" spans="1:12" x14ac:dyDescent="0.25">
      <c r="A235">
        <v>56</v>
      </c>
      <c r="B235">
        <v>60</v>
      </c>
      <c r="C235" t="s">
        <v>17</v>
      </c>
      <c r="D235">
        <v>3.74</v>
      </c>
      <c r="E235">
        <v>1.81</v>
      </c>
      <c r="F235">
        <v>34</v>
      </c>
      <c r="G235">
        <v>5.5384615384615383</v>
      </c>
      <c r="H235">
        <v>1.9627949721160649</v>
      </c>
      <c r="I235">
        <v>13</v>
      </c>
      <c r="J235">
        <v>2.8699005755621738</v>
      </c>
      <c r="K235">
        <v>9.3772779955766435E-3</v>
      </c>
      <c r="L235">
        <v>-1.9693221142131729</v>
      </c>
    </row>
    <row r="236" spans="1:12" x14ac:dyDescent="0.25">
      <c r="A236">
        <v>56</v>
      </c>
      <c r="B236">
        <v>60</v>
      </c>
      <c r="C236" t="s">
        <v>18</v>
      </c>
      <c r="D236">
        <v>8.6999999999999993</v>
      </c>
      <c r="E236">
        <v>2.09</v>
      </c>
      <c r="F236">
        <v>34</v>
      </c>
      <c r="G236">
        <v>10.5</v>
      </c>
      <c r="H236">
        <v>1.607275126832159</v>
      </c>
      <c r="I236">
        <v>13</v>
      </c>
      <c r="J236">
        <v>3.1468171851731261</v>
      </c>
      <c r="K236">
        <v>3.8708434644477972E-3</v>
      </c>
      <c r="L236">
        <v>-2.2008444147808892</v>
      </c>
    </row>
    <row r="237" spans="1:12" x14ac:dyDescent="0.25">
      <c r="A237">
        <v>56</v>
      </c>
      <c r="B237">
        <v>60</v>
      </c>
      <c r="C237" t="s">
        <v>19</v>
      </c>
      <c r="D237">
        <v>93.88</v>
      </c>
      <c r="E237">
        <v>8.86</v>
      </c>
      <c r="F237">
        <v>34</v>
      </c>
      <c r="G237">
        <v>93.250643217692314</v>
      </c>
      <c r="H237">
        <v>9.5875622493041828</v>
      </c>
      <c r="I237">
        <v>13</v>
      </c>
      <c r="J237">
        <v>-0.20549572608916691</v>
      </c>
      <c r="K237">
        <v>0.83922876075609398</v>
      </c>
      <c r="L237">
        <v>5.2878402453228786E-3</v>
      </c>
    </row>
    <row r="238" spans="1:12" x14ac:dyDescent="0.25">
      <c r="A238">
        <v>56</v>
      </c>
      <c r="B238">
        <v>60</v>
      </c>
      <c r="C238" t="s">
        <v>20</v>
      </c>
      <c r="D238">
        <v>5.82</v>
      </c>
      <c r="E238">
        <v>0.45</v>
      </c>
      <c r="F238">
        <v>34</v>
      </c>
      <c r="G238">
        <v>5.9230769230769234</v>
      </c>
      <c r="H238">
        <v>0.27735009811261452</v>
      </c>
      <c r="I238">
        <v>13</v>
      </c>
      <c r="J238">
        <v>0.9459767050077067</v>
      </c>
      <c r="K238">
        <v>0.35058993723008552</v>
      </c>
      <c r="L238">
        <v>-0.1141312050288126</v>
      </c>
    </row>
    <row r="239" spans="1:12" x14ac:dyDescent="0.25">
      <c r="A239">
        <v>56</v>
      </c>
      <c r="B239">
        <v>60</v>
      </c>
      <c r="C239" t="s">
        <v>21</v>
      </c>
      <c r="D239">
        <v>0.05</v>
      </c>
      <c r="E239">
        <v>0.23</v>
      </c>
      <c r="F239">
        <v>34</v>
      </c>
      <c r="G239">
        <v>0</v>
      </c>
      <c r="H239">
        <v>0</v>
      </c>
      <c r="I239">
        <v>13</v>
      </c>
      <c r="J239">
        <v>-1.2675982380098481</v>
      </c>
      <c r="K239">
        <v>0.2138132284189771</v>
      </c>
      <c r="L239">
        <v>0.17007631925024419</v>
      </c>
    </row>
    <row r="240" spans="1:12" x14ac:dyDescent="0.25">
      <c r="A240">
        <v>56</v>
      </c>
      <c r="B240">
        <v>60</v>
      </c>
      <c r="C240" t="s">
        <v>22</v>
      </c>
      <c r="D240">
        <v>5.76</v>
      </c>
      <c r="E240">
        <v>0.55000000000000004</v>
      </c>
      <c r="F240">
        <v>34</v>
      </c>
      <c r="G240">
        <v>5.9230769230769234</v>
      </c>
      <c r="H240">
        <v>0.27735009811261452</v>
      </c>
      <c r="I240">
        <v>13</v>
      </c>
      <c r="J240">
        <v>1.3398406021402689</v>
      </c>
      <c r="K240">
        <v>0.18762663372409921</v>
      </c>
      <c r="L240">
        <v>-0.2407314866238322</v>
      </c>
    </row>
    <row r="241" spans="1:12" x14ac:dyDescent="0.25">
      <c r="A241">
        <v>56</v>
      </c>
      <c r="B241">
        <v>60</v>
      </c>
      <c r="C241" t="s">
        <v>23</v>
      </c>
      <c r="D241">
        <v>0.47</v>
      </c>
      <c r="E241">
        <v>0.1</v>
      </c>
      <c r="F241">
        <v>34</v>
      </c>
      <c r="G241">
        <v>0.48076923076923078</v>
      </c>
      <c r="H241">
        <v>6.9337524528153643E-2</v>
      </c>
      <c r="I241">
        <v>13</v>
      </c>
      <c r="J241">
        <v>0.41794604805234142</v>
      </c>
      <c r="K241">
        <v>0.67882698053589652</v>
      </c>
      <c r="L241">
        <v>-1.9519960883891459E-2</v>
      </c>
    </row>
    <row r="242" spans="1:12" x14ac:dyDescent="0.25">
      <c r="A242">
        <v>58</v>
      </c>
      <c r="B242">
        <v>62</v>
      </c>
      <c r="C242" t="s">
        <v>12</v>
      </c>
      <c r="D242">
        <v>59.65</v>
      </c>
      <c r="E242">
        <v>1.44</v>
      </c>
      <c r="F242">
        <v>29</v>
      </c>
      <c r="G242">
        <v>59.333333333333343</v>
      </c>
      <c r="H242">
        <v>1.154700538379251</v>
      </c>
      <c r="I242">
        <v>12</v>
      </c>
      <c r="J242">
        <v>-0.74102805534220062</v>
      </c>
      <c r="K242">
        <v>0.46543166412548048</v>
      </c>
      <c r="L242">
        <v>7.7021492984021181E-2</v>
      </c>
    </row>
    <row r="243" spans="1:12" x14ac:dyDescent="0.25">
      <c r="A243">
        <v>58</v>
      </c>
      <c r="B243">
        <v>62</v>
      </c>
      <c r="C243" t="s">
        <v>13</v>
      </c>
      <c r="D243">
        <v>5.48</v>
      </c>
      <c r="E243">
        <v>2.02</v>
      </c>
      <c r="F243">
        <v>29</v>
      </c>
      <c r="G243">
        <v>5.791666666666667</v>
      </c>
      <c r="H243">
        <v>1.789595349555736</v>
      </c>
      <c r="I243">
        <v>12</v>
      </c>
      <c r="J243">
        <v>0.48817779736322731</v>
      </c>
      <c r="K243">
        <v>0.63001985843392028</v>
      </c>
      <c r="L243">
        <v>-3.1941887211748517E-2</v>
      </c>
    </row>
    <row r="244" spans="1:12" x14ac:dyDescent="0.25">
      <c r="A244">
        <v>58</v>
      </c>
      <c r="B244">
        <v>62</v>
      </c>
      <c r="C244" t="s">
        <v>14</v>
      </c>
      <c r="D244">
        <v>8.0299999999999994</v>
      </c>
      <c r="E244">
        <v>2.0499999999999998</v>
      </c>
      <c r="F244">
        <v>29</v>
      </c>
      <c r="G244">
        <v>9.8333333333333339</v>
      </c>
      <c r="H244">
        <v>1.6422453217986941</v>
      </c>
      <c r="I244">
        <v>12</v>
      </c>
      <c r="J244">
        <v>2.9660197327253708</v>
      </c>
      <c r="K244">
        <v>6.4560429084401204E-3</v>
      </c>
      <c r="L244">
        <v>-2.0319062684392142</v>
      </c>
    </row>
    <row r="245" spans="1:12" x14ac:dyDescent="0.25">
      <c r="A245">
        <v>58</v>
      </c>
      <c r="B245">
        <v>62</v>
      </c>
      <c r="C245" t="s">
        <v>15</v>
      </c>
      <c r="D245">
        <v>9.14</v>
      </c>
      <c r="E245">
        <v>1.96</v>
      </c>
      <c r="F245">
        <v>29</v>
      </c>
      <c r="G245">
        <v>11.04166666666667</v>
      </c>
      <c r="H245">
        <v>1.0103629710818449</v>
      </c>
      <c r="I245">
        <v>12</v>
      </c>
      <c r="J245">
        <v>4.0772413413612894</v>
      </c>
      <c r="K245">
        <v>2.334357008679451E-4</v>
      </c>
      <c r="L245">
        <v>-3.957266903617024</v>
      </c>
    </row>
    <row r="246" spans="1:12" x14ac:dyDescent="0.25">
      <c r="A246">
        <v>58</v>
      </c>
      <c r="B246">
        <v>62</v>
      </c>
      <c r="C246" t="s">
        <v>16</v>
      </c>
      <c r="D246">
        <v>22.66</v>
      </c>
      <c r="E246">
        <v>5.39</v>
      </c>
      <c r="F246">
        <v>29</v>
      </c>
      <c r="G246">
        <v>26.666666666666671</v>
      </c>
      <c r="H246">
        <v>3.5568968429679191</v>
      </c>
      <c r="I246">
        <v>12</v>
      </c>
      <c r="J246">
        <v>2.794230361757843</v>
      </c>
      <c r="K246">
        <v>8.8583474635890187E-3</v>
      </c>
      <c r="L246">
        <v>-1.6640591239846929</v>
      </c>
    </row>
    <row r="247" spans="1:12" x14ac:dyDescent="0.25">
      <c r="A247">
        <v>58</v>
      </c>
      <c r="B247">
        <v>62</v>
      </c>
      <c r="C247" t="s">
        <v>17</v>
      </c>
      <c r="D247">
        <v>3.75</v>
      </c>
      <c r="E247">
        <v>1.82</v>
      </c>
      <c r="F247">
        <v>29</v>
      </c>
      <c r="G247">
        <v>5.291666666666667</v>
      </c>
      <c r="H247">
        <v>1.764013158749794</v>
      </c>
      <c r="I247">
        <v>12</v>
      </c>
      <c r="J247">
        <v>2.5224714017983629</v>
      </c>
      <c r="K247">
        <v>1.9705071694354381E-2</v>
      </c>
      <c r="L247">
        <v>-1.457112869863701</v>
      </c>
    </row>
    <row r="248" spans="1:12" x14ac:dyDescent="0.25">
      <c r="A248">
        <v>58</v>
      </c>
      <c r="B248">
        <v>62</v>
      </c>
      <c r="C248" t="s">
        <v>18</v>
      </c>
      <c r="D248">
        <v>8.59</v>
      </c>
      <c r="E248">
        <v>2.13</v>
      </c>
      <c r="F248">
        <v>29</v>
      </c>
      <c r="G248">
        <v>10.45833333333333</v>
      </c>
      <c r="H248">
        <v>1.6160886189322741</v>
      </c>
      <c r="I248">
        <v>12</v>
      </c>
      <c r="J248">
        <v>3.0546840378863598</v>
      </c>
      <c r="K248">
        <v>5.0209869585022123E-3</v>
      </c>
      <c r="L248">
        <v>-2.149483956926078</v>
      </c>
    </row>
    <row r="249" spans="1:12" x14ac:dyDescent="0.25">
      <c r="A249">
        <v>58</v>
      </c>
      <c r="B249">
        <v>62</v>
      </c>
      <c r="C249" t="s">
        <v>19</v>
      </c>
      <c r="D249">
        <v>93.71</v>
      </c>
      <c r="E249">
        <v>8.6999999999999993</v>
      </c>
      <c r="F249">
        <v>29</v>
      </c>
      <c r="G249">
        <v>94.077085708333342</v>
      </c>
      <c r="H249">
        <v>9.5179594686658717</v>
      </c>
      <c r="I249">
        <v>12</v>
      </c>
      <c r="J249">
        <v>0.11516901930417391</v>
      </c>
      <c r="K249">
        <v>0.90951787786198091</v>
      </c>
      <c r="L249">
        <v>-1.6915771984512781E-3</v>
      </c>
    </row>
    <row r="250" spans="1:12" x14ac:dyDescent="0.25">
      <c r="A250">
        <v>58</v>
      </c>
      <c r="B250">
        <v>62</v>
      </c>
      <c r="C250" t="s">
        <v>20</v>
      </c>
      <c r="D250">
        <v>5.86</v>
      </c>
      <c r="E250">
        <v>0.44</v>
      </c>
      <c r="F250">
        <v>29</v>
      </c>
      <c r="G250">
        <v>5.833333333333333</v>
      </c>
      <c r="H250">
        <v>0.38924947208076149</v>
      </c>
      <c r="I250">
        <v>12</v>
      </c>
      <c r="J250">
        <v>-0.19194030201086881</v>
      </c>
      <c r="K250">
        <v>0.84946169412611516</v>
      </c>
      <c r="L250">
        <v>4.4323432125286024E-3</v>
      </c>
    </row>
    <row r="251" spans="1:12" x14ac:dyDescent="0.25">
      <c r="A251">
        <v>58</v>
      </c>
      <c r="B251">
        <v>62</v>
      </c>
      <c r="C251" t="s">
        <v>21</v>
      </c>
      <c r="D251">
        <v>0</v>
      </c>
      <c r="E251">
        <v>0</v>
      </c>
      <c r="F251">
        <v>29</v>
      </c>
      <c r="G251">
        <v>0</v>
      </c>
      <c r="H251">
        <v>0</v>
      </c>
      <c r="I251">
        <v>12</v>
      </c>
    </row>
    <row r="252" spans="1:12" x14ac:dyDescent="0.25">
      <c r="A252">
        <v>58</v>
      </c>
      <c r="B252">
        <v>62</v>
      </c>
      <c r="C252" t="s">
        <v>22</v>
      </c>
      <c r="D252">
        <v>5.86</v>
      </c>
      <c r="E252">
        <v>0.44</v>
      </c>
      <c r="F252">
        <v>29</v>
      </c>
      <c r="G252">
        <v>5.833333333333333</v>
      </c>
      <c r="H252">
        <v>0.38924947208076149</v>
      </c>
      <c r="I252">
        <v>12</v>
      </c>
      <c r="J252">
        <v>-0.19194030201086881</v>
      </c>
      <c r="K252">
        <v>0.84946169412611516</v>
      </c>
      <c r="L252">
        <v>4.4323432125286024E-3</v>
      </c>
    </row>
    <row r="253" spans="1:12" x14ac:dyDescent="0.25">
      <c r="A253">
        <v>58</v>
      </c>
      <c r="B253">
        <v>62</v>
      </c>
      <c r="C253" t="s">
        <v>23</v>
      </c>
      <c r="D253">
        <v>0.47</v>
      </c>
      <c r="E253">
        <v>0.08</v>
      </c>
      <c r="F253">
        <v>29</v>
      </c>
      <c r="G253">
        <v>0.45833333333333331</v>
      </c>
      <c r="H253">
        <v>9.7312368020190373E-2</v>
      </c>
      <c r="I253">
        <v>12</v>
      </c>
      <c r="J253">
        <v>-0.36713215658942733</v>
      </c>
      <c r="K253">
        <v>0.71792840541778902</v>
      </c>
      <c r="L253">
        <v>1.969801355922925E-2</v>
      </c>
    </row>
    <row r="254" spans="1:12" x14ac:dyDescent="0.25">
      <c r="A254">
        <v>60</v>
      </c>
      <c r="B254">
        <v>64</v>
      </c>
      <c r="C254" t="s">
        <v>12</v>
      </c>
      <c r="D254">
        <v>62.3</v>
      </c>
      <c r="E254">
        <v>1.54</v>
      </c>
      <c r="F254">
        <v>26</v>
      </c>
      <c r="G254">
        <v>61.6</v>
      </c>
      <c r="H254">
        <v>1.712697677155351</v>
      </c>
      <c r="I254">
        <v>10</v>
      </c>
      <c r="J254">
        <v>-1.1288139195411739</v>
      </c>
      <c r="K254">
        <v>0.27676835374629222</v>
      </c>
      <c r="L254">
        <v>0.24598917620656119</v>
      </c>
    </row>
    <row r="255" spans="1:12" x14ac:dyDescent="0.25">
      <c r="A255">
        <v>60</v>
      </c>
      <c r="B255">
        <v>64</v>
      </c>
      <c r="C255" t="s">
        <v>13</v>
      </c>
      <c r="D255">
        <v>5.38</v>
      </c>
      <c r="E255">
        <v>2.02</v>
      </c>
      <c r="F255">
        <v>26</v>
      </c>
      <c r="G255">
        <v>5.2</v>
      </c>
      <c r="H255">
        <v>1.206464071390257</v>
      </c>
      <c r="I255">
        <v>10</v>
      </c>
      <c r="J255">
        <v>-0.32727596375372431</v>
      </c>
      <c r="K255">
        <v>0.74594629314698602</v>
      </c>
      <c r="L255">
        <v>1.245254292641545E-2</v>
      </c>
    </row>
    <row r="256" spans="1:12" x14ac:dyDescent="0.25">
      <c r="A256">
        <v>60</v>
      </c>
      <c r="B256">
        <v>64</v>
      </c>
      <c r="C256" t="s">
        <v>14</v>
      </c>
      <c r="D256">
        <v>7.93</v>
      </c>
      <c r="E256">
        <v>2.0699999999999998</v>
      </c>
      <c r="F256">
        <v>26</v>
      </c>
      <c r="G256">
        <v>9.3000000000000007</v>
      </c>
      <c r="H256">
        <v>1.7669811040931429</v>
      </c>
      <c r="I256">
        <v>10</v>
      </c>
      <c r="J256">
        <v>1.9835790407166189</v>
      </c>
      <c r="K256">
        <v>6.1870510602471951E-2</v>
      </c>
      <c r="L256">
        <v>-0.83021018603642138</v>
      </c>
    </row>
    <row r="257" spans="1:12" x14ac:dyDescent="0.25">
      <c r="A257">
        <v>60</v>
      </c>
      <c r="B257">
        <v>64</v>
      </c>
      <c r="C257" t="s">
        <v>15</v>
      </c>
      <c r="D257">
        <v>9.0399999999999991</v>
      </c>
      <c r="E257">
        <v>2</v>
      </c>
      <c r="F257">
        <v>26</v>
      </c>
      <c r="G257">
        <v>10.75</v>
      </c>
      <c r="H257">
        <v>1.184389200295991</v>
      </c>
      <c r="I257">
        <v>10</v>
      </c>
      <c r="J257">
        <v>3.1530505181369568</v>
      </c>
      <c r="K257">
        <v>3.872133096598535E-3</v>
      </c>
      <c r="L257">
        <v>-2.26623229005027</v>
      </c>
    </row>
    <row r="258" spans="1:12" x14ac:dyDescent="0.25">
      <c r="A258">
        <v>60</v>
      </c>
      <c r="B258">
        <v>64</v>
      </c>
      <c r="C258" t="s">
        <v>16</v>
      </c>
      <c r="D258">
        <v>22.35</v>
      </c>
      <c r="E258">
        <v>5.44</v>
      </c>
      <c r="F258">
        <v>26</v>
      </c>
      <c r="G258">
        <v>25.25</v>
      </c>
      <c r="H258">
        <v>3.1906982865127751</v>
      </c>
      <c r="I258">
        <v>10</v>
      </c>
      <c r="J258">
        <v>1.9749055618508109</v>
      </c>
      <c r="K258">
        <v>5.826980122528664E-2</v>
      </c>
      <c r="L258">
        <v>-0.7239797644528434</v>
      </c>
    </row>
    <row r="259" spans="1:12" x14ac:dyDescent="0.25">
      <c r="A259">
        <v>60</v>
      </c>
      <c r="B259">
        <v>64</v>
      </c>
      <c r="C259" t="s">
        <v>17</v>
      </c>
      <c r="D259">
        <v>3.76</v>
      </c>
      <c r="E259">
        <v>1.83</v>
      </c>
      <c r="F259">
        <v>26</v>
      </c>
      <c r="G259">
        <v>5.55</v>
      </c>
      <c r="H259">
        <v>1.6741498671796911</v>
      </c>
      <c r="I259">
        <v>10</v>
      </c>
      <c r="J259">
        <v>2.7986464973930461</v>
      </c>
      <c r="K259">
        <v>1.195204590433132E-2</v>
      </c>
      <c r="L259">
        <v>-1.9224862772900599</v>
      </c>
    </row>
    <row r="260" spans="1:12" x14ac:dyDescent="0.25">
      <c r="A260">
        <v>60</v>
      </c>
      <c r="B260">
        <v>64</v>
      </c>
      <c r="C260" t="s">
        <v>18</v>
      </c>
      <c r="D260">
        <v>8.48</v>
      </c>
      <c r="E260">
        <v>2.17</v>
      </c>
      <c r="F260">
        <v>26</v>
      </c>
      <c r="G260">
        <v>10.25</v>
      </c>
      <c r="H260">
        <v>1.3794121131039041</v>
      </c>
      <c r="I260">
        <v>10</v>
      </c>
      <c r="J260">
        <v>2.904414279205052</v>
      </c>
      <c r="K260">
        <v>7.4376382728194761E-3</v>
      </c>
      <c r="L260">
        <v>-1.891812894398379</v>
      </c>
    </row>
    <row r="261" spans="1:12" x14ac:dyDescent="0.25">
      <c r="A261">
        <v>60</v>
      </c>
      <c r="B261">
        <v>64</v>
      </c>
      <c r="C261" t="s">
        <v>19</v>
      </c>
      <c r="D261">
        <v>90.66</v>
      </c>
      <c r="E261">
        <v>9.5399999999999991</v>
      </c>
      <c r="F261">
        <v>26</v>
      </c>
      <c r="G261">
        <v>95.684547338999977</v>
      </c>
      <c r="H261">
        <v>10.28350296971559</v>
      </c>
      <c r="I261">
        <v>10</v>
      </c>
      <c r="J261">
        <v>1.3392608976465541</v>
      </c>
      <c r="K261">
        <v>0.19999377819743841</v>
      </c>
      <c r="L261">
        <v>-0.36049637123081069</v>
      </c>
    </row>
    <row r="262" spans="1:12" x14ac:dyDescent="0.25">
      <c r="A262">
        <v>60</v>
      </c>
      <c r="B262">
        <v>64</v>
      </c>
      <c r="C262" t="s">
        <v>20</v>
      </c>
      <c r="D262">
        <v>5.92</v>
      </c>
      <c r="E262">
        <v>0.27</v>
      </c>
      <c r="F262">
        <v>26</v>
      </c>
      <c r="G262">
        <v>5.7</v>
      </c>
      <c r="H262">
        <v>0.48304589153964789</v>
      </c>
      <c r="I262">
        <v>10</v>
      </c>
      <c r="J262">
        <v>-1.3607969296372631</v>
      </c>
      <c r="K262">
        <v>0.2002513742199199</v>
      </c>
      <c r="L262">
        <v>0.45237659316410289</v>
      </c>
    </row>
    <row r="263" spans="1:12" x14ac:dyDescent="0.25">
      <c r="A263">
        <v>60</v>
      </c>
      <c r="B263">
        <v>64</v>
      </c>
      <c r="C263" t="s">
        <v>21</v>
      </c>
      <c r="D263">
        <v>0</v>
      </c>
      <c r="E263">
        <v>0</v>
      </c>
      <c r="F263">
        <v>26</v>
      </c>
      <c r="G263">
        <v>0</v>
      </c>
      <c r="H263">
        <v>0</v>
      </c>
      <c r="I263">
        <v>10</v>
      </c>
    </row>
    <row r="264" spans="1:12" x14ac:dyDescent="0.25">
      <c r="A264">
        <v>60</v>
      </c>
      <c r="B264">
        <v>64</v>
      </c>
      <c r="C264" t="s">
        <v>22</v>
      </c>
      <c r="D264">
        <v>5.92</v>
      </c>
      <c r="E264">
        <v>0.27</v>
      </c>
      <c r="F264">
        <v>26</v>
      </c>
      <c r="G264">
        <v>5.7</v>
      </c>
      <c r="H264">
        <v>0.48304589153964789</v>
      </c>
      <c r="I264">
        <v>10</v>
      </c>
      <c r="J264">
        <v>-1.3607969296372631</v>
      </c>
      <c r="K264">
        <v>0.2002513742199199</v>
      </c>
      <c r="L264">
        <v>0.45237659316410289</v>
      </c>
    </row>
    <row r="265" spans="1:12" x14ac:dyDescent="0.25">
      <c r="A265">
        <v>60</v>
      </c>
      <c r="B265">
        <v>64</v>
      </c>
      <c r="C265" t="s">
        <v>23</v>
      </c>
      <c r="D265">
        <v>0.48</v>
      </c>
      <c r="E265">
        <v>0.06</v>
      </c>
      <c r="F265">
        <v>26</v>
      </c>
      <c r="G265">
        <v>0.42499999999999999</v>
      </c>
      <c r="H265">
        <v>0.120761472884912</v>
      </c>
      <c r="I265">
        <v>10</v>
      </c>
      <c r="J265">
        <v>-1.3763792761016329</v>
      </c>
      <c r="K265">
        <v>0.19668231443325879</v>
      </c>
      <c r="L265">
        <v>0.48151470475424829</v>
      </c>
    </row>
    <row r="266" spans="1:12" x14ac:dyDescent="0.25">
      <c r="A266">
        <v>62</v>
      </c>
      <c r="B266">
        <v>66</v>
      </c>
      <c r="C266" t="s">
        <v>12</v>
      </c>
      <c r="D266">
        <v>63.85</v>
      </c>
      <c r="E266">
        <v>1.4</v>
      </c>
      <c r="F266">
        <v>27</v>
      </c>
      <c r="G266">
        <v>64.571428571428569</v>
      </c>
      <c r="H266">
        <v>1.397276262011544</v>
      </c>
      <c r="I266">
        <v>7</v>
      </c>
      <c r="J266">
        <v>1.2168249478558519</v>
      </c>
      <c r="K266">
        <v>0.25339118410470279</v>
      </c>
      <c r="L266">
        <v>-0.30734191528250882</v>
      </c>
    </row>
    <row r="267" spans="1:12" x14ac:dyDescent="0.25">
      <c r="A267">
        <v>62</v>
      </c>
      <c r="B267">
        <v>66</v>
      </c>
      <c r="C267" t="s">
        <v>13</v>
      </c>
      <c r="D267">
        <v>5.28</v>
      </c>
      <c r="E267">
        <v>2.02</v>
      </c>
      <c r="F267">
        <v>27</v>
      </c>
      <c r="G267">
        <v>5.3571428571428568</v>
      </c>
      <c r="H267">
        <v>1.9086270308410549</v>
      </c>
      <c r="I267">
        <v>7</v>
      </c>
      <c r="J267">
        <v>9.413728916627484E-2</v>
      </c>
      <c r="K267">
        <v>0.92689692899527798</v>
      </c>
      <c r="L267">
        <v>-1.271904985375375E-3</v>
      </c>
    </row>
    <row r="268" spans="1:12" x14ac:dyDescent="0.25">
      <c r="A268">
        <v>62</v>
      </c>
      <c r="B268">
        <v>66</v>
      </c>
      <c r="C268" t="s">
        <v>14</v>
      </c>
      <c r="D268">
        <v>7.82</v>
      </c>
      <c r="E268">
        <v>2.08</v>
      </c>
      <c r="F268">
        <v>27</v>
      </c>
      <c r="G268">
        <v>8.6428571428571423</v>
      </c>
      <c r="H268">
        <v>3.1186840936828588</v>
      </c>
      <c r="I268">
        <v>7</v>
      </c>
      <c r="J268">
        <v>0.66100026418183022</v>
      </c>
      <c r="K268">
        <v>0.52854141973808111</v>
      </c>
      <c r="L268">
        <v>-9.8617956031239878E-2</v>
      </c>
    </row>
    <row r="269" spans="1:12" x14ac:dyDescent="0.25">
      <c r="A269">
        <v>62</v>
      </c>
      <c r="B269">
        <v>66</v>
      </c>
      <c r="C269" t="s">
        <v>15</v>
      </c>
      <c r="D269">
        <v>8.9700000000000006</v>
      </c>
      <c r="E269">
        <v>2.04</v>
      </c>
      <c r="F269">
        <v>27</v>
      </c>
      <c r="G269">
        <v>10.28571428571429</v>
      </c>
      <c r="H269">
        <v>2.1185125060039738</v>
      </c>
      <c r="I269">
        <v>7</v>
      </c>
      <c r="J269">
        <v>1.47536299084463</v>
      </c>
      <c r="K269">
        <v>0.17381868254292271</v>
      </c>
      <c r="L269">
        <v>-0.48654037625790109</v>
      </c>
    </row>
    <row r="270" spans="1:12" x14ac:dyDescent="0.25">
      <c r="A270">
        <v>62</v>
      </c>
      <c r="B270">
        <v>66</v>
      </c>
      <c r="C270" t="s">
        <v>16</v>
      </c>
      <c r="D270">
        <v>22.05</v>
      </c>
      <c r="E270">
        <v>5.5</v>
      </c>
      <c r="F270">
        <v>27</v>
      </c>
      <c r="G270">
        <v>24.285714285714281</v>
      </c>
      <c r="H270">
        <v>6.6260668503088542</v>
      </c>
      <c r="I270">
        <v>7</v>
      </c>
      <c r="J270">
        <v>0.82228287533384947</v>
      </c>
      <c r="K270">
        <v>0.43397139595124801</v>
      </c>
      <c r="L270">
        <v>-0.14150312155504671</v>
      </c>
    </row>
    <row r="271" spans="1:12" x14ac:dyDescent="0.25">
      <c r="A271">
        <v>62</v>
      </c>
      <c r="B271">
        <v>66</v>
      </c>
      <c r="C271" t="s">
        <v>17</v>
      </c>
      <c r="D271">
        <v>3.76</v>
      </c>
      <c r="E271">
        <v>1.83</v>
      </c>
      <c r="F271">
        <v>27</v>
      </c>
      <c r="G271">
        <v>4.9285714285714288</v>
      </c>
      <c r="H271">
        <v>1.789519754677481</v>
      </c>
      <c r="I271">
        <v>7</v>
      </c>
      <c r="J271">
        <v>1.5324076361740739</v>
      </c>
      <c r="K271">
        <v>0.15790980893800699</v>
      </c>
      <c r="L271">
        <v>-0.51397931033937316</v>
      </c>
    </row>
    <row r="272" spans="1:12" x14ac:dyDescent="0.25">
      <c r="A272">
        <v>62</v>
      </c>
      <c r="B272">
        <v>66</v>
      </c>
      <c r="C272" t="s">
        <v>18</v>
      </c>
      <c r="D272">
        <v>8.3699999999999992</v>
      </c>
      <c r="E272">
        <v>2.2000000000000002</v>
      </c>
      <c r="F272">
        <v>27</v>
      </c>
      <c r="G272">
        <v>9.9285714285714288</v>
      </c>
      <c r="H272">
        <v>2.5565043097390401</v>
      </c>
      <c r="I272">
        <v>7</v>
      </c>
      <c r="J272">
        <v>1.4773801293657021</v>
      </c>
      <c r="K272">
        <v>0.17583348720646741</v>
      </c>
      <c r="L272">
        <v>-0.51805611937616514</v>
      </c>
    </row>
    <row r="273" spans="1:12" x14ac:dyDescent="0.25">
      <c r="A273">
        <v>62</v>
      </c>
      <c r="B273">
        <v>66</v>
      </c>
      <c r="C273" t="s">
        <v>19</v>
      </c>
      <c r="D273">
        <v>89.46</v>
      </c>
      <c r="E273">
        <v>11.61</v>
      </c>
      <c r="F273">
        <v>27</v>
      </c>
      <c r="G273">
        <v>95.600279641428571</v>
      </c>
      <c r="H273">
        <v>11.290356870349621</v>
      </c>
      <c r="I273">
        <v>7</v>
      </c>
      <c r="J273">
        <v>1.274734517420099</v>
      </c>
      <c r="K273">
        <v>0.23246840007199271</v>
      </c>
      <c r="L273">
        <v>-0.33683577350382488</v>
      </c>
    </row>
    <row r="274" spans="1:12" x14ac:dyDescent="0.25">
      <c r="A274">
        <v>62</v>
      </c>
      <c r="B274">
        <v>66</v>
      </c>
      <c r="C274" t="s">
        <v>20</v>
      </c>
      <c r="D274">
        <v>5.92</v>
      </c>
      <c r="E274">
        <v>0.26</v>
      </c>
      <c r="F274">
        <v>27</v>
      </c>
      <c r="G274">
        <v>5.8571428571428568</v>
      </c>
      <c r="H274">
        <v>0.37796447300922731</v>
      </c>
      <c r="I274">
        <v>7</v>
      </c>
      <c r="J274">
        <v>-0.41526410900600957</v>
      </c>
      <c r="K274">
        <v>0.68951799836376737</v>
      </c>
      <c r="L274">
        <v>3.5502995652865937E-2</v>
      </c>
    </row>
    <row r="275" spans="1:12" x14ac:dyDescent="0.25">
      <c r="A275">
        <v>62</v>
      </c>
      <c r="B275">
        <v>66</v>
      </c>
      <c r="C275" t="s">
        <v>21</v>
      </c>
      <c r="D275">
        <v>0</v>
      </c>
      <c r="E275">
        <v>0</v>
      </c>
      <c r="F275">
        <v>27</v>
      </c>
      <c r="G275">
        <v>0</v>
      </c>
      <c r="H275">
        <v>0</v>
      </c>
      <c r="I275">
        <v>7</v>
      </c>
    </row>
    <row r="276" spans="1:12" x14ac:dyDescent="0.25">
      <c r="A276">
        <v>62</v>
      </c>
      <c r="B276">
        <v>66</v>
      </c>
      <c r="C276" t="s">
        <v>22</v>
      </c>
      <c r="D276">
        <v>5.92</v>
      </c>
      <c r="E276">
        <v>0.26</v>
      </c>
      <c r="F276">
        <v>27</v>
      </c>
      <c r="G276">
        <v>5.8571428571428568</v>
      </c>
      <c r="H276">
        <v>0.37796447300922731</v>
      </c>
      <c r="I276">
        <v>7</v>
      </c>
      <c r="J276">
        <v>-0.41526410900600957</v>
      </c>
      <c r="K276">
        <v>0.68951799836376737</v>
      </c>
      <c r="L276">
        <v>3.5502995652865937E-2</v>
      </c>
    </row>
    <row r="277" spans="1:12" x14ac:dyDescent="0.25">
      <c r="A277">
        <v>62</v>
      </c>
      <c r="B277">
        <v>66</v>
      </c>
      <c r="C277" t="s">
        <v>23</v>
      </c>
      <c r="D277">
        <v>0.48</v>
      </c>
      <c r="E277">
        <v>0.06</v>
      </c>
      <c r="F277">
        <v>27</v>
      </c>
      <c r="G277">
        <v>0.4642857142857143</v>
      </c>
      <c r="H277">
        <v>9.4491118252306813E-2</v>
      </c>
      <c r="I277">
        <v>7</v>
      </c>
      <c r="J277">
        <v>-0.41866172938353191</v>
      </c>
      <c r="K277">
        <v>0.68750462919865041</v>
      </c>
      <c r="L277">
        <v>3.7706002240096632E-2</v>
      </c>
    </row>
    <row r="278" spans="1:12" x14ac:dyDescent="0.25">
      <c r="A278">
        <v>64</v>
      </c>
      <c r="B278">
        <v>68</v>
      </c>
      <c r="C278" t="s">
        <v>12</v>
      </c>
      <c r="D278">
        <v>65.88</v>
      </c>
      <c r="E278">
        <v>1.52</v>
      </c>
      <c r="F278">
        <v>27</v>
      </c>
      <c r="G278">
        <v>66.444444444444443</v>
      </c>
      <c r="H278">
        <v>1.666666666666667</v>
      </c>
      <c r="I278">
        <v>9</v>
      </c>
      <c r="J278">
        <v>0.89899254910550008</v>
      </c>
      <c r="K278">
        <v>0.38532115879072182</v>
      </c>
      <c r="L278">
        <v>-0.1502679418340552</v>
      </c>
    </row>
    <row r="279" spans="1:12" x14ac:dyDescent="0.25">
      <c r="A279">
        <v>64</v>
      </c>
      <c r="B279">
        <v>68</v>
      </c>
      <c r="C279" t="s">
        <v>13</v>
      </c>
      <c r="D279">
        <v>5.18</v>
      </c>
      <c r="E279">
        <v>2.02</v>
      </c>
      <c r="F279">
        <v>27</v>
      </c>
      <c r="G279">
        <v>5.6111111111111107</v>
      </c>
      <c r="H279">
        <v>2.98724138815582</v>
      </c>
      <c r="I279">
        <v>9</v>
      </c>
      <c r="J279">
        <v>0.40330613925386349</v>
      </c>
      <c r="K279">
        <v>0.6947765661578349</v>
      </c>
      <c r="L279">
        <v>-2.9842645273650881E-2</v>
      </c>
    </row>
    <row r="280" spans="1:12" x14ac:dyDescent="0.25">
      <c r="A280">
        <v>64</v>
      </c>
      <c r="B280">
        <v>68</v>
      </c>
      <c r="C280" t="s">
        <v>14</v>
      </c>
      <c r="D280">
        <v>7.72</v>
      </c>
      <c r="E280">
        <v>2.1</v>
      </c>
      <c r="F280">
        <v>27</v>
      </c>
      <c r="G280">
        <v>7.7777777777777777</v>
      </c>
      <c r="H280">
        <v>3.6151686605806441</v>
      </c>
      <c r="I280">
        <v>9</v>
      </c>
      <c r="J280">
        <v>4.5457775841248133E-2</v>
      </c>
      <c r="K280">
        <v>0.96464967800438584</v>
      </c>
      <c r="L280">
        <v>-3.5565919647933408E-4</v>
      </c>
    </row>
    <row r="281" spans="1:12" x14ac:dyDescent="0.25">
      <c r="A281">
        <v>64</v>
      </c>
      <c r="B281">
        <v>68</v>
      </c>
      <c r="C281" t="s">
        <v>15</v>
      </c>
      <c r="D281">
        <v>8.84</v>
      </c>
      <c r="E281">
        <v>2.08</v>
      </c>
      <c r="F281">
        <v>27</v>
      </c>
      <c r="G281">
        <v>10.055555555555561</v>
      </c>
      <c r="H281">
        <v>1.991300524224753</v>
      </c>
      <c r="I281">
        <v>9</v>
      </c>
      <c r="J281">
        <v>1.568199722731916</v>
      </c>
      <c r="K281">
        <v>0.1386988487935544</v>
      </c>
      <c r="L281">
        <v>-0.50637128008004273</v>
      </c>
    </row>
    <row r="282" spans="1:12" x14ac:dyDescent="0.25">
      <c r="A282">
        <v>64</v>
      </c>
      <c r="B282">
        <v>68</v>
      </c>
      <c r="C282" t="s">
        <v>16</v>
      </c>
      <c r="D282">
        <v>21.74</v>
      </c>
      <c r="E282">
        <v>5.55</v>
      </c>
      <c r="F282">
        <v>27</v>
      </c>
      <c r="G282">
        <v>23.444444444444439</v>
      </c>
      <c r="H282">
        <v>7.9704314674788952</v>
      </c>
      <c r="I282">
        <v>9</v>
      </c>
      <c r="J282">
        <v>0.5952368626691712</v>
      </c>
      <c r="K282">
        <v>0.56405166818731334</v>
      </c>
      <c r="L282">
        <v>-6.8309454546748236E-2</v>
      </c>
    </row>
    <row r="283" spans="1:12" x14ac:dyDescent="0.25">
      <c r="A283">
        <v>64</v>
      </c>
      <c r="B283">
        <v>68</v>
      </c>
      <c r="C283" t="s">
        <v>17</v>
      </c>
      <c r="D283">
        <v>3.77</v>
      </c>
      <c r="E283">
        <v>1.84</v>
      </c>
      <c r="F283">
        <v>27</v>
      </c>
      <c r="G283">
        <v>4.4444444444444446</v>
      </c>
      <c r="H283">
        <v>2.1570298509241308</v>
      </c>
      <c r="I283">
        <v>9</v>
      </c>
      <c r="J283">
        <v>0.84150028220373985</v>
      </c>
      <c r="K283">
        <v>0.41634701665824608</v>
      </c>
      <c r="L283">
        <v>-0.13372298024917301</v>
      </c>
    </row>
    <row r="284" spans="1:12" x14ac:dyDescent="0.25">
      <c r="A284">
        <v>64</v>
      </c>
      <c r="B284">
        <v>68</v>
      </c>
      <c r="C284" t="s">
        <v>18</v>
      </c>
      <c r="D284">
        <v>8.26</v>
      </c>
      <c r="E284">
        <v>2.2400000000000002</v>
      </c>
      <c r="F284">
        <v>27</v>
      </c>
      <c r="G284">
        <v>9.3333333333333339</v>
      </c>
      <c r="H284">
        <v>2.738612787525831</v>
      </c>
      <c r="I284">
        <v>9</v>
      </c>
      <c r="J284">
        <v>1.063190830464275</v>
      </c>
      <c r="K284">
        <v>0.30899513901816977</v>
      </c>
      <c r="L284">
        <v>-0.23130566588145049</v>
      </c>
    </row>
    <row r="285" spans="1:12" x14ac:dyDescent="0.25">
      <c r="A285">
        <v>64</v>
      </c>
      <c r="B285">
        <v>68</v>
      </c>
      <c r="C285" t="s">
        <v>19</v>
      </c>
      <c r="D285">
        <v>90.29</v>
      </c>
      <c r="E285">
        <v>12.55</v>
      </c>
      <c r="F285">
        <v>27</v>
      </c>
      <c r="G285">
        <v>91.877673985555546</v>
      </c>
      <c r="H285">
        <v>16.12915394696935</v>
      </c>
      <c r="I285">
        <v>9</v>
      </c>
      <c r="J285">
        <v>0.26937237858952462</v>
      </c>
      <c r="K285">
        <v>0.79245165308927401</v>
      </c>
      <c r="L285">
        <v>-1.1900805517913299E-2</v>
      </c>
    </row>
    <row r="286" spans="1:12" x14ac:dyDescent="0.25">
      <c r="A286">
        <v>64</v>
      </c>
      <c r="B286">
        <v>68</v>
      </c>
      <c r="C286" t="s">
        <v>20</v>
      </c>
      <c r="D286">
        <v>5.88</v>
      </c>
      <c r="E286">
        <v>0.32</v>
      </c>
      <c r="F286">
        <v>27</v>
      </c>
      <c r="G286">
        <v>5.8888888888888893</v>
      </c>
      <c r="H286">
        <v>0.33333333333333343</v>
      </c>
      <c r="I286">
        <v>9</v>
      </c>
      <c r="J286">
        <v>6.9971142854135887E-2</v>
      </c>
      <c r="K286">
        <v>0.94525898891062088</v>
      </c>
      <c r="L286">
        <v>-6.7244737781263064E-4</v>
      </c>
    </row>
    <row r="287" spans="1:12" x14ac:dyDescent="0.25">
      <c r="A287">
        <v>64</v>
      </c>
      <c r="B287">
        <v>68</v>
      </c>
      <c r="C287" t="s">
        <v>21</v>
      </c>
      <c r="D287">
        <v>0.03</v>
      </c>
      <c r="E287">
        <v>0.19</v>
      </c>
      <c r="F287">
        <v>27</v>
      </c>
      <c r="G287">
        <v>0</v>
      </c>
      <c r="H287">
        <v>0</v>
      </c>
      <c r="I287">
        <v>9</v>
      </c>
      <c r="J287">
        <v>-0.8204451193747313</v>
      </c>
      <c r="K287">
        <v>0.41942118314363103</v>
      </c>
      <c r="L287">
        <v>6.813407702382758E-2</v>
      </c>
    </row>
    <row r="288" spans="1:12" x14ac:dyDescent="0.25">
      <c r="A288">
        <v>64</v>
      </c>
      <c r="B288">
        <v>68</v>
      </c>
      <c r="C288" t="s">
        <v>22</v>
      </c>
      <c r="D288">
        <v>5.85</v>
      </c>
      <c r="E288">
        <v>0.36</v>
      </c>
      <c r="F288">
        <v>27</v>
      </c>
      <c r="G288">
        <v>5.8888888888888893</v>
      </c>
      <c r="H288">
        <v>0.33333333333333343</v>
      </c>
      <c r="I288">
        <v>9</v>
      </c>
      <c r="J288">
        <v>0.29699435206968788</v>
      </c>
      <c r="K288">
        <v>0.77061383444090525</v>
      </c>
      <c r="L288">
        <v>-1.2434904338671039E-2</v>
      </c>
    </row>
    <row r="289" spans="1:12" x14ac:dyDescent="0.25">
      <c r="A289">
        <v>64</v>
      </c>
      <c r="B289">
        <v>68</v>
      </c>
      <c r="C289" t="s">
        <v>23</v>
      </c>
      <c r="D289">
        <v>0.48</v>
      </c>
      <c r="E289">
        <v>0.09</v>
      </c>
      <c r="F289">
        <v>27</v>
      </c>
      <c r="G289">
        <v>0.47222222222222221</v>
      </c>
      <c r="H289">
        <v>8.3333333333333343E-2</v>
      </c>
      <c r="I289">
        <v>9</v>
      </c>
      <c r="J289">
        <v>-0.23759548165574559</v>
      </c>
      <c r="K289">
        <v>0.81546476145596258</v>
      </c>
      <c r="L289">
        <v>7.7881706634774193E-3</v>
      </c>
    </row>
    <row r="290" spans="1:12" x14ac:dyDescent="0.25">
      <c r="A290">
        <v>66</v>
      </c>
      <c r="B290">
        <v>70</v>
      </c>
      <c r="C290" t="s">
        <v>12</v>
      </c>
      <c r="D290">
        <v>68.099999999999994</v>
      </c>
      <c r="E290">
        <v>1.42</v>
      </c>
      <c r="F290">
        <v>29</v>
      </c>
      <c r="G290">
        <v>67.8</v>
      </c>
      <c r="H290">
        <v>1.398411797560202</v>
      </c>
      <c r="I290">
        <v>10</v>
      </c>
      <c r="J290">
        <v>-0.5826763290279211</v>
      </c>
      <c r="K290">
        <v>0.56828739494032754</v>
      </c>
      <c r="L290">
        <v>5.2043171436356173E-2</v>
      </c>
    </row>
    <row r="291" spans="1:12" x14ac:dyDescent="0.25">
      <c r="A291">
        <v>66</v>
      </c>
      <c r="B291">
        <v>70</v>
      </c>
      <c r="C291" t="s">
        <v>13</v>
      </c>
      <c r="D291">
        <v>5.07</v>
      </c>
      <c r="E291">
        <v>2.02</v>
      </c>
      <c r="F291">
        <v>29</v>
      </c>
      <c r="G291">
        <v>5.3</v>
      </c>
      <c r="H291">
        <v>2.8693785622209789</v>
      </c>
      <c r="I291">
        <v>10</v>
      </c>
      <c r="J291">
        <v>0.2342507736719345</v>
      </c>
      <c r="K291">
        <v>0.81866778898058468</v>
      </c>
      <c r="L291">
        <v>-8.8577981544041041E-3</v>
      </c>
    </row>
    <row r="292" spans="1:12" x14ac:dyDescent="0.25">
      <c r="A292">
        <v>66</v>
      </c>
      <c r="B292">
        <v>70</v>
      </c>
      <c r="C292" t="s">
        <v>14</v>
      </c>
      <c r="D292">
        <v>7.61</v>
      </c>
      <c r="E292">
        <v>2.11</v>
      </c>
      <c r="F292">
        <v>29</v>
      </c>
      <c r="G292">
        <v>7.95</v>
      </c>
      <c r="H292">
        <v>3.3203915431767981</v>
      </c>
      <c r="I292">
        <v>10</v>
      </c>
      <c r="J292">
        <v>0.3033755106656752</v>
      </c>
      <c r="K292">
        <v>0.76697185190733075</v>
      </c>
      <c r="L292">
        <v>-1.5925698170726921E-2</v>
      </c>
    </row>
    <row r="293" spans="1:12" x14ac:dyDescent="0.25">
      <c r="A293">
        <v>66</v>
      </c>
      <c r="B293">
        <v>70</v>
      </c>
      <c r="C293" t="s">
        <v>15</v>
      </c>
      <c r="D293">
        <v>8.75</v>
      </c>
      <c r="E293">
        <v>2.12</v>
      </c>
      <c r="F293">
        <v>29</v>
      </c>
      <c r="G293">
        <v>10.25</v>
      </c>
      <c r="H293">
        <v>1.859659467035117</v>
      </c>
      <c r="I293">
        <v>10</v>
      </c>
      <c r="J293">
        <v>2.1195985644983679</v>
      </c>
      <c r="K293">
        <v>4.8423200902737031E-2</v>
      </c>
      <c r="L293">
        <v>-0.95762255704360577</v>
      </c>
    </row>
    <row r="294" spans="1:12" x14ac:dyDescent="0.25">
      <c r="A294">
        <v>66</v>
      </c>
      <c r="B294">
        <v>70</v>
      </c>
      <c r="C294" t="s">
        <v>16</v>
      </c>
      <c r="D294">
        <v>21.44</v>
      </c>
      <c r="E294">
        <v>5.6</v>
      </c>
      <c r="F294">
        <v>29</v>
      </c>
      <c r="G294">
        <v>23.5</v>
      </c>
      <c r="H294">
        <v>7.4870258150720677</v>
      </c>
      <c r="I294">
        <v>10</v>
      </c>
      <c r="J294">
        <v>0.79662452747430779</v>
      </c>
      <c r="K294">
        <v>0.4403577517130518</v>
      </c>
      <c r="L294">
        <v>-0.12003557546117009</v>
      </c>
    </row>
    <row r="295" spans="1:12" x14ac:dyDescent="0.25">
      <c r="A295">
        <v>66</v>
      </c>
      <c r="B295">
        <v>70</v>
      </c>
      <c r="C295" t="s">
        <v>17</v>
      </c>
      <c r="D295">
        <v>3.77</v>
      </c>
      <c r="E295">
        <v>1.85</v>
      </c>
      <c r="F295">
        <v>29</v>
      </c>
      <c r="G295">
        <v>4.95</v>
      </c>
      <c r="H295">
        <v>1.9068589646618099</v>
      </c>
      <c r="I295">
        <v>10</v>
      </c>
      <c r="J295">
        <v>1.700301683351148</v>
      </c>
      <c r="K295">
        <v>0.1093416725628433</v>
      </c>
      <c r="L295">
        <v>-0.60849722269967221</v>
      </c>
    </row>
    <row r="296" spans="1:12" x14ac:dyDescent="0.25">
      <c r="A296">
        <v>66</v>
      </c>
      <c r="B296">
        <v>70</v>
      </c>
      <c r="C296" t="s">
        <v>18</v>
      </c>
      <c r="D296">
        <v>8.15</v>
      </c>
      <c r="E296">
        <v>2.2799999999999998</v>
      </c>
      <c r="F296">
        <v>29</v>
      </c>
      <c r="G296">
        <v>9.4</v>
      </c>
      <c r="H296">
        <v>2.6436506745197801</v>
      </c>
      <c r="I296">
        <v>10</v>
      </c>
      <c r="J296">
        <v>1.333911843865899</v>
      </c>
      <c r="K296">
        <v>0.2036557308226295</v>
      </c>
      <c r="L296">
        <v>-0.36395485381880688</v>
      </c>
    </row>
    <row r="297" spans="1:12" x14ac:dyDescent="0.25">
      <c r="A297">
        <v>66</v>
      </c>
      <c r="B297">
        <v>70</v>
      </c>
      <c r="C297" t="s">
        <v>19</v>
      </c>
      <c r="D297">
        <v>90.33</v>
      </c>
      <c r="E297">
        <v>12.64</v>
      </c>
      <c r="F297">
        <v>29</v>
      </c>
      <c r="G297">
        <v>90.948635169999989</v>
      </c>
      <c r="H297">
        <v>16.7690912017713</v>
      </c>
      <c r="I297">
        <v>10</v>
      </c>
      <c r="J297">
        <v>0.10667782500255001</v>
      </c>
      <c r="K297">
        <v>0.91670930639855408</v>
      </c>
      <c r="L297">
        <v>-1.698161671435632E-3</v>
      </c>
    </row>
    <row r="298" spans="1:12" x14ac:dyDescent="0.25">
      <c r="A298">
        <v>66</v>
      </c>
      <c r="B298">
        <v>70</v>
      </c>
      <c r="C298" t="s">
        <v>20</v>
      </c>
      <c r="D298">
        <v>5.65</v>
      </c>
      <c r="E298">
        <v>0.85</v>
      </c>
      <c r="F298">
        <v>29</v>
      </c>
      <c r="G298">
        <v>5.9</v>
      </c>
      <c r="H298">
        <v>0.31622776601683789</v>
      </c>
      <c r="I298">
        <v>10</v>
      </c>
      <c r="J298">
        <v>1.3379549531991439</v>
      </c>
      <c r="K298">
        <v>0.18915875811788649</v>
      </c>
      <c r="L298">
        <v>-0.2392399225849216</v>
      </c>
    </row>
    <row r="299" spans="1:12" x14ac:dyDescent="0.25">
      <c r="A299">
        <v>66</v>
      </c>
      <c r="B299">
        <v>70</v>
      </c>
      <c r="C299" t="s">
        <v>21</v>
      </c>
      <c r="D299">
        <v>0.1</v>
      </c>
      <c r="E299">
        <v>0.31</v>
      </c>
      <c r="F299">
        <v>29</v>
      </c>
      <c r="G299">
        <v>0</v>
      </c>
      <c r="H299">
        <v>0</v>
      </c>
      <c r="I299">
        <v>10</v>
      </c>
      <c r="J299">
        <v>-1.7371499377853239</v>
      </c>
      <c r="K299">
        <v>9.335121195516477E-2</v>
      </c>
      <c r="L299">
        <v>0.38189748072686219</v>
      </c>
    </row>
    <row r="300" spans="1:12" x14ac:dyDescent="0.25">
      <c r="A300">
        <v>66</v>
      </c>
      <c r="B300">
        <v>70</v>
      </c>
      <c r="C300" t="s">
        <v>22</v>
      </c>
      <c r="D300">
        <v>5.55</v>
      </c>
      <c r="E300">
        <v>0.94</v>
      </c>
      <c r="F300">
        <v>29</v>
      </c>
      <c r="G300">
        <v>5.9</v>
      </c>
      <c r="H300">
        <v>0.31622776601683789</v>
      </c>
      <c r="I300">
        <v>10</v>
      </c>
      <c r="J300">
        <v>1.7398307120556711</v>
      </c>
      <c r="K300">
        <v>9.0202819004765192E-2</v>
      </c>
      <c r="L300">
        <v>-0.43926633984843932</v>
      </c>
    </row>
    <row r="301" spans="1:12" x14ac:dyDescent="0.25">
      <c r="A301">
        <v>66</v>
      </c>
      <c r="B301">
        <v>70</v>
      </c>
      <c r="C301" t="s">
        <v>23</v>
      </c>
      <c r="D301">
        <v>0.46</v>
      </c>
      <c r="E301">
        <v>0.12</v>
      </c>
      <c r="F301">
        <v>29</v>
      </c>
      <c r="G301">
        <v>0.47499999999999998</v>
      </c>
      <c r="H301">
        <v>7.9056941504209485E-2</v>
      </c>
      <c r="I301">
        <v>10</v>
      </c>
      <c r="J301">
        <v>0.44790055995327288</v>
      </c>
      <c r="K301">
        <v>0.6582265702489859</v>
      </c>
      <c r="L301">
        <v>-2.444824234769559E-2</v>
      </c>
    </row>
    <row r="302" spans="1:12" x14ac:dyDescent="0.25">
      <c r="A302">
        <v>68</v>
      </c>
      <c r="B302">
        <v>72</v>
      </c>
      <c r="C302" t="s">
        <v>12</v>
      </c>
      <c r="D302">
        <v>70.12</v>
      </c>
      <c r="E302">
        <v>1.36</v>
      </c>
      <c r="F302">
        <v>33</v>
      </c>
      <c r="G302">
        <v>68.571428571428569</v>
      </c>
      <c r="H302">
        <v>0.7867957924694432</v>
      </c>
      <c r="I302">
        <v>7</v>
      </c>
      <c r="J302">
        <v>-4.0740051707382801</v>
      </c>
      <c r="K302">
        <v>1.011062778573992E-3</v>
      </c>
      <c r="L302">
        <v>3.605135462948978</v>
      </c>
    </row>
    <row r="303" spans="1:12" x14ac:dyDescent="0.25">
      <c r="A303">
        <v>68</v>
      </c>
      <c r="B303">
        <v>72</v>
      </c>
      <c r="C303" t="s">
        <v>13</v>
      </c>
      <c r="D303">
        <v>4.97</v>
      </c>
      <c r="E303">
        <v>2.02</v>
      </c>
      <c r="F303">
        <v>33</v>
      </c>
      <c r="G303">
        <v>5.5</v>
      </c>
      <c r="H303">
        <v>3.0276503540974922</v>
      </c>
      <c r="I303">
        <v>7</v>
      </c>
      <c r="J303">
        <v>0.44271747784446153</v>
      </c>
      <c r="K303">
        <v>0.67101086766704177</v>
      </c>
      <c r="L303">
        <v>-4.1556120868389571E-2</v>
      </c>
    </row>
    <row r="304" spans="1:12" x14ac:dyDescent="0.25">
      <c r="A304">
        <v>68</v>
      </c>
      <c r="B304">
        <v>72</v>
      </c>
      <c r="C304" t="s">
        <v>14</v>
      </c>
      <c r="D304">
        <v>7.51</v>
      </c>
      <c r="E304">
        <v>2.13</v>
      </c>
      <c r="F304">
        <v>33</v>
      </c>
      <c r="G304">
        <v>7.5714285714285712</v>
      </c>
      <c r="H304">
        <v>2.978094628961212</v>
      </c>
      <c r="I304">
        <v>7</v>
      </c>
      <c r="J304">
        <v>5.1833591663991853E-2</v>
      </c>
      <c r="K304">
        <v>0.96004085540450235</v>
      </c>
      <c r="L304">
        <v>-4.7612644442845622E-4</v>
      </c>
    </row>
    <row r="305" spans="1:12" x14ac:dyDescent="0.25">
      <c r="A305">
        <v>68</v>
      </c>
      <c r="B305">
        <v>72</v>
      </c>
      <c r="C305" t="s">
        <v>15</v>
      </c>
      <c r="D305">
        <v>8.65</v>
      </c>
      <c r="E305">
        <v>2.16</v>
      </c>
      <c r="F305">
        <v>33</v>
      </c>
      <c r="G305">
        <v>10.21428571428571</v>
      </c>
      <c r="H305">
        <v>1.550729475041313</v>
      </c>
      <c r="I305">
        <v>7</v>
      </c>
      <c r="J305">
        <v>2.2463704333249752</v>
      </c>
      <c r="K305">
        <v>4.5028254384129697E-2</v>
      </c>
      <c r="L305">
        <v>-1.014747201315136</v>
      </c>
    </row>
    <row r="306" spans="1:12" x14ac:dyDescent="0.25">
      <c r="A306">
        <v>68</v>
      </c>
      <c r="B306">
        <v>72</v>
      </c>
      <c r="C306" t="s">
        <v>16</v>
      </c>
      <c r="D306">
        <v>21.14</v>
      </c>
      <c r="E306">
        <v>5.66</v>
      </c>
      <c r="F306">
        <v>33</v>
      </c>
      <c r="G306">
        <v>23.285714285714281</v>
      </c>
      <c r="H306">
        <v>7.0584296108574023</v>
      </c>
      <c r="I306">
        <v>7</v>
      </c>
      <c r="J306">
        <v>0.75448051315191644</v>
      </c>
      <c r="K306">
        <v>0.47294056564877041</v>
      </c>
      <c r="L306">
        <v>-0.1182089476692938</v>
      </c>
    </row>
    <row r="307" spans="1:12" x14ac:dyDescent="0.25">
      <c r="A307">
        <v>68</v>
      </c>
      <c r="B307">
        <v>72</v>
      </c>
      <c r="C307" t="s">
        <v>17</v>
      </c>
      <c r="D307">
        <v>3.78</v>
      </c>
      <c r="E307">
        <v>1.86</v>
      </c>
      <c r="F307">
        <v>33</v>
      </c>
      <c r="G307">
        <v>4.7142857142857144</v>
      </c>
      <c r="H307">
        <v>2.03832330722138</v>
      </c>
      <c r="I307">
        <v>7</v>
      </c>
      <c r="J307">
        <v>1.117984405954014</v>
      </c>
      <c r="K307">
        <v>0.29503837947147232</v>
      </c>
      <c r="L307">
        <v>-0.26215599427253589</v>
      </c>
    </row>
    <row r="308" spans="1:12" x14ac:dyDescent="0.25">
      <c r="A308">
        <v>68</v>
      </c>
      <c r="B308">
        <v>72</v>
      </c>
      <c r="C308" t="s">
        <v>18</v>
      </c>
      <c r="D308">
        <v>8.0399999999999991</v>
      </c>
      <c r="E308">
        <v>2.3199999999999998</v>
      </c>
      <c r="F308">
        <v>33</v>
      </c>
      <c r="G308">
        <v>9.2857142857142865</v>
      </c>
      <c r="H308">
        <v>2.2334044054078599</v>
      </c>
      <c r="I308">
        <v>7</v>
      </c>
      <c r="J308">
        <v>1.331201289923754</v>
      </c>
      <c r="K308">
        <v>0.21595291626181731</v>
      </c>
      <c r="L308">
        <v>-0.35949832879802018</v>
      </c>
    </row>
    <row r="309" spans="1:12" x14ac:dyDescent="0.25">
      <c r="A309">
        <v>68</v>
      </c>
      <c r="B309">
        <v>72</v>
      </c>
      <c r="C309" t="s">
        <v>19</v>
      </c>
      <c r="D309">
        <v>89.84</v>
      </c>
      <c r="E309">
        <v>11.22</v>
      </c>
      <c r="F309">
        <v>33</v>
      </c>
      <c r="G309">
        <v>91.151111467142854</v>
      </c>
      <c r="H309">
        <v>18.19179074041547</v>
      </c>
      <c r="I309">
        <v>7</v>
      </c>
      <c r="J309">
        <v>0.18342674009997789</v>
      </c>
      <c r="K309">
        <v>0.85966406298834697</v>
      </c>
      <c r="L309">
        <v>-6.8441904209935681E-3</v>
      </c>
    </row>
    <row r="310" spans="1:12" x14ac:dyDescent="0.25">
      <c r="A310">
        <v>68</v>
      </c>
      <c r="B310">
        <v>72</v>
      </c>
      <c r="C310" t="s">
        <v>20</v>
      </c>
      <c r="D310">
        <v>5.69</v>
      </c>
      <c r="E310">
        <v>0.81</v>
      </c>
      <c r="F310">
        <v>33</v>
      </c>
      <c r="G310">
        <v>5.8571428571428568</v>
      </c>
      <c r="H310">
        <v>0.37796447300922731</v>
      </c>
      <c r="I310">
        <v>7</v>
      </c>
      <c r="J310">
        <v>0.83270138696784002</v>
      </c>
      <c r="K310">
        <v>0.4149189461766114</v>
      </c>
      <c r="L310">
        <v>-8.4204585148944314E-2</v>
      </c>
    </row>
    <row r="311" spans="1:12" x14ac:dyDescent="0.25">
      <c r="A311">
        <v>68</v>
      </c>
      <c r="B311">
        <v>72</v>
      </c>
      <c r="C311" t="s">
        <v>21</v>
      </c>
      <c r="D311">
        <v>0.18</v>
      </c>
      <c r="E311">
        <v>0.39</v>
      </c>
      <c r="F311">
        <v>33</v>
      </c>
      <c r="G311">
        <v>0</v>
      </c>
      <c r="H311">
        <v>0</v>
      </c>
      <c r="I311">
        <v>7</v>
      </c>
      <c r="J311">
        <v>-2.6513366060944739</v>
      </c>
      <c r="K311">
        <v>1.236457775037696E-2</v>
      </c>
      <c r="L311">
        <v>0.95953819362388959</v>
      </c>
    </row>
    <row r="312" spans="1:12" x14ac:dyDescent="0.25">
      <c r="A312">
        <v>68</v>
      </c>
      <c r="B312">
        <v>72</v>
      </c>
      <c r="C312" t="s">
        <v>22</v>
      </c>
      <c r="D312">
        <v>5.15</v>
      </c>
      <c r="E312">
        <v>0.93</v>
      </c>
      <c r="F312">
        <v>33</v>
      </c>
      <c r="G312">
        <v>5.8571428571428568</v>
      </c>
      <c r="H312">
        <v>0.37796447300922731</v>
      </c>
      <c r="I312">
        <v>7</v>
      </c>
      <c r="J312">
        <v>3.275169750929551</v>
      </c>
      <c r="K312">
        <v>3.2101712088909149E-3</v>
      </c>
      <c r="L312">
        <v>-2.0348037313869778</v>
      </c>
    </row>
    <row r="313" spans="1:12" x14ac:dyDescent="0.25">
      <c r="A313">
        <v>68</v>
      </c>
      <c r="B313">
        <v>72</v>
      </c>
      <c r="C313" t="s">
        <v>23</v>
      </c>
      <c r="D313">
        <v>0.49</v>
      </c>
      <c r="E313">
        <v>0.12</v>
      </c>
      <c r="F313">
        <v>33</v>
      </c>
      <c r="G313">
        <v>0.4642857142857143</v>
      </c>
      <c r="H313">
        <v>9.4491118252306827E-2</v>
      </c>
      <c r="I313">
        <v>7</v>
      </c>
      <c r="J313">
        <v>-0.6214963571116966</v>
      </c>
      <c r="K313">
        <v>0.54743591572657846</v>
      </c>
      <c r="L313">
        <v>5.7833080265678752E-2</v>
      </c>
    </row>
    <row r="314" spans="1:12" x14ac:dyDescent="0.25">
      <c r="A314">
        <v>70</v>
      </c>
      <c r="B314">
        <v>74</v>
      </c>
      <c r="C314" t="s">
        <v>12</v>
      </c>
      <c r="D314">
        <v>71.53</v>
      </c>
      <c r="E314">
        <v>1.17</v>
      </c>
      <c r="F314">
        <v>28</v>
      </c>
      <c r="G314">
        <v>70</v>
      </c>
      <c r="I314">
        <v>1</v>
      </c>
    </row>
    <row r="315" spans="1:12" x14ac:dyDescent="0.25">
      <c r="A315">
        <v>70</v>
      </c>
      <c r="B315">
        <v>74</v>
      </c>
      <c r="C315" t="s">
        <v>13</v>
      </c>
      <c r="D315">
        <v>4.87</v>
      </c>
      <c r="E315">
        <v>2.02</v>
      </c>
      <c r="F315">
        <v>28</v>
      </c>
      <c r="G315">
        <v>3.5</v>
      </c>
      <c r="I315">
        <v>1</v>
      </c>
    </row>
    <row r="316" spans="1:12" x14ac:dyDescent="0.25">
      <c r="A316">
        <v>70</v>
      </c>
      <c r="B316">
        <v>74</v>
      </c>
      <c r="C316" t="s">
        <v>14</v>
      </c>
      <c r="D316">
        <v>7.4</v>
      </c>
      <c r="E316">
        <v>2.14</v>
      </c>
      <c r="F316">
        <v>28</v>
      </c>
      <c r="G316">
        <v>6.5</v>
      </c>
      <c r="I316">
        <v>1</v>
      </c>
    </row>
    <row r="317" spans="1:12" x14ac:dyDescent="0.25">
      <c r="A317">
        <v>70</v>
      </c>
      <c r="B317">
        <v>74</v>
      </c>
      <c r="C317" t="s">
        <v>15</v>
      </c>
      <c r="D317">
        <v>8.5500000000000007</v>
      </c>
      <c r="E317">
        <v>2.2000000000000002</v>
      </c>
      <c r="F317">
        <v>28</v>
      </c>
      <c r="G317">
        <v>8</v>
      </c>
      <c r="I317">
        <v>1</v>
      </c>
    </row>
    <row r="318" spans="1:12" x14ac:dyDescent="0.25">
      <c r="A318">
        <v>70</v>
      </c>
      <c r="B318">
        <v>74</v>
      </c>
      <c r="C318" t="s">
        <v>16</v>
      </c>
      <c r="D318">
        <v>20.83</v>
      </c>
      <c r="E318">
        <v>5.71</v>
      </c>
      <c r="F318">
        <v>28</v>
      </c>
      <c r="G318">
        <v>18</v>
      </c>
      <c r="I318">
        <v>1</v>
      </c>
    </row>
    <row r="319" spans="1:12" x14ac:dyDescent="0.25">
      <c r="A319">
        <v>70</v>
      </c>
      <c r="B319">
        <v>74</v>
      </c>
      <c r="C319" t="s">
        <v>17</v>
      </c>
      <c r="D319">
        <v>3.38</v>
      </c>
      <c r="E319">
        <v>1.86</v>
      </c>
      <c r="F319">
        <v>28</v>
      </c>
      <c r="G319">
        <v>4.5</v>
      </c>
      <c r="I319">
        <v>1</v>
      </c>
    </row>
    <row r="320" spans="1:12" x14ac:dyDescent="0.25">
      <c r="A320">
        <v>70</v>
      </c>
      <c r="B320">
        <v>74</v>
      </c>
      <c r="C320" t="s">
        <v>18</v>
      </c>
      <c r="D320">
        <v>7.93</v>
      </c>
      <c r="E320">
        <v>2.36</v>
      </c>
      <c r="F320">
        <v>28</v>
      </c>
      <c r="G320">
        <v>8.5</v>
      </c>
      <c r="I320">
        <v>1</v>
      </c>
    </row>
    <row r="321" spans="1:9" x14ac:dyDescent="0.25">
      <c r="A321">
        <v>70</v>
      </c>
      <c r="B321">
        <v>74</v>
      </c>
      <c r="C321" t="s">
        <v>19</v>
      </c>
      <c r="D321">
        <v>87.83</v>
      </c>
      <c r="E321">
        <v>14.34</v>
      </c>
      <c r="F321">
        <v>28</v>
      </c>
      <c r="G321">
        <v>106.25</v>
      </c>
      <c r="I321">
        <v>1</v>
      </c>
    </row>
    <row r="322" spans="1:9" x14ac:dyDescent="0.25">
      <c r="A322">
        <v>70</v>
      </c>
      <c r="B322">
        <v>74</v>
      </c>
      <c r="C322" t="s">
        <v>20</v>
      </c>
      <c r="D322">
        <v>5.75</v>
      </c>
      <c r="E322">
        <v>0.84</v>
      </c>
      <c r="F322">
        <v>28</v>
      </c>
      <c r="G322">
        <v>6</v>
      </c>
      <c r="I322">
        <v>1</v>
      </c>
    </row>
    <row r="323" spans="1:9" x14ac:dyDescent="0.25">
      <c r="A323">
        <v>70</v>
      </c>
      <c r="B323">
        <v>74</v>
      </c>
      <c r="C323" t="s">
        <v>21</v>
      </c>
      <c r="D323">
        <v>0.1</v>
      </c>
      <c r="E323">
        <v>0.31</v>
      </c>
      <c r="F323">
        <v>28</v>
      </c>
      <c r="G323">
        <v>0</v>
      </c>
      <c r="I323">
        <v>1</v>
      </c>
    </row>
    <row r="324" spans="1:9" x14ac:dyDescent="0.25">
      <c r="A324">
        <v>70</v>
      </c>
      <c r="B324">
        <v>74</v>
      </c>
      <c r="C324" t="s">
        <v>22</v>
      </c>
      <c r="D324">
        <v>5.64</v>
      </c>
      <c r="E324">
        <v>0.91</v>
      </c>
      <c r="F324">
        <v>28</v>
      </c>
      <c r="G324">
        <v>6</v>
      </c>
      <c r="I324">
        <v>1</v>
      </c>
    </row>
    <row r="325" spans="1:9" x14ac:dyDescent="0.25">
      <c r="A325">
        <v>70</v>
      </c>
      <c r="B325">
        <v>74</v>
      </c>
      <c r="C325" t="s">
        <v>23</v>
      </c>
      <c r="D325">
        <v>0.49</v>
      </c>
      <c r="E325">
        <v>0.12</v>
      </c>
      <c r="F325">
        <v>28</v>
      </c>
      <c r="G325">
        <v>0.5</v>
      </c>
      <c r="I325">
        <v>1</v>
      </c>
    </row>
    <row r="326" spans="1:9" x14ac:dyDescent="0.25">
      <c r="A326">
        <v>72</v>
      </c>
      <c r="B326">
        <v>76</v>
      </c>
      <c r="C326" t="s">
        <v>12</v>
      </c>
      <c r="D326">
        <v>75.39</v>
      </c>
      <c r="E326">
        <v>2.8</v>
      </c>
      <c r="F326">
        <v>28</v>
      </c>
      <c r="I326">
        <v>0</v>
      </c>
    </row>
    <row r="327" spans="1:9" x14ac:dyDescent="0.25">
      <c r="A327">
        <v>72</v>
      </c>
      <c r="B327">
        <v>76</v>
      </c>
      <c r="C327" t="s">
        <v>13</v>
      </c>
      <c r="D327">
        <v>4.67</v>
      </c>
      <c r="E327">
        <v>2.0099999999999998</v>
      </c>
      <c r="F327">
        <v>28</v>
      </c>
      <c r="I327">
        <v>0</v>
      </c>
    </row>
    <row r="328" spans="1:9" x14ac:dyDescent="0.25">
      <c r="A328">
        <v>72</v>
      </c>
      <c r="B328">
        <v>76</v>
      </c>
      <c r="C328" t="s">
        <v>14</v>
      </c>
      <c r="D328">
        <v>7.19</v>
      </c>
      <c r="E328">
        <v>2.1800000000000002</v>
      </c>
      <c r="F328">
        <v>28</v>
      </c>
      <c r="I328">
        <v>0</v>
      </c>
    </row>
    <row r="329" spans="1:9" x14ac:dyDescent="0.25">
      <c r="A329">
        <v>72</v>
      </c>
      <c r="B329">
        <v>76</v>
      </c>
      <c r="C329" t="s">
        <v>15</v>
      </c>
      <c r="D329">
        <v>8.35</v>
      </c>
      <c r="E329">
        <v>2.2799999999999998</v>
      </c>
      <c r="F329">
        <v>28</v>
      </c>
      <c r="I329">
        <v>0</v>
      </c>
    </row>
    <row r="330" spans="1:9" x14ac:dyDescent="0.25">
      <c r="A330">
        <v>72</v>
      </c>
      <c r="B330">
        <v>76</v>
      </c>
      <c r="C330" t="s">
        <v>16</v>
      </c>
      <c r="D330">
        <v>20.22</v>
      </c>
      <c r="E330">
        <v>5.82</v>
      </c>
      <c r="F330">
        <v>28</v>
      </c>
      <c r="I330">
        <v>0</v>
      </c>
    </row>
    <row r="331" spans="1:9" x14ac:dyDescent="0.25">
      <c r="A331">
        <v>72</v>
      </c>
      <c r="B331">
        <v>76</v>
      </c>
      <c r="C331" t="s">
        <v>17</v>
      </c>
      <c r="D331">
        <v>3.38</v>
      </c>
      <c r="E331">
        <v>1.88</v>
      </c>
      <c r="F331">
        <v>28</v>
      </c>
      <c r="I331">
        <v>0</v>
      </c>
    </row>
    <row r="332" spans="1:9" x14ac:dyDescent="0.25">
      <c r="A332">
        <v>72</v>
      </c>
      <c r="B332">
        <v>76</v>
      </c>
      <c r="C332" t="s">
        <v>18</v>
      </c>
      <c r="D332">
        <v>7.71</v>
      </c>
      <c r="E332">
        <v>2.4300000000000002</v>
      </c>
      <c r="F332">
        <v>28</v>
      </c>
      <c r="I332">
        <v>0</v>
      </c>
    </row>
    <row r="333" spans="1:9" x14ac:dyDescent="0.25">
      <c r="A333">
        <v>72</v>
      </c>
      <c r="B333">
        <v>76</v>
      </c>
      <c r="C333" t="s">
        <v>19</v>
      </c>
      <c r="D333">
        <v>86.44</v>
      </c>
      <c r="E333">
        <v>14.7</v>
      </c>
      <c r="F333">
        <v>28</v>
      </c>
      <c r="I333">
        <v>0</v>
      </c>
    </row>
    <row r="334" spans="1:9" x14ac:dyDescent="0.25">
      <c r="A334">
        <v>72</v>
      </c>
      <c r="B334">
        <v>76</v>
      </c>
      <c r="C334" t="s">
        <v>20</v>
      </c>
      <c r="D334">
        <v>5.64</v>
      </c>
      <c r="E334">
        <v>0.62</v>
      </c>
      <c r="F334">
        <v>28</v>
      </c>
      <c r="I334">
        <v>0</v>
      </c>
    </row>
    <row r="335" spans="1:9" x14ac:dyDescent="0.25">
      <c r="A335">
        <v>72</v>
      </c>
      <c r="B335">
        <v>76</v>
      </c>
      <c r="C335" t="s">
        <v>21</v>
      </c>
      <c r="D335">
        <v>0.14000000000000001</v>
      </c>
      <c r="E335">
        <v>0.36</v>
      </c>
      <c r="F335">
        <v>28</v>
      </c>
      <c r="I335">
        <v>0</v>
      </c>
    </row>
    <row r="336" spans="1:9" x14ac:dyDescent="0.25">
      <c r="A336">
        <v>72</v>
      </c>
      <c r="B336">
        <v>76</v>
      </c>
      <c r="C336" t="s">
        <v>22</v>
      </c>
      <c r="D336">
        <v>5.5</v>
      </c>
      <c r="E336">
        <v>0.79</v>
      </c>
      <c r="F336">
        <v>28</v>
      </c>
      <c r="I336">
        <v>0</v>
      </c>
    </row>
    <row r="337" spans="1:9" x14ac:dyDescent="0.25">
      <c r="A337">
        <v>72</v>
      </c>
      <c r="B337">
        <v>76</v>
      </c>
      <c r="C337" t="s">
        <v>23</v>
      </c>
      <c r="D337">
        <v>0.46</v>
      </c>
      <c r="E337">
        <v>0.14000000000000001</v>
      </c>
      <c r="F337">
        <v>28</v>
      </c>
      <c r="I337">
        <v>0</v>
      </c>
    </row>
  </sheetData>
  <conditionalFormatting sqref="L1:L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7EB2-3DC7-4261-B29F-ADCD8DB7A9A4}">
  <dimension ref="A1:D337"/>
  <sheetViews>
    <sheetView topLeftCell="A4" workbookViewId="0">
      <selection activeCell="F21" sqref="F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>
        <v>18</v>
      </c>
      <c r="B2">
        <v>22</v>
      </c>
      <c r="C2" t="s">
        <v>12</v>
      </c>
      <c r="D2">
        <v>-6.7820540418439004</v>
      </c>
    </row>
    <row r="3" spans="1:4" x14ac:dyDescent="0.25">
      <c r="A3">
        <v>18</v>
      </c>
      <c r="B3">
        <v>22</v>
      </c>
      <c r="C3" t="s">
        <v>13</v>
      </c>
      <c r="D3">
        <v>-2.0695164983318421</v>
      </c>
    </row>
    <row r="4" spans="1:4" x14ac:dyDescent="0.25">
      <c r="A4">
        <v>18</v>
      </c>
      <c r="B4">
        <v>22</v>
      </c>
      <c r="C4" t="s">
        <v>14</v>
      </c>
      <c r="D4">
        <v>-1.605514197493761</v>
      </c>
    </row>
    <row r="5" spans="1:4" x14ac:dyDescent="0.25">
      <c r="A5">
        <v>18</v>
      </c>
      <c r="B5">
        <v>22</v>
      </c>
      <c r="C5" t="s">
        <v>15</v>
      </c>
      <c r="D5">
        <v>-3.4419677416439858</v>
      </c>
    </row>
    <row r="6" spans="1:4" x14ac:dyDescent="0.25">
      <c r="A6">
        <v>18</v>
      </c>
      <c r="B6">
        <v>22</v>
      </c>
      <c r="C6" t="s">
        <v>16</v>
      </c>
      <c r="D6">
        <v>-2.406619449948924</v>
      </c>
    </row>
    <row r="7" spans="1:4" x14ac:dyDescent="0.25">
      <c r="A7">
        <v>18</v>
      </c>
      <c r="B7">
        <v>22</v>
      </c>
      <c r="C7" t="s">
        <v>17</v>
      </c>
      <c r="D7">
        <v>1.210995256622051</v>
      </c>
    </row>
    <row r="8" spans="1:4" x14ac:dyDescent="0.25">
      <c r="A8">
        <v>18</v>
      </c>
      <c r="B8">
        <v>22</v>
      </c>
      <c r="C8" t="s">
        <v>18</v>
      </c>
      <c r="D8">
        <v>-6.1432166642616863</v>
      </c>
    </row>
    <row r="9" spans="1:4" x14ac:dyDescent="0.25">
      <c r="A9">
        <v>18</v>
      </c>
      <c r="B9">
        <v>22</v>
      </c>
      <c r="C9" t="s">
        <v>19</v>
      </c>
      <c r="D9">
        <v>-11.923022741182979</v>
      </c>
    </row>
    <row r="10" spans="1:4" x14ac:dyDescent="0.25">
      <c r="A10">
        <v>18</v>
      </c>
      <c r="B10">
        <v>22</v>
      </c>
      <c r="C10" t="s">
        <v>20</v>
      </c>
      <c r="D10">
        <v>0.402968647979628</v>
      </c>
    </row>
    <row r="11" spans="1:4" x14ac:dyDescent="0.25">
      <c r="A11">
        <v>18</v>
      </c>
      <c r="B11">
        <v>22</v>
      </c>
      <c r="C11" t="s">
        <v>21</v>
      </c>
      <c r="D11">
        <v>0.17932169945102999</v>
      </c>
    </row>
    <row r="12" spans="1:4" x14ac:dyDescent="0.25">
      <c r="A12">
        <v>18</v>
      </c>
      <c r="B12">
        <v>22</v>
      </c>
      <c r="C12" t="s">
        <v>22</v>
      </c>
      <c r="D12">
        <v>0.29546467871921239</v>
      </c>
    </row>
    <row r="13" spans="1:4" x14ac:dyDescent="0.25">
      <c r="A13">
        <v>18</v>
      </c>
      <c r="B13">
        <v>22</v>
      </c>
      <c r="C13" t="s">
        <v>23</v>
      </c>
      <c r="D13">
        <v>0.53813282850217281</v>
      </c>
    </row>
    <row r="14" spans="1:4" x14ac:dyDescent="0.25">
      <c r="A14">
        <v>20</v>
      </c>
      <c r="B14">
        <v>24</v>
      </c>
      <c r="C14" t="s">
        <v>12</v>
      </c>
      <c r="D14">
        <v>-0.50025197687007439</v>
      </c>
    </row>
    <row r="15" spans="1:4" x14ac:dyDescent="0.25">
      <c r="A15">
        <v>20</v>
      </c>
      <c r="B15">
        <v>24</v>
      </c>
      <c r="C15" t="s">
        <v>13</v>
      </c>
      <c r="D15">
        <v>-2.599736369266346</v>
      </c>
    </row>
    <row r="16" spans="1:4" x14ac:dyDescent="0.25">
      <c r="A16">
        <v>20</v>
      </c>
      <c r="B16">
        <v>24</v>
      </c>
      <c r="C16" t="s">
        <v>14</v>
      </c>
      <c r="D16">
        <v>-3.780421672335831</v>
      </c>
    </row>
    <row r="17" spans="1:4" x14ac:dyDescent="0.25">
      <c r="A17">
        <v>20</v>
      </c>
      <c r="B17">
        <v>24</v>
      </c>
      <c r="C17" t="s">
        <v>15</v>
      </c>
      <c r="D17">
        <v>-5.0785181845003189</v>
      </c>
    </row>
    <row r="18" spans="1:4" x14ac:dyDescent="0.25">
      <c r="A18">
        <v>20</v>
      </c>
      <c r="B18">
        <v>24</v>
      </c>
      <c r="C18" t="s">
        <v>16</v>
      </c>
      <c r="D18">
        <v>-4.5912251785375338</v>
      </c>
    </row>
    <row r="19" spans="1:4" x14ac:dyDescent="0.25">
      <c r="A19">
        <v>20</v>
      </c>
      <c r="B19">
        <v>24</v>
      </c>
      <c r="C19" t="s">
        <v>17</v>
      </c>
      <c r="D19">
        <v>0.93659685661683389</v>
      </c>
    </row>
    <row r="20" spans="1:4" x14ac:dyDescent="0.25">
      <c r="A20">
        <v>20</v>
      </c>
      <c r="B20">
        <v>24</v>
      </c>
      <c r="C20" t="s">
        <v>18</v>
      </c>
      <c r="D20">
        <v>-0.64699981760036129</v>
      </c>
    </row>
    <row r="21" spans="1:4" x14ac:dyDescent="0.25">
      <c r="A21">
        <v>20</v>
      </c>
      <c r="B21">
        <v>24</v>
      </c>
      <c r="C21" t="s">
        <v>19</v>
      </c>
      <c r="D21">
        <v>-4.5780960269809871E-2</v>
      </c>
    </row>
    <row r="22" spans="1:4" x14ac:dyDescent="0.25">
      <c r="A22">
        <v>20</v>
      </c>
      <c r="B22">
        <v>24</v>
      </c>
      <c r="C22" t="s">
        <v>20</v>
      </c>
      <c r="D22">
        <v>0.32273264924206119</v>
      </c>
    </row>
    <row r="23" spans="1:4" x14ac:dyDescent="0.25">
      <c r="A23">
        <v>20</v>
      </c>
      <c r="B23">
        <v>24</v>
      </c>
      <c r="C23" t="s">
        <v>21</v>
      </c>
      <c r="D23">
        <v>0.1516851291028444</v>
      </c>
    </row>
    <row r="24" spans="1:4" x14ac:dyDescent="0.25">
      <c r="A24">
        <v>20</v>
      </c>
      <c r="B24">
        <v>24</v>
      </c>
      <c r="C24" t="s">
        <v>22</v>
      </c>
      <c r="D24">
        <v>0.1669172872349389</v>
      </c>
    </row>
    <row r="25" spans="1:4" x14ac:dyDescent="0.25">
      <c r="A25">
        <v>20</v>
      </c>
      <c r="B25">
        <v>24</v>
      </c>
      <c r="C25" t="s">
        <v>23</v>
      </c>
      <c r="D25">
        <v>0.33973066072453101</v>
      </c>
    </row>
    <row r="26" spans="1:4" x14ac:dyDescent="0.25">
      <c r="A26">
        <v>22</v>
      </c>
      <c r="B26">
        <v>26</v>
      </c>
      <c r="C26" t="s">
        <v>12</v>
      </c>
      <c r="D26">
        <v>1.8153691073519052E-2</v>
      </c>
    </row>
    <row r="27" spans="1:4" x14ac:dyDescent="0.25">
      <c r="A27">
        <v>22</v>
      </c>
      <c r="B27">
        <v>26</v>
      </c>
      <c r="C27" t="s">
        <v>13</v>
      </c>
      <c r="D27">
        <v>-1.6111747437375119</v>
      </c>
    </row>
    <row r="28" spans="1:4" x14ac:dyDescent="0.25">
      <c r="A28">
        <v>22</v>
      </c>
      <c r="B28">
        <v>26</v>
      </c>
      <c r="C28" t="s">
        <v>14</v>
      </c>
      <c r="D28">
        <v>-2.2694479312367779</v>
      </c>
    </row>
    <row r="29" spans="1:4" x14ac:dyDescent="0.25">
      <c r="A29">
        <v>22</v>
      </c>
      <c r="B29">
        <v>26</v>
      </c>
      <c r="C29" t="s">
        <v>15</v>
      </c>
      <c r="D29">
        <v>-2.864038681171138</v>
      </c>
    </row>
    <row r="30" spans="1:4" x14ac:dyDescent="0.25">
      <c r="A30">
        <v>22</v>
      </c>
      <c r="B30">
        <v>26</v>
      </c>
      <c r="C30" t="s">
        <v>16</v>
      </c>
      <c r="D30">
        <v>-2.554325005049956</v>
      </c>
    </row>
    <row r="31" spans="1:4" x14ac:dyDescent="0.25">
      <c r="A31">
        <v>22</v>
      </c>
      <c r="B31">
        <v>26</v>
      </c>
      <c r="C31" t="s">
        <v>17</v>
      </c>
      <c r="D31">
        <v>0.50802126717377682</v>
      </c>
    </row>
    <row r="32" spans="1:4" x14ac:dyDescent="0.25">
      <c r="A32">
        <v>22</v>
      </c>
      <c r="B32">
        <v>26</v>
      </c>
      <c r="C32" t="s">
        <v>18</v>
      </c>
      <c r="D32">
        <v>-0.70826947210287328</v>
      </c>
    </row>
    <row r="33" spans="1:4" x14ac:dyDescent="0.25">
      <c r="A33">
        <v>22</v>
      </c>
      <c r="B33">
        <v>26</v>
      </c>
      <c r="C33" t="s">
        <v>19</v>
      </c>
      <c r="D33">
        <v>-1.0293045272444141E-2</v>
      </c>
    </row>
    <row r="34" spans="1:4" x14ac:dyDescent="0.25">
      <c r="A34">
        <v>22</v>
      </c>
      <c r="B34">
        <v>26</v>
      </c>
      <c r="C34" t="s">
        <v>20</v>
      </c>
      <c r="D34">
        <v>9.9798549940268992E-6</v>
      </c>
    </row>
    <row r="35" spans="1:4" x14ac:dyDescent="0.25">
      <c r="A35">
        <v>22</v>
      </c>
      <c r="B35">
        <v>26</v>
      </c>
      <c r="C35" t="s">
        <v>21</v>
      </c>
    </row>
    <row r="36" spans="1:4" x14ac:dyDescent="0.25">
      <c r="A36">
        <v>22</v>
      </c>
      <c r="B36">
        <v>26</v>
      </c>
      <c r="C36" t="s">
        <v>22</v>
      </c>
      <c r="D36">
        <v>9.9798549940268992E-6</v>
      </c>
    </row>
    <row r="37" spans="1:4" x14ac:dyDescent="0.25">
      <c r="A37">
        <v>22</v>
      </c>
      <c r="B37">
        <v>26</v>
      </c>
      <c r="C37" t="s">
        <v>23</v>
      </c>
      <c r="D37">
        <v>-1.1366334522179691E-2</v>
      </c>
    </row>
    <row r="38" spans="1:4" x14ac:dyDescent="0.25">
      <c r="A38">
        <v>24</v>
      </c>
      <c r="B38">
        <v>28</v>
      </c>
      <c r="C38" t="s">
        <v>12</v>
      </c>
      <c r="D38">
        <v>-0.68275402779823313</v>
      </c>
    </row>
    <row r="39" spans="1:4" x14ac:dyDescent="0.25">
      <c r="A39">
        <v>24</v>
      </c>
      <c r="B39">
        <v>28</v>
      </c>
      <c r="C39" t="s">
        <v>13</v>
      </c>
      <c r="D39">
        <v>-1.2430646466477331</v>
      </c>
    </row>
    <row r="40" spans="1:4" x14ac:dyDescent="0.25">
      <c r="A40">
        <v>24</v>
      </c>
      <c r="B40">
        <v>28</v>
      </c>
      <c r="C40" t="s">
        <v>14</v>
      </c>
      <c r="D40">
        <v>-1.411329333737098</v>
      </c>
    </row>
    <row r="41" spans="1:4" x14ac:dyDescent="0.25">
      <c r="A41">
        <v>24</v>
      </c>
      <c r="B41">
        <v>28</v>
      </c>
      <c r="C41" t="s">
        <v>15</v>
      </c>
      <c r="D41">
        <v>-2.8869870843629188</v>
      </c>
    </row>
    <row r="42" spans="1:4" x14ac:dyDescent="0.25">
      <c r="A42">
        <v>24</v>
      </c>
      <c r="B42">
        <v>28</v>
      </c>
      <c r="C42" t="s">
        <v>16</v>
      </c>
      <c r="D42">
        <v>-1.8980852647472859</v>
      </c>
    </row>
    <row r="43" spans="1:4" x14ac:dyDescent="0.25">
      <c r="A43">
        <v>24</v>
      </c>
      <c r="B43">
        <v>28</v>
      </c>
      <c r="C43" t="s">
        <v>17</v>
      </c>
      <c r="D43">
        <v>0.31594159916610087</v>
      </c>
    </row>
    <row r="44" spans="1:4" x14ac:dyDescent="0.25">
      <c r="A44">
        <v>24</v>
      </c>
      <c r="B44">
        <v>28</v>
      </c>
      <c r="C44" t="s">
        <v>18</v>
      </c>
      <c r="D44">
        <v>-3.709806987214169</v>
      </c>
    </row>
    <row r="45" spans="1:4" x14ac:dyDescent="0.25">
      <c r="A45">
        <v>24</v>
      </c>
      <c r="B45">
        <v>28</v>
      </c>
      <c r="C45" t="s">
        <v>19</v>
      </c>
      <c r="D45">
        <v>-1.157682695032082</v>
      </c>
    </row>
    <row r="46" spans="1:4" x14ac:dyDescent="0.25">
      <c r="A46">
        <v>24</v>
      </c>
      <c r="B46">
        <v>28</v>
      </c>
      <c r="C46" t="s">
        <v>20</v>
      </c>
      <c r="D46">
        <v>-0.62850082609560332</v>
      </c>
    </row>
    <row r="47" spans="1:4" x14ac:dyDescent="0.25">
      <c r="A47">
        <v>24</v>
      </c>
      <c r="B47">
        <v>28</v>
      </c>
      <c r="C47" t="s">
        <v>21</v>
      </c>
    </row>
    <row r="48" spans="1:4" x14ac:dyDescent="0.25">
      <c r="A48">
        <v>24</v>
      </c>
      <c r="B48">
        <v>28</v>
      </c>
      <c r="C48" t="s">
        <v>22</v>
      </c>
      <c r="D48">
        <v>-0.62850082609560332</v>
      </c>
    </row>
    <row r="49" spans="1:4" x14ac:dyDescent="0.25">
      <c r="A49">
        <v>24</v>
      </c>
      <c r="B49">
        <v>28</v>
      </c>
      <c r="C49" t="s">
        <v>23</v>
      </c>
      <c r="D49">
        <v>-0.92500420122394134</v>
      </c>
    </row>
    <row r="50" spans="1:4" x14ac:dyDescent="0.25">
      <c r="A50">
        <v>26</v>
      </c>
      <c r="B50">
        <v>30</v>
      </c>
      <c r="C50" t="s">
        <v>12</v>
      </c>
      <c r="D50">
        <v>0.46091255775928958</v>
      </c>
    </row>
    <row r="51" spans="1:4" x14ac:dyDescent="0.25">
      <c r="A51">
        <v>26</v>
      </c>
      <c r="B51">
        <v>30</v>
      </c>
      <c r="C51" t="s">
        <v>13</v>
      </c>
      <c r="D51">
        <v>-0.58351265889760495</v>
      </c>
    </row>
    <row r="52" spans="1:4" x14ac:dyDescent="0.25">
      <c r="A52">
        <v>26</v>
      </c>
      <c r="B52">
        <v>30</v>
      </c>
      <c r="C52" t="s">
        <v>14</v>
      </c>
      <c r="D52">
        <v>-0.48094336090187623</v>
      </c>
    </row>
    <row r="53" spans="1:4" x14ac:dyDescent="0.25">
      <c r="A53">
        <v>26</v>
      </c>
      <c r="B53">
        <v>30</v>
      </c>
      <c r="C53" t="s">
        <v>15</v>
      </c>
      <c r="D53">
        <v>-4.0249688857335011</v>
      </c>
    </row>
    <row r="54" spans="1:4" x14ac:dyDescent="0.25">
      <c r="A54">
        <v>26</v>
      </c>
      <c r="B54">
        <v>30</v>
      </c>
      <c r="C54" t="s">
        <v>16</v>
      </c>
      <c r="D54">
        <v>-1.3087612642696449</v>
      </c>
    </row>
    <row r="55" spans="1:4" x14ac:dyDescent="0.25">
      <c r="A55">
        <v>26</v>
      </c>
      <c r="B55">
        <v>30</v>
      </c>
      <c r="C55" t="s">
        <v>17</v>
      </c>
      <c r="D55">
        <v>1.3459075080913969E-2</v>
      </c>
    </row>
    <row r="56" spans="1:4" x14ac:dyDescent="0.25">
      <c r="A56">
        <v>26</v>
      </c>
      <c r="B56">
        <v>30</v>
      </c>
      <c r="C56" t="s">
        <v>18</v>
      </c>
      <c r="D56">
        <v>-4.6508519274112512</v>
      </c>
    </row>
    <row r="57" spans="1:4" x14ac:dyDescent="0.25">
      <c r="A57">
        <v>26</v>
      </c>
      <c r="B57">
        <v>30</v>
      </c>
      <c r="C57" t="s">
        <v>19</v>
      </c>
      <c r="D57">
        <v>-0.39413149807884079</v>
      </c>
    </row>
    <row r="58" spans="1:4" x14ac:dyDescent="0.25">
      <c r="A58">
        <v>26</v>
      </c>
      <c r="B58">
        <v>30</v>
      </c>
      <c r="C58" t="s">
        <v>20</v>
      </c>
      <c r="D58">
        <v>0.10697925762048791</v>
      </c>
    </row>
    <row r="59" spans="1:4" x14ac:dyDescent="0.25">
      <c r="A59">
        <v>26</v>
      </c>
      <c r="B59">
        <v>30</v>
      </c>
      <c r="C59" t="s">
        <v>21</v>
      </c>
    </row>
    <row r="60" spans="1:4" x14ac:dyDescent="0.25">
      <c r="A60">
        <v>26</v>
      </c>
      <c r="B60">
        <v>30</v>
      </c>
      <c r="C60" t="s">
        <v>22</v>
      </c>
      <c r="D60">
        <v>0.10697925762048791</v>
      </c>
    </row>
    <row r="61" spans="1:4" x14ac:dyDescent="0.25">
      <c r="A61">
        <v>26</v>
      </c>
      <c r="B61">
        <v>30</v>
      </c>
      <c r="C61" t="s">
        <v>23</v>
      </c>
      <c r="D61">
        <v>8.5157463260577659E-2</v>
      </c>
    </row>
    <row r="62" spans="1:4" x14ac:dyDescent="0.25">
      <c r="A62">
        <v>28</v>
      </c>
      <c r="B62">
        <v>32</v>
      </c>
      <c r="C62" t="s">
        <v>12</v>
      </c>
      <c r="D62">
        <v>-2.266308357215841E-3</v>
      </c>
    </row>
    <row r="63" spans="1:4" x14ac:dyDescent="0.25">
      <c r="A63">
        <v>28</v>
      </c>
      <c r="B63">
        <v>32</v>
      </c>
      <c r="C63" t="s">
        <v>13</v>
      </c>
      <c r="D63">
        <v>-0.54605858592735412</v>
      </c>
    </row>
    <row r="64" spans="1:4" x14ac:dyDescent="0.25">
      <c r="A64">
        <v>28</v>
      </c>
      <c r="B64">
        <v>32</v>
      </c>
      <c r="C64" t="s">
        <v>14</v>
      </c>
      <c r="D64">
        <v>-0.82337426453935281</v>
      </c>
    </row>
    <row r="65" spans="1:4" x14ac:dyDescent="0.25">
      <c r="A65">
        <v>28</v>
      </c>
      <c r="B65">
        <v>32</v>
      </c>
      <c r="C65" t="s">
        <v>15</v>
      </c>
      <c r="D65">
        <v>-6.5796016895243614</v>
      </c>
    </row>
    <row r="66" spans="1:4" x14ac:dyDescent="0.25">
      <c r="A66">
        <v>28</v>
      </c>
      <c r="B66">
        <v>32</v>
      </c>
      <c r="C66" t="s">
        <v>16</v>
      </c>
      <c r="D66">
        <v>-1.873944291481201</v>
      </c>
    </row>
    <row r="67" spans="1:4" x14ac:dyDescent="0.25">
      <c r="A67">
        <v>28</v>
      </c>
      <c r="B67">
        <v>32</v>
      </c>
      <c r="C67" t="s">
        <v>17</v>
      </c>
      <c r="D67">
        <v>-1.091807811737168E-5</v>
      </c>
    </row>
    <row r="68" spans="1:4" x14ac:dyDescent="0.25">
      <c r="A68">
        <v>28</v>
      </c>
      <c r="B68">
        <v>32</v>
      </c>
      <c r="C68" t="s">
        <v>18</v>
      </c>
      <c r="D68">
        <v>-5.548502433900981</v>
      </c>
    </row>
    <row r="69" spans="1:4" x14ac:dyDescent="0.25">
      <c r="A69">
        <v>28</v>
      </c>
      <c r="B69">
        <v>32</v>
      </c>
      <c r="C69" t="s">
        <v>19</v>
      </c>
      <c r="D69">
        <v>-0.51810947448014999</v>
      </c>
    </row>
    <row r="70" spans="1:4" x14ac:dyDescent="0.25">
      <c r="A70">
        <v>28</v>
      </c>
      <c r="B70">
        <v>32</v>
      </c>
      <c r="C70" t="s">
        <v>20</v>
      </c>
      <c r="D70">
        <v>7.3333587909530026E-2</v>
      </c>
    </row>
    <row r="71" spans="1:4" x14ac:dyDescent="0.25">
      <c r="A71">
        <v>28</v>
      </c>
      <c r="B71">
        <v>32</v>
      </c>
      <c r="C71" t="s">
        <v>21</v>
      </c>
    </row>
    <row r="72" spans="1:4" x14ac:dyDescent="0.25">
      <c r="A72">
        <v>28</v>
      </c>
      <c r="B72">
        <v>32</v>
      </c>
      <c r="C72" t="s">
        <v>22</v>
      </c>
      <c r="D72">
        <v>7.3333587909530026E-2</v>
      </c>
    </row>
    <row r="73" spans="1:4" x14ac:dyDescent="0.25">
      <c r="A73">
        <v>28</v>
      </c>
      <c r="B73">
        <v>32</v>
      </c>
      <c r="C73" t="s">
        <v>23</v>
      </c>
      <c r="D73">
        <v>4.4883309141489143E-2</v>
      </c>
    </row>
    <row r="74" spans="1:4" x14ac:dyDescent="0.25">
      <c r="A74">
        <v>30</v>
      </c>
      <c r="B74">
        <v>34</v>
      </c>
      <c r="C74" t="s">
        <v>12</v>
      </c>
      <c r="D74">
        <v>-2.5586658378205181E-2</v>
      </c>
    </row>
    <row r="75" spans="1:4" x14ac:dyDescent="0.25">
      <c r="A75">
        <v>30</v>
      </c>
      <c r="B75">
        <v>34</v>
      </c>
      <c r="C75" t="s">
        <v>13</v>
      </c>
      <c r="D75">
        <v>-0.85264429624932647</v>
      </c>
    </row>
    <row r="76" spans="1:4" x14ac:dyDescent="0.25">
      <c r="A76">
        <v>30</v>
      </c>
      <c r="B76">
        <v>34</v>
      </c>
      <c r="C76" t="s">
        <v>14</v>
      </c>
      <c r="D76">
        <v>-1.456677240763413</v>
      </c>
    </row>
    <row r="77" spans="1:4" x14ac:dyDescent="0.25">
      <c r="A77">
        <v>30</v>
      </c>
      <c r="B77">
        <v>34</v>
      </c>
      <c r="C77" t="s">
        <v>15</v>
      </c>
      <c r="D77">
        <v>-6.9892868941782504</v>
      </c>
    </row>
    <row r="78" spans="1:4" x14ac:dyDescent="0.25">
      <c r="A78">
        <v>30</v>
      </c>
      <c r="B78">
        <v>34</v>
      </c>
      <c r="C78" t="s">
        <v>16</v>
      </c>
      <c r="D78">
        <v>-2.569222590201091</v>
      </c>
    </row>
    <row r="79" spans="1:4" x14ac:dyDescent="0.25">
      <c r="A79">
        <v>30</v>
      </c>
      <c r="B79">
        <v>34</v>
      </c>
      <c r="C79" t="s">
        <v>17</v>
      </c>
      <c r="D79">
        <v>4.2707114988802903E-3</v>
      </c>
    </row>
    <row r="80" spans="1:4" x14ac:dyDescent="0.25">
      <c r="A80">
        <v>30</v>
      </c>
      <c r="B80">
        <v>34</v>
      </c>
      <c r="C80" t="s">
        <v>18</v>
      </c>
      <c r="D80">
        <v>-5.9212422979370158</v>
      </c>
    </row>
    <row r="81" spans="1:4" x14ac:dyDescent="0.25">
      <c r="A81">
        <v>30</v>
      </c>
      <c r="B81">
        <v>34</v>
      </c>
      <c r="C81" t="s">
        <v>19</v>
      </c>
      <c r="D81">
        <v>-1.0837873158007481</v>
      </c>
    </row>
    <row r="82" spans="1:4" x14ac:dyDescent="0.25">
      <c r="A82">
        <v>30</v>
      </c>
      <c r="B82">
        <v>34</v>
      </c>
      <c r="C82" t="s">
        <v>20</v>
      </c>
      <c r="D82">
        <v>-0.1533399521438315</v>
      </c>
    </row>
    <row r="83" spans="1:4" x14ac:dyDescent="0.25">
      <c r="A83">
        <v>30</v>
      </c>
      <c r="B83">
        <v>34</v>
      </c>
      <c r="C83" t="s">
        <v>21</v>
      </c>
    </row>
    <row r="84" spans="1:4" x14ac:dyDescent="0.25">
      <c r="A84">
        <v>30</v>
      </c>
      <c r="B84">
        <v>34</v>
      </c>
      <c r="C84" t="s">
        <v>22</v>
      </c>
      <c r="D84">
        <v>-0.1533399521438315</v>
      </c>
    </row>
    <row r="85" spans="1:4" x14ac:dyDescent="0.25">
      <c r="A85">
        <v>30</v>
      </c>
      <c r="B85">
        <v>34</v>
      </c>
      <c r="C85" t="s">
        <v>23</v>
      </c>
      <c r="D85">
        <v>-0.52856935417415818</v>
      </c>
    </row>
    <row r="86" spans="1:4" x14ac:dyDescent="0.25">
      <c r="A86">
        <v>32</v>
      </c>
      <c r="B86">
        <v>36</v>
      </c>
      <c r="C86" t="s">
        <v>12</v>
      </c>
      <c r="D86">
        <v>0.24010174369421669</v>
      </c>
    </row>
    <row r="87" spans="1:4" x14ac:dyDescent="0.25">
      <c r="A87">
        <v>32</v>
      </c>
      <c r="B87">
        <v>36</v>
      </c>
      <c r="C87" t="s">
        <v>13</v>
      </c>
      <c r="D87">
        <v>-9.756613358452032E-2</v>
      </c>
    </row>
    <row r="88" spans="1:4" x14ac:dyDescent="0.25">
      <c r="A88">
        <v>32</v>
      </c>
      <c r="B88">
        <v>36</v>
      </c>
      <c r="C88" t="s">
        <v>14</v>
      </c>
      <c r="D88">
        <v>-1.584175069106055</v>
      </c>
    </row>
    <row r="89" spans="1:4" x14ac:dyDescent="0.25">
      <c r="A89">
        <v>32</v>
      </c>
      <c r="B89">
        <v>36</v>
      </c>
      <c r="C89" t="s">
        <v>15</v>
      </c>
      <c r="D89">
        <v>-0.5086190674055151</v>
      </c>
    </row>
    <row r="90" spans="1:4" x14ac:dyDescent="0.25">
      <c r="A90">
        <v>32</v>
      </c>
      <c r="B90">
        <v>36</v>
      </c>
      <c r="C90" t="s">
        <v>16</v>
      </c>
      <c r="D90">
        <v>-0.83040260792389553</v>
      </c>
    </row>
    <row r="91" spans="1:4" x14ac:dyDescent="0.25">
      <c r="A91">
        <v>32</v>
      </c>
      <c r="B91">
        <v>36</v>
      </c>
      <c r="C91" t="s">
        <v>17</v>
      </c>
      <c r="D91">
        <v>-8.0202120619496609E-2</v>
      </c>
    </row>
    <row r="92" spans="1:4" x14ac:dyDescent="0.25">
      <c r="A92">
        <v>32</v>
      </c>
      <c r="B92">
        <v>36</v>
      </c>
      <c r="C92" t="s">
        <v>18</v>
      </c>
      <c r="D92">
        <v>-0.78976963097813602</v>
      </c>
    </row>
    <row r="93" spans="1:4" x14ac:dyDescent="0.25">
      <c r="A93">
        <v>32</v>
      </c>
      <c r="B93">
        <v>36</v>
      </c>
      <c r="C93" t="s">
        <v>19</v>
      </c>
      <c r="D93">
        <v>-0.16897691635930939</v>
      </c>
    </row>
    <row r="94" spans="1:4" x14ac:dyDescent="0.25">
      <c r="A94">
        <v>32</v>
      </c>
      <c r="B94">
        <v>36</v>
      </c>
      <c r="C94" t="s">
        <v>20</v>
      </c>
      <c r="D94">
        <v>-0.27228847670512452</v>
      </c>
    </row>
    <row r="95" spans="1:4" x14ac:dyDescent="0.25">
      <c r="A95">
        <v>32</v>
      </c>
      <c r="B95">
        <v>36</v>
      </c>
      <c r="C95" t="s">
        <v>21</v>
      </c>
    </row>
    <row r="96" spans="1:4" x14ac:dyDescent="0.25">
      <c r="A96">
        <v>32</v>
      </c>
      <c r="B96">
        <v>36</v>
      </c>
      <c r="C96" t="s">
        <v>22</v>
      </c>
      <c r="D96">
        <v>-0.27228847670512452</v>
      </c>
    </row>
    <row r="97" spans="1:4" x14ac:dyDescent="0.25">
      <c r="A97">
        <v>32</v>
      </c>
      <c r="B97">
        <v>36</v>
      </c>
      <c r="C97" t="s">
        <v>23</v>
      </c>
      <c r="D97">
        <v>-0.64016918443389381</v>
      </c>
    </row>
    <row r="98" spans="1:4" x14ac:dyDescent="0.25">
      <c r="A98">
        <v>34</v>
      </c>
      <c r="B98">
        <v>38</v>
      </c>
      <c r="C98" t="s">
        <v>12</v>
      </c>
      <c r="D98">
        <v>-0.33826411585271582</v>
      </c>
    </row>
    <row r="99" spans="1:4" x14ac:dyDescent="0.25">
      <c r="A99">
        <v>34</v>
      </c>
      <c r="B99">
        <v>38</v>
      </c>
      <c r="C99" t="s">
        <v>13</v>
      </c>
      <c r="D99">
        <v>-0.5959085184762134</v>
      </c>
    </row>
    <row r="100" spans="1:4" x14ac:dyDescent="0.25">
      <c r="A100">
        <v>34</v>
      </c>
      <c r="B100">
        <v>38</v>
      </c>
      <c r="C100" t="s">
        <v>14</v>
      </c>
      <c r="D100">
        <v>-2.0642358502764582</v>
      </c>
    </row>
    <row r="101" spans="1:4" x14ac:dyDescent="0.25">
      <c r="A101">
        <v>34</v>
      </c>
      <c r="B101">
        <v>38</v>
      </c>
      <c r="C101" t="s">
        <v>15</v>
      </c>
      <c r="D101">
        <v>-0.28367990833278778</v>
      </c>
    </row>
    <row r="102" spans="1:4" x14ac:dyDescent="0.25">
      <c r="A102">
        <v>34</v>
      </c>
      <c r="B102">
        <v>38</v>
      </c>
      <c r="C102" t="s">
        <v>16</v>
      </c>
      <c r="D102">
        <v>-1.257621309705345</v>
      </c>
    </row>
    <row r="103" spans="1:4" x14ac:dyDescent="0.25">
      <c r="A103">
        <v>34</v>
      </c>
      <c r="B103">
        <v>38</v>
      </c>
      <c r="C103" t="s">
        <v>17</v>
      </c>
      <c r="D103">
        <v>1.162343404463834E-2</v>
      </c>
    </row>
    <row r="104" spans="1:4" x14ac:dyDescent="0.25">
      <c r="A104">
        <v>34</v>
      </c>
      <c r="B104">
        <v>38</v>
      </c>
      <c r="C104" t="s">
        <v>18</v>
      </c>
      <c r="D104">
        <v>-1.0948386786548709</v>
      </c>
    </row>
    <row r="105" spans="1:4" x14ac:dyDescent="0.25">
      <c r="A105">
        <v>34</v>
      </c>
      <c r="B105">
        <v>38</v>
      </c>
      <c r="C105" t="s">
        <v>19</v>
      </c>
      <c r="D105">
        <v>-0.82381175261518136</v>
      </c>
    </row>
    <row r="106" spans="1:4" x14ac:dyDescent="0.25">
      <c r="A106">
        <v>34</v>
      </c>
      <c r="B106">
        <v>38</v>
      </c>
      <c r="C106" t="s">
        <v>20</v>
      </c>
      <c r="D106">
        <v>-6.4453606770051283E-2</v>
      </c>
    </row>
    <row r="107" spans="1:4" x14ac:dyDescent="0.25">
      <c r="A107">
        <v>34</v>
      </c>
      <c r="B107">
        <v>38</v>
      </c>
      <c r="C107" t="s">
        <v>21</v>
      </c>
      <c r="D107">
        <v>7.9042705433924651E-2</v>
      </c>
    </row>
    <row r="108" spans="1:4" x14ac:dyDescent="0.25">
      <c r="A108">
        <v>34</v>
      </c>
      <c r="B108">
        <v>38</v>
      </c>
      <c r="C108" t="s">
        <v>22</v>
      </c>
      <c r="D108">
        <v>-8.9231146848065809E-2</v>
      </c>
    </row>
    <row r="109" spans="1:4" x14ac:dyDescent="0.25">
      <c r="A109">
        <v>34</v>
      </c>
      <c r="B109">
        <v>38</v>
      </c>
      <c r="C109" t="s">
        <v>23</v>
      </c>
      <c r="D109">
        <v>-5.6688851955831947E-2</v>
      </c>
    </row>
    <row r="110" spans="1:4" x14ac:dyDescent="0.25">
      <c r="A110">
        <v>36</v>
      </c>
      <c r="B110">
        <v>40</v>
      </c>
      <c r="C110" t="s">
        <v>12</v>
      </c>
      <c r="D110">
        <v>5.4640137044687899E-3</v>
      </c>
    </row>
    <row r="111" spans="1:4" x14ac:dyDescent="0.25">
      <c r="A111">
        <v>36</v>
      </c>
      <c r="B111">
        <v>40</v>
      </c>
      <c r="C111" t="s">
        <v>13</v>
      </c>
      <c r="D111">
        <v>-0.73866870531233109</v>
      </c>
    </row>
    <row r="112" spans="1:4" x14ac:dyDescent="0.25">
      <c r="A112">
        <v>36</v>
      </c>
      <c r="B112">
        <v>40</v>
      </c>
      <c r="C112" t="s">
        <v>14</v>
      </c>
      <c r="D112">
        <v>-1.3489517294205371</v>
      </c>
    </row>
    <row r="113" spans="1:4" x14ac:dyDescent="0.25">
      <c r="A113">
        <v>36</v>
      </c>
      <c r="B113">
        <v>40</v>
      </c>
      <c r="C113" t="s">
        <v>15</v>
      </c>
      <c r="D113">
        <v>-0.14417762254608449</v>
      </c>
    </row>
    <row r="114" spans="1:4" x14ac:dyDescent="0.25">
      <c r="A114">
        <v>36</v>
      </c>
      <c r="B114">
        <v>40</v>
      </c>
      <c r="C114" t="s">
        <v>16</v>
      </c>
      <c r="D114">
        <v>-0.9303235202551009</v>
      </c>
    </row>
    <row r="115" spans="1:4" x14ac:dyDescent="0.25">
      <c r="A115">
        <v>36</v>
      </c>
      <c r="B115">
        <v>40</v>
      </c>
      <c r="C115" t="s">
        <v>17</v>
      </c>
      <c r="D115">
        <v>5.0688663558018682E-2</v>
      </c>
    </row>
    <row r="116" spans="1:4" x14ac:dyDescent="0.25">
      <c r="A116">
        <v>36</v>
      </c>
      <c r="B116">
        <v>40</v>
      </c>
      <c r="C116" t="s">
        <v>18</v>
      </c>
      <c r="D116">
        <v>-0.72858540068552247</v>
      </c>
    </row>
    <row r="117" spans="1:4" x14ac:dyDescent="0.25">
      <c r="A117">
        <v>36</v>
      </c>
      <c r="B117">
        <v>40</v>
      </c>
      <c r="C117" t="s">
        <v>19</v>
      </c>
      <c r="D117">
        <v>-0.68326008174297537</v>
      </c>
    </row>
    <row r="118" spans="1:4" x14ac:dyDescent="0.25">
      <c r="A118">
        <v>36</v>
      </c>
      <c r="B118">
        <v>40</v>
      </c>
      <c r="C118" t="s">
        <v>20</v>
      </c>
      <c r="D118">
        <v>-3.1434929647949181E-2</v>
      </c>
    </row>
    <row r="119" spans="1:4" x14ac:dyDescent="0.25">
      <c r="A119">
        <v>36</v>
      </c>
      <c r="B119">
        <v>40</v>
      </c>
      <c r="C119" t="s">
        <v>21</v>
      </c>
      <c r="D119">
        <v>0.119483136391348</v>
      </c>
    </row>
    <row r="120" spans="1:4" x14ac:dyDescent="0.25">
      <c r="A120">
        <v>36</v>
      </c>
      <c r="B120">
        <v>40</v>
      </c>
      <c r="C120" t="s">
        <v>22</v>
      </c>
      <c r="D120">
        <v>-7.6758632582724487E-2</v>
      </c>
    </row>
    <row r="121" spans="1:4" x14ac:dyDescent="0.25">
      <c r="A121">
        <v>36</v>
      </c>
      <c r="B121">
        <v>40</v>
      </c>
      <c r="C121" t="s">
        <v>23</v>
      </c>
      <c r="D121">
        <v>-6.3851703871201852E-4</v>
      </c>
    </row>
    <row r="122" spans="1:4" x14ac:dyDescent="0.25">
      <c r="A122">
        <v>38</v>
      </c>
      <c r="B122">
        <v>42</v>
      </c>
      <c r="C122" t="s">
        <v>12</v>
      </c>
      <c r="D122">
        <v>0.13498786119364431</v>
      </c>
    </row>
    <row r="123" spans="1:4" x14ac:dyDescent="0.25">
      <c r="A123">
        <v>38</v>
      </c>
      <c r="B123">
        <v>42</v>
      </c>
      <c r="C123" t="s">
        <v>13</v>
      </c>
      <c r="D123">
        <v>-0.47291215904348538</v>
      </c>
    </row>
    <row r="124" spans="1:4" x14ac:dyDescent="0.25">
      <c r="A124">
        <v>38</v>
      </c>
      <c r="B124">
        <v>42</v>
      </c>
      <c r="C124" t="s">
        <v>14</v>
      </c>
      <c r="D124">
        <v>-1.376823799110777</v>
      </c>
    </row>
    <row r="125" spans="1:4" x14ac:dyDescent="0.25">
      <c r="A125">
        <v>38</v>
      </c>
      <c r="B125">
        <v>42</v>
      </c>
      <c r="C125" t="s">
        <v>15</v>
      </c>
      <c r="D125">
        <v>-2.3644149045500318</v>
      </c>
    </row>
    <row r="126" spans="1:4" x14ac:dyDescent="0.25">
      <c r="A126">
        <v>38</v>
      </c>
      <c r="B126">
        <v>42</v>
      </c>
      <c r="C126" t="s">
        <v>16</v>
      </c>
      <c r="D126">
        <v>-1.7051291276782661</v>
      </c>
    </row>
    <row r="127" spans="1:4" x14ac:dyDescent="0.25">
      <c r="A127">
        <v>38</v>
      </c>
      <c r="B127">
        <v>42</v>
      </c>
      <c r="C127" t="s">
        <v>17</v>
      </c>
      <c r="D127">
        <v>-6.7464442781708059E-2</v>
      </c>
    </row>
    <row r="128" spans="1:4" x14ac:dyDescent="0.25">
      <c r="A128">
        <v>38</v>
      </c>
      <c r="B128">
        <v>42</v>
      </c>
      <c r="C128" t="s">
        <v>18</v>
      </c>
      <c r="D128">
        <v>-6.1074368985703131</v>
      </c>
    </row>
    <row r="129" spans="1:4" x14ac:dyDescent="0.25">
      <c r="A129">
        <v>38</v>
      </c>
      <c r="B129">
        <v>42</v>
      </c>
      <c r="C129" t="s">
        <v>19</v>
      </c>
      <c r="D129">
        <v>-6.3714858582586986</v>
      </c>
    </row>
    <row r="130" spans="1:4" x14ac:dyDescent="0.25">
      <c r="A130">
        <v>38</v>
      </c>
      <c r="B130">
        <v>42</v>
      </c>
      <c r="C130" t="s">
        <v>20</v>
      </c>
      <c r="D130">
        <v>-9.8721966803006519E-4</v>
      </c>
    </row>
    <row r="131" spans="1:4" x14ac:dyDescent="0.25">
      <c r="A131">
        <v>38</v>
      </c>
      <c r="B131">
        <v>42</v>
      </c>
      <c r="C131" t="s">
        <v>21</v>
      </c>
      <c r="D131">
        <v>0.13996924041162601</v>
      </c>
    </row>
    <row r="132" spans="1:4" x14ac:dyDescent="0.25">
      <c r="A132">
        <v>38</v>
      </c>
      <c r="B132">
        <v>42</v>
      </c>
      <c r="C132" t="s">
        <v>22</v>
      </c>
      <c r="D132">
        <v>-2.718963954719824E-2</v>
      </c>
    </row>
    <row r="133" spans="1:4" x14ac:dyDescent="0.25">
      <c r="A133">
        <v>38</v>
      </c>
      <c r="B133">
        <v>42</v>
      </c>
      <c r="C133" t="s">
        <v>23</v>
      </c>
      <c r="D133">
        <v>1.140346243671746E-3</v>
      </c>
    </row>
    <row r="134" spans="1:4" x14ac:dyDescent="0.25">
      <c r="A134">
        <v>40</v>
      </c>
      <c r="B134">
        <v>44</v>
      </c>
      <c r="C134" t="s">
        <v>12</v>
      </c>
      <c r="D134">
        <v>-5.4202606473020262E-2</v>
      </c>
    </row>
    <row r="135" spans="1:4" x14ac:dyDescent="0.25">
      <c r="A135">
        <v>40</v>
      </c>
      <c r="B135">
        <v>44</v>
      </c>
      <c r="C135" t="s">
        <v>13</v>
      </c>
      <c r="D135">
        <v>-0.71226363388897584</v>
      </c>
    </row>
    <row r="136" spans="1:4" x14ac:dyDescent="0.25">
      <c r="A136">
        <v>40</v>
      </c>
      <c r="B136">
        <v>44</v>
      </c>
      <c r="C136" t="s">
        <v>14</v>
      </c>
      <c r="D136">
        <v>-1.2277606140831381</v>
      </c>
    </row>
    <row r="137" spans="1:4" x14ac:dyDescent="0.25">
      <c r="A137">
        <v>40</v>
      </c>
      <c r="B137">
        <v>44</v>
      </c>
      <c r="C137" t="s">
        <v>15</v>
      </c>
      <c r="D137">
        <v>-10.91217652710321</v>
      </c>
    </row>
    <row r="138" spans="1:4" x14ac:dyDescent="0.25">
      <c r="A138">
        <v>40</v>
      </c>
      <c r="B138">
        <v>44</v>
      </c>
      <c r="C138" t="s">
        <v>16</v>
      </c>
      <c r="D138">
        <v>-2.1815131967154722</v>
      </c>
    </row>
    <row r="139" spans="1:4" x14ac:dyDescent="0.25">
      <c r="A139">
        <v>40</v>
      </c>
      <c r="B139">
        <v>44</v>
      </c>
      <c r="C139" t="s">
        <v>17</v>
      </c>
      <c r="D139">
        <v>-6.3346982554003464E-2</v>
      </c>
    </row>
    <row r="140" spans="1:4" x14ac:dyDescent="0.25">
      <c r="A140">
        <v>40</v>
      </c>
      <c r="B140">
        <v>44</v>
      </c>
      <c r="C140" t="s">
        <v>18</v>
      </c>
      <c r="D140">
        <v>-14.58006873563761</v>
      </c>
    </row>
    <row r="141" spans="1:4" x14ac:dyDescent="0.25">
      <c r="A141">
        <v>40</v>
      </c>
      <c r="B141">
        <v>44</v>
      </c>
      <c r="C141" t="s">
        <v>19</v>
      </c>
      <c r="D141">
        <v>-4.5702742228482656</v>
      </c>
    </row>
    <row r="142" spans="1:4" x14ac:dyDescent="0.25">
      <c r="A142">
        <v>40</v>
      </c>
      <c r="B142">
        <v>44</v>
      </c>
      <c r="C142" t="s">
        <v>20</v>
      </c>
      <c r="D142">
        <v>0.38556859439348551</v>
      </c>
    </row>
    <row r="143" spans="1:4" x14ac:dyDescent="0.25">
      <c r="A143">
        <v>40</v>
      </c>
      <c r="B143">
        <v>44</v>
      </c>
      <c r="C143" t="s">
        <v>21</v>
      </c>
      <c r="D143">
        <v>22.423167879500799</v>
      </c>
    </row>
    <row r="144" spans="1:4" x14ac:dyDescent="0.25">
      <c r="A144">
        <v>40</v>
      </c>
      <c r="B144">
        <v>44</v>
      </c>
      <c r="C144" t="s">
        <v>22</v>
      </c>
      <c r="D144">
        <v>0.25241842933722541</v>
      </c>
    </row>
    <row r="145" spans="1:4" x14ac:dyDescent="0.25">
      <c r="A145">
        <v>40</v>
      </c>
      <c r="B145">
        <v>44</v>
      </c>
      <c r="C145" t="s">
        <v>23</v>
      </c>
      <c r="D145">
        <v>0.37399806425818782</v>
      </c>
    </row>
    <row r="146" spans="1:4" x14ac:dyDescent="0.25">
      <c r="A146">
        <v>42</v>
      </c>
      <c r="B146">
        <v>46</v>
      </c>
      <c r="C146" t="s">
        <v>12</v>
      </c>
      <c r="D146">
        <v>0.2056169666602278</v>
      </c>
    </row>
    <row r="147" spans="1:4" x14ac:dyDescent="0.25">
      <c r="A147">
        <v>42</v>
      </c>
      <c r="B147">
        <v>46</v>
      </c>
      <c r="C147" t="s">
        <v>13</v>
      </c>
      <c r="D147">
        <v>-0.55267939598125893</v>
      </c>
    </row>
    <row r="148" spans="1:4" x14ac:dyDescent="0.25">
      <c r="A148">
        <v>42</v>
      </c>
      <c r="B148">
        <v>46</v>
      </c>
      <c r="C148" t="s">
        <v>14</v>
      </c>
      <c r="D148">
        <v>-2.4851917286042791</v>
      </c>
    </row>
    <row r="149" spans="1:4" x14ac:dyDescent="0.25">
      <c r="A149">
        <v>42</v>
      </c>
      <c r="B149">
        <v>46</v>
      </c>
      <c r="C149" t="s">
        <v>15</v>
      </c>
      <c r="D149">
        <v>-11.17813469256081</v>
      </c>
    </row>
    <row r="150" spans="1:4" x14ac:dyDescent="0.25">
      <c r="A150">
        <v>42</v>
      </c>
      <c r="B150">
        <v>46</v>
      </c>
      <c r="C150" t="s">
        <v>16</v>
      </c>
      <c r="D150">
        <v>-3.0503380035420702</v>
      </c>
    </row>
    <row r="151" spans="1:4" x14ac:dyDescent="0.25">
      <c r="A151">
        <v>42</v>
      </c>
      <c r="B151">
        <v>46</v>
      </c>
      <c r="C151" t="s">
        <v>17</v>
      </c>
      <c r="D151">
        <v>-0.12617352471421031</v>
      </c>
    </row>
    <row r="152" spans="1:4" x14ac:dyDescent="0.25">
      <c r="A152">
        <v>42</v>
      </c>
      <c r="B152">
        <v>46</v>
      </c>
      <c r="C152" t="s">
        <v>18</v>
      </c>
      <c r="D152">
        <v>-12.96567346880998</v>
      </c>
    </row>
    <row r="153" spans="1:4" x14ac:dyDescent="0.25">
      <c r="A153">
        <v>42</v>
      </c>
      <c r="B153">
        <v>46</v>
      </c>
      <c r="C153" t="s">
        <v>19</v>
      </c>
      <c r="D153">
        <v>-4.0516779007530914</v>
      </c>
    </row>
    <row r="154" spans="1:4" x14ac:dyDescent="0.25">
      <c r="A154">
        <v>42</v>
      </c>
      <c r="B154">
        <v>46</v>
      </c>
      <c r="C154" t="s">
        <v>20</v>
      </c>
      <c r="D154">
        <v>0.17893376629410529</v>
      </c>
    </row>
    <row r="155" spans="1:4" x14ac:dyDescent="0.25">
      <c r="A155">
        <v>42</v>
      </c>
      <c r="B155">
        <v>46</v>
      </c>
      <c r="C155" t="s">
        <v>21</v>
      </c>
      <c r="D155">
        <v>0.1673836620481183</v>
      </c>
    </row>
    <row r="156" spans="1:4" x14ac:dyDescent="0.25">
      <c r="A156">
        <v>42</v>
      </c>
      <c r="B156">
        <v>46</v>
      </c>
      <c r="C156" t="s">
        <v>22</v>
      </c>
      <c r="D156">
        <v>2.187070387187947E-2</v>
      </c>
    </row>
    <row r="157" spans="1:4" x14ac:dyDescent="0.25">
      <c r="A157">
        <v>42</v>
      </c>
      <c r="B157">
        <v>46</v>
      </c>
      <c r="C157" t="s">
        <v>23</v>
      </c>
      <c r="D157">
        <v>0.19154857290882199</v>
      </c>
    </row>
    <row r="158" spans="1:4" x14ac:dyDescent="0.25">
      <c r="A158">
        <v>44</v>
      </c>
      <c r="B158">
        <v>48</v>
      </c>
      <c r="C158" t="s">
        <v>12</v>
      </c>
      <c r="D158">
        <v>-0.13133891210561319</v>
      </c>
    </row>
    <row r="159" spans="1:4" x14ac:dyDescent="0.25">
      <c r="A159">
        <v>44</v>
      </c>
      <c r="B159">
        <v>48</v>
      </c>
      <c r="C159" t="s">
        <v>13</v>
      </c>
      <c r="D159">
        <v>-6.7185986752759481E-4</v>
      </c>
    </row>
    <row r="160" spans="1:4" x14ac:dyDescent="0.25">
      <c r="A160">
        <v>44</v>
      </c>
      <c r="B160">
        <v>48</v>
      </c>
      <c r="C160" t="s">
        <v>14</v>
      </c>
      <c r="D160">
        <v>-0.33875632122674398</v>
      </c>
    </row>
    <row r="161" spans="1:4" x14ac:dyDescent="0.25">
      <c r="A161">
        <v>44</v>
      </c>
      <c r="B161">
        <v>48</v>
      </c>
      <c r="C161" t="s">
        <v>15</v>
      </c>
      <c r="D161">
        <v>-2.3939015378677411</v>
      </c>
    </row>
    <row r="162" spans="1:4" x14ac:dyDescent="0.25">
      <c r="A162">
        <v>44</v>
      </c>
      <c r="B162">
        <v>48</v>
      </c>
      <c r="C162" t="s">
        <v>16</v>
      </c>
      <c r="D162">
        <v>-0.44632030973910058</v>
      </c>
    </row>
    <row r="163" spans="1:4" x14ac:dyDescent="0.25">
      <c r="A163">
        <v>44</v>
      </c>
      <c r="B163">
        <v>48</v>
      </c>
      <c r="C163" t="s">
        <v>17</v>
      </c>
      <c r="D163">
        <v>-1.064460545666603</v>
      </c>
    </row>
    <row r="164" spans="1:4" x14ac:dyDescent="0.25">
      <c r="A164">
        <v>44</v>
      </c>
      <c r="B164">
        <v>48</v>
      </c>
      <c r="C164" t="s">
        <v>18</v>
      </c>
      <c r="D164">
        <v>-4.0353646485400256</v>
      </c>
    </row>
    <row r="165" spans="1:4" x14ac:dyDescent="0.25">
      <c r="A165">
        <v>44</v>
      </c>
      <c r="B165">
        <v>48</v>
      </c>
      <c r="C165" t="s">
        <v>19</v>
      </c>
      <c r="D165">
        <v>-4.2131695912459071</v>
      </c>
    </row>
    <row r="166" spans="1:4" x14ac:dyDescent="0.25">
      <c r="A166">
        <v>44</v>
      </c>
      <c r="B166">
        <v>48</v>
      </c>
      <c r="C166" t="s">
        <v>20</v>
      </c>
      <c r="D166">
        <v>-4.4165112246471964E-3</v>
      </c>
    </row>
    <row r="167" spans="1:4" x14ac:dyDescent="0.25">
      <c r="A167">
        <v>44</v>
      </c>
      <c r="B167">
        <v>48</v>
      </c>
      <c r="C167" t="s">
        <v>21</v>
      </c>
      <c r="D167">
        <v>7.6295683440827891E-2</v>
      </c>
    </row>
    <row r="168" spans="1:4" x14ac:dyDescent="0.25">
      <c r="A168">
        <v>44</v>
      </c>
      <c r="B168">
        <v>48</v>
      </c>
      <c r="C168" t="s">
        <v>22</v>
      </c>
      <c r="D168">
        <v>-1.8005619811953019E-2</v>
      </c>
    </row>
    <row r="169" spans="1:4" x14ac:dyDescent="0.25">
      <c r="A169">
        <v>44</v>
      </c>
      <c r="B169">
        <v>48</v>
      </c>
      <c r="C169" t="s">
        <v>23</v>
      </c>
      <c r="D169">
        <v>-9.9498898423489215E-3</v>
      </c>
    </row>
    <row r="170" spans="1:4" x14ac:dyDescent="0.25">
      <c r="A170">
        <v>46</v>
      </c>
      <c r="B170">
        <v>50</v>
      </c>
      <c r="C170" t="s">
        <v>12</v>
      </c>
      <c r="D170">
        <v>-0.3445015971720502</v>
      </c>
    </row>
    <row r="171" spans="1:4" x14ac:dyDescent="0.25">
      <c r="A171">
        <v>46</v>
      </c>
      <c r="B171">
        <v>50</v>
      </c>
      <c r="C171" t="s">
        <v>13</v>
      </c>
      <c r="D171">
        <v>-0.15437377780817829</v>
      </c>
    </row>
    <row r="172" spans="1:4" x14ac:dyDescent="0.25">
      <c r="A172">
        <v>46</v>
      </c>
      <c r="B172">
        <v>50</v>
      </c>
      <c r="C172" t="s">
        <v>14</v>
      </c>
      <c r="D172">
        <v>-0.65798554536075182</v>
      </c>
    </row>
    <row r="173" spans="1:4" x14ac:dyDescent="0.25">
      <c r="A173">
        <v>46</v>
      </c>
      <c r="B173">
        <v>50</v>
      </c>
      <c r="C173" t="s">
        <v>15</v>
      </c>
      <c r="D173">
        <v>-3.726440728638611</v>
      </c>
    </row>
    <row r="174" spans="1:4" x14ac:dyDescent="0.25">
      <c r="A174">
        <v>46</v>
      </c>
      <c r="B174">
        <v>50</v>
      </c>
      <c r="C174" t="s">
        <v>16</v>
      </c>
      <c r="D174">
        <v>-1.0231398311542079</v>
      </c>
    </row>
    <row r="175" spans="1:4" x14ac:dyDescent="0.25">
      <c r="A175">
        <v>46</v>
      </c>
      <c r="B175">
        <v>50</v>
      </c>
      <c r="C175" t="s">
        <v>17</v>
      </c>
      <c r="D175">
        <v>-0.37771976100084242</v>
      </c>
    </row>
    <row r="176" spans="1:4" x14ac:dyDescent="0.25">
      <c r="A176">
        <v>46</v>
      </c>
      <c r="B176">
        <v>50</v>
      </c>
      <c r="C176" t="s">
        <v>18</v>
      </c>
      <c r="D176">
        <v>-3.1422891761330609</v>
      </c>
    </row>
    <row r="177" spans="1:4" x14ac:dyDescent="0.25">
      <c r="A177">
        <v>46</v>
      </c>
      <c r="B177">
        <v>50</v>
      </c>
      <c r="C177" t="s">
        <v>19</v>
      </c>
      <c r="D177">
        <v>-0.35103505035670551</v>
      </c>
    </row>
    <row r="178" spans="1:4" x14ac:dyDescent="0.25">
      <c r="A178">
        <v>46</v>
      </c>
      <c r="B178">
        <v>50</v>
      </c>
      <c r="C178" t="s">
        <v>20</v>
      </c>
      <c r="D178">
        <v>-0.80989153100622036</v>
      </c>
    </row>
    <row r="179" spans="1:4" x14ac:dyDescent="0.25">
      <c r="A179">
        <v>46</v>
      </c>
      <c r="B179">
        <v>50</v>
      </c>
      <c r="C179" t="s">
        <v>21</v>
      </c>
      <c r="D179">
        <v>6.0772807262901497E-2</v>
      </c>
    </row>
    <row r="180" spans="1:4" x14ac:dyDescent="0.25">
      <c r="A180">
        <v>46</v>
      </c>
      <c r="B180">
        <v>50</v>
      </c>
      <c r="C180" t="s">
        <v>22</v>
      </c>
      <c r="D180">
        <v>-0.99876017446707355</v>
      </c>
    </row>
    <row r="181" spans="1:4" x14ac:dyDescent="0.25">
      <c r="A181">
        <v>46</v>
      </c>
      <c r="B181">
        <v>50</v>
      </c>
      <c r="C181" t="s">
        <v>23</v>
      </c>
      <c r="D181">
        <v>-0.53550944089073671</v>
      </c>
    </row>
    <row r="182" spans="1:4" x14ac:dyDescent="0.25">
      <c r="A182">
        <v>48</v>
      </c>
      <c r="B182">
        <v>52</v>
      </c>
      <c r="C182" t="s">
        <v>12</v>
      </c>
      <c r="D182">
        <v>3.1761300528156483E-2</v>
      </c>
    </row>
    <row r="183" spans="1:4" x14ac:dyDescent="0.25">
      <c r="A183">
        <v>48</v>
      </c>
      <c r="B183">
        <v>52</v>
      </c>
      <c r="C183" t="s">
        <v>13</v>
      </c>
      <c r="D183">
        <v>-1.3222203568984749</v>
      </c>
    </row>
    <row r="184" spans="1:4" x14ac:dyDescent="0.25">
      <c r="A184">
        <v>48</v>
      </c>
      <c r="B184">
        <v>52</v>
      </c>
      <c r="C184" t="s">
        <v>14</v>
      </c>
      <c r="D184">
        <v>-1.601726279123094</v>
      </c>
    </row>
    <row r="185" spans="1:4" x14ac:dyDescent="0.25">
      <c r="A185">
        <v>48</v>
      </c>
      <c r="B185">
        <v>52</v>
      </c>
      <c r="C185" t="s">
        <v>15</v>
      </c>
      <c r="D185">
        <v>-8.7650331678701825</v>
      </c>
    </row>
    <row r="186" spans="1:4" x14ac:dyDescent="0.25">
      <c r="A186">
        <v>48</v>
      </c>
      <c r="B186">
        <v>52</v>
      </c>
      <c r="C186" t="s">
        <v>16</v>
      </c>
      <c r="D186">
        <v>-3.0324999363658649</v>
      </c>
    </row>
    <row r="187" spans="1:4" x14ac:dyDescent="0.25">
      <c r="A187">
        <v>48</v>
      </c>
      <c r="B187">
        <v>52</v>
      </c>
      <c r="C187" t="s">
        <v>17</v>
      </c>
      <c r="D187">
        <v>-2.0023125452000509E-2</v>
      </c>
    </row>
    <row r="188" spans="1:4" x14ac:dyDescent="0.25">
      <c r="A188">
        <v>48</v>
      </c>
      <c r="B188">
        <v>52</v>
      </c>
      <c r="C188" t="s">
        <v>18</v>
      </c>
      <c r="D188">
        <v>-4.0152767400355591</v>
      </c>
    </row>
    <row r="189" spans="1:4" x14ac:dyDescent="0.25">
      <c r="A189">
        <v>48</v>
      </c>
      <c r="B189">
        <v>52</v>
      </c>
      <c r="C189" t="s">
        <v>19</v>
      </c>
      <c r="D189">
        <v>-5.6258336249161732E-2</v>
      </c>
    </row>
    <row r="190" spans="1:4" x14ac:dyDescent="0.25">
      <c r="A190">
        <v>48</v>
      </c>
      <c r="B190">
        <v>52</v>
      </c>
      <c r="C190" t="s">
        <v>20</v>
      </c>
      <c r="D190">
        <v>-0.26102787411376421</v>
      </c>
    </row>
    <row r="191" spans="1:4" x14ac:dyDescent="0.25">
      <c r="A191">
        <v>48</v>
      </c>
      <c r="B191">
        <v>52</v>
      </c>
      <c r="C191" t="s">
        <v>21</v>
      </c>
      <c r="D191">
        <v>5.0110102604639141E-2</v>
      </c>
    </row>
    <row r="192" spans="1:4" x14ac:dyDescent="0.25">
      <c r="A192">
        <v>48</v>
      </c>
      <c r="B192">
        <v>52</v>
      </c>
      <c r="C192" t="s">
        <v>22</v>
      </c>
      <c r="D192">
        <v>-0.28395549709092749</v>
      </c>
    </row>
    <row r="193" spans="1:4" x14ac:dyDescent="0.25">
      <c r="A193">
        <v>48</v>
      </c>
      <c r="B193">
        <v>52</v>
      </c>
      <c r="C193" t="s">
        <v>23</v>
      </c>
      <c r="D193">
        <v>-0.27797433713039738</v>
      </c>
    </row>
    <row r="194" spans="1:4" x14ac:dyDescent="0.25">
      <c r="A194">
        <v>50</v>
      </c>
      <c r="B194">
        <v>54</v>
      </c>
      <c r="C194" t="s">
        <v>12</v>
      </c>
      <c r="D194">
        <v>0.32898954259453672</v>
      </c>
    </row>
    <row r="195" spans="1:4" x14ac:dyDescent="0.25">
      <c r="A195">
        <v>50</v>
      </c>
      <c r="B195">
        <v>54</v>
      </c>
      <c r="C195" t="s">
        <v>13</v>
      </c>
      <c r="D195">
        <v>-0.68611752480114285</v>
      </c>
    </row>
    <row r="196" spans="1:4" x14ac:dyDescent="0.25">
      <c r="A196">
        <v>50</v>
      </c>
      <c r="B196">
        <v>54</v>
      </c>
      <c r="C196" t="s">
        <v>14</v>
      </c>
      <c r="D196">
        <v>-1.0571283876178841</v>
      </c>
    </row>
    <row r="197" spans="1:4" x14ac:dyDescent="0.25">
      <c r="A197">
        <v>50</v>
      </c>
      <c r="B197">
        <v>54</v>
      </c>
      <c r="C197" t="s">
        <v>15</v>
      </c>
      <c r="D197">
        <v>-5.2196392177079352</v>
      </c>
    </row>
    <row r="198" spans="1:4" x14ac:dyDescent="0.25">
      <c r="A198">
        <v>50</v>
      </c>
      <c r="B198">
        <v>54</v>
      </c>
      <c r="C198" t="s">
        <v>16</v>
      </c>
      <c r="D198">
        <v>-1.75193930806321</v>
      </c>
    </row>
    <row r="199" spans="1:4" x14ac:dyDescent="0.25">
      <c r="A199">
        <v>50</v>
      </c>
      <c r="B199">
        <v>54</v>
      </c>
      <c r="C199" t="s">
        <v>17</v>
      </c>
      <c r="D199">
        <v>-4.7707733559343393E-2</v>
      </c>
    </row>
    <row r="200" spans="1:4" x14ac:dyDescent="0.25">
      <c r="A200">
        <v>50</v>
      </c>
      <c r="B200">
        <v>54</v>
      </c>
      <c r="C200" t="s">
        <v>18</v>
      </c>
      <c r="D200">
        <v>-1.4060370855975211</v>
      </c>
    </row>
    <row r="201" spans="1:4" x14ac:dyDescent="0.25">
      <c r="A201">
        <v>50</v>
      </c>
      <c r="B201">
        <v>54</v>
      </c>
      <c r="C201" t="s">
        <v>19</v>
      </c>
      <c r="D201">
        <v>9.6275723924807516E-2</v>
      </c>
    </row>
    <row r="202" spans="1:4" x14ac:dyDescent="0.25">
      <c r="A202">
        <v>50</v>
      </c>
      <c r="B202">
        <v>54</v>
      </c>
      <c r="C202" t="s">
        <v>20</v>
      </c>
      <c r="D202">
        <v>-1.562534479400169E-2</v>
      </c>
    </row>
    <row r="203" spans="1:4" x14ac:dyDescent="0.25">
      <c r="A203">
        <v>50</v>
      </c>
      <c r="B203">
        <v>54</v>
      </c>
      <c r="C203" t="s">
        <v>21</v>
      </c>
      <c r="D203">
        <v>4.7495249571196302E-2</v>
      </c>
    </row>
    <row r="204" spans="1:4" x14ac:dyDescent="0.25">
      <c r="A204">
        <v>50</v>
      </c>
      <c r="B204">
        <v>54</v>
      </c>
      <c r="C204" t="s">
        <v>22</v>
      </c>
      <c r="D204">
        <v>-3.9803498740702603E-2</v>
      </c>
    </row>
    <row r="205" spans="1:4" x14ac:dyDescent="0.25">
      <c r="A205">
        <v>50</v>
      </c>
      <c r="B205">
        <v>54</v>
      </c>
      <c r="C205" t="s">
        <v>23</v>
      </c>
      <c r="D205">
        <v>-4.0292015187665068E-3</v>
      </c>
    </row>
    <row r="206" spans="1:4" x14ac:dyDescent="0.25">
      <c r="A206">
        <v>52</v>
      </c>
      <c r="B206">
        <v>56</v>
      </c>
      <c r="C206" t="s">
        <v>12</v>
      </c>
      <c r="D206">
        <v>-0.12932209892479329</v>
      </c>
    </row>
    <row r="207" spans="1:4" x14ac:dyDescent="0.25">
      <c r="A207">
        <v>52</v>
      </c>
      <c r="B207">
        <v>56</v>
      </c>
      <c r="C207" t="s">
        <v>13</v>
      </c>
      <c r="D207">
        <v>-0.10580420607416061</v>
      </c>
    </row>
    <row r="208" spans="1:4" x14ac:dyDescent="0.25">
      <c r="A208">
        <v>52</v>
      </c>
      <c r="B208">
        <v>56</v>
      </c>
      <c r="C208" t="s">
        <v>14</v>
      </c>
      <c r="D208">
        <v>-2.4224613070367749</v>
      </c>
    </row>
    <row r="209" spans="1:4" x14ac:dyDescent="0.25">
      <c r="A209">
        <v>52</v>
      </c>
      <c r="B209">
        <v>56</v>
      </c>
      <c r="C209" t="s">
        <v>15</v>
      </c>
      <c r="D209">
        <v>-6.219744279667923</v>
      </c>
    </row>
    <row r="210" spans="1:4" x14ac:dyDescent="0.25">
      <c r="A210">
        <v>52</v>
      </c>
      <c r="B210">
        <v>56</v>
      </c>
      <c r="C210" t="s">
        <v>16</v>
      </c>
      <c r="D210">
        <v>-1.9602062418986981</v>
      </c>
    </row>
    <row r="211" spans="1:4" x14ac:dyDescent="0.25">
      <c r="A211">
        <v>52</v>
      </c>
      <c r="B211">
        <v>56</v>
      </c>
      <c r="C211" t="s">
        <v>17</v>
      </c>
      <c r="D211">
        <v>-0.68160429208849282</v>
      </c>
    </row>
    <row r="212" spans="1:4" x14ac:dyDescent="0.25">
      <c r="A212">
        <v>52</v>
      </c>
      <c r="B212">
        <v>56</v>
      </c>
      <c r="C212" t="s">
        <v>18</v>
      </c>
      <c r="D212">
        <v>-2.546063535563674</v>
      </c>
    </row>
    <row r="213" spans="1:4" x14ac:dyDescent="0.25">
      <c r="A213">
        <v>52</v>
      </c>
      <c r="B213">
        <v>56</v>
      </c>
      <c r="C213" t="s">
        <v>19</v>
      </c>
      <c r="D213">
        <v>-5.4854232255580884E-3</v>
      </c>
    </row>
    <row r="214" spans="1:4" x14ac:dyDescent="0.25">
      <c r="A214">
        <v>52</v>
      </c>
      <c r="B214">
        <v>56</v>
      </c>
      <c r="C214" t="s">
        <v>20</v>
      </c>
      <c r="D214">
        <v>0.1041401821961702</v>
      </c>
    </row>
    <row r="215" spans="1:4" x14ac:dyDescent="0.25">
      <c r="A215">
        <v>52</v>
      </c>
      <c r="B215">
        <v>56</v>
      </c>
      <c r="C215" t="s">
        <v>21</v>
      </c>
      <c r="D215">
        <v>0.26483028113573981</v>
      </c>
    </row>
    <row r="216" spans="1:4" x14ac:dyDescent="0.25">
      <c r="A216">
        <v>52</v>
      </c>
      <c r="B216">
        <v>56</v>
      </c>
      <c r="C216" t="s">
        <v>22</v>
      </c>
      <c r="D216">
        <v>5.1616723710391048E-3</v>
      </c>
    </row>
    <row r="217" spans="1:4" x14ac:dyDescent="0.25">
      <c r="A217">
        <v>52</v>
      </c>
      <c r="B217">
        <v>56</v>
      </c>
      <c r="C217" t="s">
        <v>23</v>
      </c>
      <c r="D217">
        <v>0.27238778919177847</v>
      </c>
    </row>
    <row r="218" spans="1:4" x14ac:dyDescent="0.25">
      <c r="A218">
        <v>54</v>
      </c>
      <c r="B218">
        <v>58</v>
      </c>
      <c r="C218" t="s">
        <v>12</v>
      </c>
      <c r="D218">
        <v>-0.13607178757202121</v>
      </c>
    </row>
    <row r="219" spans="1:4" x14ac:dyDescent="0.25">
      <c r="A219">
        <v>54</v>
      </c>
      <c r="B219">
        <v>58</v>
      </c>
      <c r="C219" t="s">
        <v>13</v>
      </c>
      <c r="D219">
        <v>1.0479742099705491E-3</v>
      </c>
    </row>
    <row r="220" spans="1:4" x14ac:dyDescent="0.25">
      <c r="A220">
        <v>54</v>
      </c>
      <c r="B220">
        <v>58</v>
      </c>
      <c r="C220" t="s">
        <v>14</v>
      </c>
      <c r="D220">
        <v>-2.0236677274959951</v>
      </c>
    </row>
    <row r="221" spans="1:4" x14ac:dyDescent="0.25">
      <c r="A221">
        <v>54</v>
      </c>
      <c r="B221">
        <v>58</v>
      </c>
      <c r="C221" t="s">
        <v>15</v>
      </c>
      <c r="D221">
        <v>-4.6043208825361273</v>
      </c>
    </row>
    <row r="222" spans="1:4" x14ac:dyDescent="0.25">
      <c r="A222">
        <v>54</v>
      </c>
      <c r="B222">
        <v>58</v>
      </c>
      <c r="C222" t="s">
        <v>16</v>
      </c>
      <c r="D222">
        <v>-1.2515695629096939</v>
      </c>
    </row>
    <row r="223" spans="1:4" x14ac:dyDescent="0.25">
      <c r="A223">
        <v>54</v>
      </c>
      <c r="B223">
        <v>58</v>
      </c>
      <c r="C223" t="s">
        <v>17</v>
      </c>
      <c r="D223">
        <v>-2.0889703446166039</v>
      </c>
    </row>
    <row r="224" spans="1:4" x14ac:dyDescent="0.25">
      <c r="A224">
        <v>54</v>
      </c>
      <c r="B224">
        <v>58</v>
      </c>
      <c r="C224" t="s">
        <v>18</v>
      </c>
      <c r="D224">
        <v>-2.19926544085591</v>
      </c>
    </row>
    <row r="225" spans="1:4" x14ac:dyDescent="0.25">
      <c r="A225">
        <v>54</v>
      </c>
      <c r="B225">
        <v>58</v>
      </c>
      <c r="C225" t="s">
        <v>19</v>
      </c>
      <c r="D225">
        <v>-1.1084165624199989E-3</v>
      </c>
    </row>
    <row r="226" spans="1:4" x14ac:dyDescent="0.25">
      <c r="A226">
        <v>54</v>
      </c>
      <c r="B226">
        <v>58</v>
      </c>
      <c r="C226" t="s">
        <v>20</v>
      </c>
      <c r="D226">
        <v>-4.2347347370210363E-2</v>
      </c>
    </row>
    <row r="227" spans="1:4" x14ac:dyDescent="0.25">
      <c r="A227">
        <v>54</v>
      </c>
      <c r="B227">
        <v>58</v>
      </c>
      <c r="C227" t="s">
        <v>21</v>
      </c>
      <c r="D227">
        <v>0.36564401500001642</v>
      </c>
    </row>
    <row r="228" spans="1:4" x14ac:dyDescent="0.25">
      <c r="A228">
        <v>54</v>
      </c>
      <c r="B228">
        <v>58</v>
      </c>
      <c r="C228" t="s">
        <v>22</v>
      </c>
      <c r="D228">
        <v>-0.20065077274307069</v>
      </c>
    </row>
    <row r="229" spans="1:4" x14ac:dyDescent="0.25">
      <c r="A229">
        <v>54</v>
      </c>
      <c r="B229">
        <v>58</v>
      </c>
      <c r="C229" t="s">
        <v>23</v>
      </c>
      <c r="D229">
        <v>6.3260674040246769E-3</v>
      </c>
    </row>
    <row r="230" spans="1:4" x14ac:dyDescent="0.25">
      <c r="A230">
        <v>56</v>
      </c>
      <c r="B230">
        <v>60</v>
      </c>
      <c r="C230" t="s">
        <v>12</v>
      </c>
      <c r="D230">
        <v>-2.2841452222645789E-2</v>
      </c>
    </row>
    <row r="231" spans="1:4" x14ac:dyDescent="0.25">
      <c r="A231">
        <v>56</v>
      </c>
      <c r="B231">
        <v>60</v>
      </c>
      <c r="C231" t="s">
        <v>13</v>
      </c>
      <c r="D231">
        <v>-3.9232417888815166E-3</v>
      </c>
    </row>
    <row r="232" spans="1:4" x14ac:dyDescent="0.25">
      <c r="A232">
        <v>56</v>
      </c>
      <c r="B232">
        <v>60</v>
      </c>
      <c r="C232" t="s">
        <v>14</v>
      </c>
      <c r="D232">
        <v>-2.043009467104365</v>
      </c>
    </row>
    <row r="233" spans="1:4" x14ac:dyDescent="0.25">
      <c r="A233">
        <v>56</v>
      </c>
      <c r="B233">
        <v>60</v>
      </c>
      <c r="C233" t="s">
        <v>15</v>
      </c>
      <c r="D233">
        <v>-4.7457268352047102</v>
      </c>
    </row>
    <row r="234" spans="1:4" x14ac:dyDescent="0.25">
      <c r="A234">
        <v>56</v>
      </c>
      <c r="B234">
        <v>60</v>
      </c>
      <c r="C234" t="s">
        <v>16</v>
      </c>
      <c r="D234">
        <v>-1.690306651519687</v>
      </c>
    </row>
    <row r="235" spans="1:4" x14ac:dyDescent="0.25">
      <c r="A235">
        <v>56</v>
      </c>
      <c r="B235">
        <v>60</v>
      </c>
      <c r="C235" t="s">
        <v>17</v>
      </c>
      <c r="D235">
        <v>-1.9693221142131729</v>
      </c>
    </row>
    <row r="236" spans="1:4" x14ac:dyDescent="0.25">
      <c r="A236">
        <v>56</v>
      </c>
      <c r="B236">
        <v>60</v>
      </c>
      <c r="C236" t="s">
        <v>18</v>
      </c>
      <c r="D236">
        <v>-2.2008444147808892</v>
      </c>
    </row>
    <row r="237" spans="1:4" x14ac:dyDescent="0.25">
      <c r="A237">
        <v>56</v>
      </c>
      <c r="B237">
        <v>60</v>
      </c>
      <c r="C237" t="s">
        <v>19</v>
      </c>
      <c r="D237">
        <v>5.2878402453228786E-3</v>
      </c>
    </row>
    <row r="238" spans="1:4" x14ac:dyDescent="0.25">
      <c r="A238">
        <v>56</v>
      </c>
      <c r="B238">
        <v>60</v>
      </c>
      <c r="C238" t="s">
        <v>20</v>
      </c>
      <c r="D238">
        <v>-0.1141312050288126</v>
      </c>
    </row>
    <row r="239" spans="1:4" x14ac:dyDescent="0.25">
      <c r="A239">
        <v>56</v>
      </c>
      <c r="B239">
        <v>60</v>
      </c>
      <c r="C239" t="s">
        <v>21</v>
      </c>
      <c r="D239">
        <v>0.17007631925024419</v>
      </c>
    </row>
    <row r="240" spans="1:4" x14ac:dyDescent="0.25">
      <c r="A240">
        <v>56</v>
      </c>
      <c r="B240">
        <v>60</v>
      </c>
      <c r="C240" t="s">
        <v>22</v>
      </c>
      <c r="D240">
        <v>-0.2407314866238322</v>
      </c>
    </row>
    <row r="241" spans="1:4" x14ac:dyDescent="0.25">
      <c r="A241">
        <v>56</v>
      </c>
      <c r="B241">
        <v>60</v>
      </c>
      <c r="C241" t="s">
        <v>23</v>
      </c>
      <c r="D241">
        <v>-1.9519960883891459E-2</v>
      </c>
    </row>
    <row r="242" spans="1:4" x14ac:dyDescent="0.25">
      <c r="A242">
        <v>58</v>
      </c>
      <c r="B242">
        <v>62</v>
      </c>
      <c r="C242" t="s">
        <v>12</v>
      </c>
      <c r="D242">
        <v>7.7021492984021181E-2</v>
      </c>
    </row>
    <row r="243" spans="1:4" x14ac:dyDescent="0.25">
      <c r="A243">
        <v>58</v>
      </c>
      <c r="B243">
        <v>62</v>
      </c>
      <c r="C243" t="s">
        <v>13</v>
      </c>
      <c r="D243">
        <v>-3.1941887211748517E-2</v>
      </c>
    </row>
    <row r="244" spans="1:4" x14ac:dyDescent="0.25">
      <c r="A244">
        <v>58</v>
      </c>
      <c r="B244">
        <v>62</v>
      </c>
      <c r="C244" t="s">
        <v>14</v>
      </c>
      <c r="D244">
        <v>-2.0319062684392142</v>
      </c>
    </row>
    <row r="245" spans="1:4" x14ac:dyDescent="0.25">
      <c r="A245">
        <v>58</v>
      </c>
      <c r="B245">
        <v>62</v>
      </c>
      <c r="C245" t="s">
        <v>15</v>
      </c>
      <c r="D245">
        <v>-3.957266903617024</v>
      </c>
    </row>
    <row r="246" spans="1:4" x14ac:dyDescent="0.25">
      <c r="A246">
        <v>58</v>
      </c>
      <c r="B246">
        <v>62</v>
      </c>
      <c r="C246" t="s">
        <v>16</v>
      </c>
      <c r="D246">
        <v>-1.6640591239846929</v>
      </c>
    </row>
    <row r="247" spans="1:4" x14ac:dyDescent="0.25">
      <c r="A247">
        <v>58</v>
      </c>
      <c r="B247">
        <v>62</v>
      </c>
      <c r="C247" t="s">
        <v>17</v>
      </c>
      <c r="D247">
        <v>-1.457112869863701</v>
      </c>
    </row>
    <row r="248" spans="1:4" x14ac:dyDescent="0.25">
      <c r="A248">
        <v>58</v>
      </c>
      <c r="B248">
        <v>62</v>
      </c>
      <c r="C248" t="s">
        <v>18</v>
      </c>
      <c r="D248">
        <v>-2.149483956926078</v>
      </c>
    </row>
    <row r="249" spans="1:4" x14ac:dyDescent="0.25">
      <c r="A249">
        <v>58</v>
      </c>
      <c r="B249">
        <v>62</v>
      </c>
      <c r="C249" t="s">
        <v>19</v>
      </c>
      <c r="D249">
        <v>-1.6915771984512781E-3</v>
      </c>
    </row>
    <row r="250" spans="1:4" x14ac:dyDescent="0.25">
      <c r="A250">
        <v>58</v>
      </c>
      <c r="B250">
        <v>62</v>
      </c>
      <c r="C250" t="s">
        <v>20</v>
      </c>
      <c r="D250">
        <v>4.4323432125286024E-3</v>
      </c>
    </row>
    <row r="251" spans="1:4" x14ac:dyDescent="0.25">
      <c r="A251">
        <v>58</v>
      </c>
      <c r="B251">
        <v>62</v>
      </c>
      <c r="C251" t="s">
        <v>21</v>
      </c>
    </row>
    <row r="252" spans="1:4" x14ac:dyDescent="0.25">
      <c r="A252">
        <v>58</v>
      </c>
      <c r="B252">
        <v>62</v>
      </c>
      <c r="C252" t="s">
        <v>22</v>
      </c>
      <c r="D252">
        <v>4.4323432125286024E-3</v>
      </c>
    </row>
    <row r="253" spans="1:4" x14ac:dyDescent="0.25">
      <c r="A253">
        <v>58</v>
      </c>
      <c r="B253">
        <v>62</v>
      </c>
      <c r="C253" t="s">
        <v>23</v>
      </c>
      <c r="D253">
        <v>1.969801355922925E-2</v>
      </c>
    </row>
    <row r="254" spans="1:4" x14ac:dyDescent="0.25">
      <c r="A254">
        <v>60</v>
      </c>
      <c r="B254">
        <v>64</v>
      </c>
      <c r="C254" t="s">
        <v>12</v>
      </c>
      <c r="D254">
        <v>0.24598917620656119</v>
      </c>
    </row>
    <row r="255" spans="1:4" x14ac:dyDescent="0.25">
      <c r="A255">
        <v>60</v>
      </c>
      <c r="B255">
        <v>64</v>
      </c>
      <c r="C255" t="s">
        <v>13</v>
      </c>
      <c r="D255">
        <v>1.245254292641545E-2</v>
      </c>
    </row>
    <row r="256" spans="1:4" x14ac:dyDescent="0.25">
      <c r="A256">
        <v>60</v>
      </c>
      <c r="B256">
        <v>64</v>
      </c>
      <c r="C256" t="s">
        <v>14</v>
      </c>
      <c r="D256">
        <v>-0.83021018603642138</v>
      </c>
    </row>
    <row r="257" spans="1:4" x14ac:dyDescent="0.25">
      <c r="A257">
        <v>60</v>
      </c>
      <c r="B257">
        <v>64</v>
      </c>
      <c r="C257" t="s">
        <v>15</v>
      </c>
      <c r="D257">
        <v>-2.26623229005027</v>
      </c>
    </row>
    <row r="258" spans="1:4" x14ac:dyDescent="0.25">
      <c r="A258">
        <v>60</v>
      </c>
      <c r="B258">
        <v>64</v>
      </c>
      <c r="C258" t="s">
        <v>16</v>
      </c>
      <c r="D258">
        <v>-0.7239797644528434</v>
      </c>
    </row>
    <row r="259" spans="1:4" x14ac:dyDescent="0.25">
      <c r="A259">
        <v>60</v>
      </c>
      <c r="B259">
        <v>64</v>
      </c>
      <c r="C259" t="s">
        <v>17</v>
      </c>
      <c r="D259">
        <v>-1.9224862772900599</v>
      </c>
    </row>
    <row r="260" spans="1:4" x14ac:dyDescent="0.25">
      <c r="A260">
        <v>60</v>
      </c>
      <c r="B260">
        <v>64</v>
      </c>
      <c r="C260" t="s">
        <v>18</v>
      </c>
      <c r="D260">
        <v>-1.891812894398379</v>
      </c>
    </row>
    <row r="261" spans="1:4" x14ac:dyDescent="0.25">
      <c r="A261">
        <v>60</v>
      </c>
      <c r="B261">
        <v>64</v>
      </c>
      <c r="C261" t="s">
        <v>19</v>
      </c>
      <c r="D261">
        <v>-0.36049637123081069</v>
      </c>
    </row>
    <row r="262" spans="1:4" x14ac:dyDescent="0.25">
      <c r="A262">
        <v>60</v>
      </c>
      <c r="B262">
        <v>64</v>
      </c>
      <c r="C262" t="s">
        <v>20</v>
      </c>
      <c r="D262">
        <v>0.45237659316410289</v>
      </c>
    </row>
    <row r="263" spans="1:4" x14ac:dyDescent="0.25">
      <c r="A263">
        <v>60</v>
      </c>
      <c r="B263">
        <v>64</v>
      </c>
      <c r="C263" t="s">
        <v>21</v>
      </c>
    </row>
    <row r="264" spans="1:4" x14ac:dyDescent="0.25">
      <c r="A264">
        <v>60</v>
      </c>
      <c r="B264">
        <v>64</v>
      </c>
      <c r="C264" t="s">
        <v>22</v>
      </c>
      <c r="D264">
        <v>0.45237659316410289</v>
      </c>
    </row>
    <row r="265" spans="1:4" x14ac:dyDescent="0.25">
      <c r="A265">
        <v>60</v>
      </c>
      <c r="B265">
        <v>64</v>
      </c>
      <c r="C265" t="s">
        <v>23</v>
      </c>
      <c r="D265">
        <v>0.48151470475424829</v>
      </c>
    </row>
    <row r="266" spans="1:4" x14ac:dyDescent="0.25">
      <c r="A266">
        <v>62</v>
      </c>
      <c r="B266">
        <v>66</v>
      </c>
      <c r="C266" t="s">
        <v>12</v>
      </c>
      <c r="D266">
        <v>-0.30734191528250882</v>
      </c>
    </row>
    <row r="267" spans="1:4" x14ac:dyDescent="0.25">
      <c r="A267">
        <v>62</v>
      </c>
      <c r="B267">
        <v>66</v>
      </c>
      <c r="C267" t="s">
        <v>13</v>
      </c>
      <c r="D267">
        <v>-1.271904985375375E-3</v>
      </c>
    </row>
    <row r="268" spans="1:4" x14ac:dyDescent="0.25">
      <c r="A268">
        <v>62</v>
      </c>
      <c r="B268">
        <v>66</v>
      </c>
      <c r="C268" t="s">
        <v>14</v>
      </c>
      <c r="D268">
        <v>-9.8617956031239878E-2</v>
      </c>
    </row>
    <row r="269" spans="1:4" x14ac:dyDescent="0.25">
      <c r="A269">
        <v>62</v>
      </c>
      <c r="B269">
        <v>66</v>
      </c>
      <c r="C269" t="s">
        <v>15</v>
      </c>
      <c r="D269">
        <v>-0.48654037625790109</v>
      </c>
    </row>
    <row r="270" spans="1:4" x14ac:dyDescent="0.25">
      <c r="A270">
        <v>62</v>
      </c>
      <c r="B270">
        <v>66</v>
      </c>
      <c r="C270" t="s">
        <v>16</v>
      </c>
      <c r="D270">
        <v>-0.14150312155504671</v>
      </c>
    </row>
    <row r="271" spans="1:4" x14ac:dyDescent="0.25">
      <c r="A271">
        <v>62</v>
      </c>
      <c r="B271">
        <v>66</v>
      </c>
      <c r="C271" t="s">
        <v>17</v>
      </c>
      <c r="D271">
        <v>-0.51397931033937316</v>
      </c>
    </row>
    <row r="272" spans="1:4" x14ac:dyDescent="0.25">
      <c r="A272">
        <v>62</v>
      </c>
      <c r="B272">
        <v>66</v>
      </c>
      <c r="C272" t="s">
        <v>18</v>
      </c>
      <c r="D272">
        <v>-0.51805611937616514</v>
      </c>
    </row>
    <row r="273" spans="1:4" x14ac:dyDescent="0.25">
      <c r="A273">
        <v>62</v>
      </c>
      <c r="B273">
        <v>66</v>
      </c>
      <c r="C273" t="s">
        <v>19</v>
      </c>
      <c r="D273">
        <v>-0.33683577350382488</v>
      </c>
    </row>
    <row r="274" spans="1:4" x14ac:dyDescent="0.25">
      <c r="A274">
        <v>62</v>
      </c>
      <c r="B274">
        <v>66</v>
      </c>
      <c r="C274" t="s">
        <v>20</v>
      </c>
      <c r="D274">
        <v>3.5502995652865937E-2</v>
      </c>
    </row>
    <row r="275" spans="1:4" x14ac:dyDescent="0.25">
      <c r="A275">
        <v>62</v>
      </c>
      <c r="B275">
        <v>66</v>
      </c>
      <c r="C275" t="s">
        <v>21</v>
      </c>
    </row>
    <row r="276" spans="1:4" x14ac:dyDescent="0.25">
      <c r="A276">
        <v>62</v>
      </c>
      <c r="B276">
        <v>66</v>
      </c>
      <c r="C276" t="s">
        <v>22</v>
      </c>
      <c r="D276">
        <v>3.5502995652865937E-2</v>
      </c>
    </row>
    <row r="277" spans="1:4" x14ac:dyDescent="0.25">
      <c r="A277">
        <v>62</v>
      </c>
      <c r="B277">
        <v>66</v>
      </c>
      <c r="C277" t="s">
        <v>23</v>
      </c>
      <c r="D277">
        <v>3.7706002240096632E-2</v>
      </c>
    </row>
    <row r="278" spans="1:4" x14ac:dyDescent="0.25">
      <c r="A278">
        <v>64</v>
      </c>
      <c r="B278">
        <v>68</v>
      </c>
      <c r="C278" t="s">
        <v>12</v>
      </c>
      <c r="D278">
        <v>-0.1502679418340552</v>
      </c>
    </row>
    <row r="279" spans="1:4" x14ac:dyDescent="0.25">
      <c r="A279">
        <v>64</v>
      </c>
      <c r="B279">
        <v>68</v>
      </c>
      <c r="C279" t="s">
        <v>13</v>
      </c>
      <c r="D279">
        <v>-2.9842645273650881E-2</v>
      </c>
    </row>
    <row r="280" spans="1:4" x14ac:dyDescent="0.25">
      <c r="A280">
        <v>64</v>
      </c>
      <c r="B280">
        <v>68</v>
      </c>
      <c r="C280" t="s">
        <v>14</v>
      </c>
      <c r="D280">
        <v>-3.5565919647933408E-4</v>
      </c>
    </row>
    <row r="281" spans="1:4" x14ac:dyDescent="0.25">
      <c r="A281">
        <v>64</v>
      </c>
      <c r="B281">
        <v>68</v>
      </c>
      <c r="C281" t="s">
        <v>15</v>
      </c>
      <c r="D281">
        <v>-0.50637128008004273</v>
      </c>
    </row>
    <row r="282" spans="1:4" x14ac:dyDescent="0.25">
      <c r="A282">
        <v>64</v>
      </c>
      <c r="B282">
        <v>68</v>
      </c>
      <c r="C282" t="s">
        <v>16</v>
      </c>
      <c r="D282">
        <v>-6.8309454546748236E-2</v>
      </c>
    </row>
    <row r="283" spans="1:4" x14ac:dyDescent="0.25">
      <c r="A283">
        <v>64</v>
      </c>
      <c r="B283">
        <v>68</v>
      </c>
      <c r="C283" t="s">
        <v>17</v>
      </c>
      <c r="D283">
        <v>-0.13372298024917301</v>
      </c>
    </row>
    <row r="284" spans="1:4" x14ac:dyDescent="0.25">
      <c r="A284">
        <v>64</v>
      </c>
      <c r="B284">
        <v>68</v>
      </c>
      <c r="C284" t="s">
        <v>18</v>
      </c>
      <c r="D284">
        <v>-0.23130566588145049</v>
      </c>
    </row>
    <row r="285" spans="1:4" x14ac:dyDescent="0.25">
      <c r="A285">
        <v>64</v>
      </c>
      <c r="B285">
        <v>68</v>
      </c>
      <c r="C285" t="s">
        <v>19</v>
      </c>
      <c r="D285">
        <v>-1.1900805517913299E-2</v>
      </c>
    </row>
    <row r="286" spans="1:4" x14ac:dyDescent="0.25">
      <c r="A286">
        <v>64</v>
      </c>
      <c r="B286">
        <v>68</v>
      </c>
      <c r="C286" t="s">
        <v>20</v>
      </c>
      <c r="D286">
        <v>-6.7244737781263064E-4</v>
      </c>
    </row>
    <row r="287" spans="1:4" x14ac:dyDescent="0.25">
      <c r="A287">
        <v>64</v>
      </c>
      <c r="B287">
        <v>68</v>
      </c>
      <c r="C287" t="s">
        <v>21</v>
      </c>
      <c r="D287">
        <v>6.813407702382758E-2</v>
      </c>
    </row>
    <row r="288" spans="1:4" x14ac:dyDescent="0.25">
      <c r="A288">
        <v>64</v>
      </c>
      <c r="B288">
        <v>68</v>
      </c>
      <c r="C288" t="s">
        <v>22</v>
      </c>
      <c r="D288">
        <v>-1.2434904338671039E-2</v>
      </c>
    </row>
    <row r="289" spans="1:4" x14ac:dyDescent="0.25">
      <c r="A289">
        <v>64</v>
      </c>
      <c r="B289">
        <v>68</v>
      </c>
      <c r="C289" t="s">
        <v>23</v>
      </c>
      <c r="D289">
        <v>7.7881706634774193E-3</v>
      </c>
    </row>
    <row r="290" spans="1:4" x14ac:dyDescent="0.25">
      <c r="A290">
        <v>66</v>
      </c>
      <c r="B290">
        <v>70</v>
      </c>
      <c r="C290" t="s">
        <v>12</v>
      </c>
      <c r="D290">
        <v>5.2043171436356173E-2</v>
      </c>
    </row>
    <row r="291" spans="1:4" x14ac:dyDescent="0.25">
      <c r="A291">
        <v>66</v>
      </c>
      <c r="B291">
        <v>70</v>
      </c>
      <c r="C291" t="s">
        <v>13</v>
      </c>
      <c r="D291">
        <v>-8.8577981544041041E-3</v>
      </c>
    </row>
    <row r="292" spans="1:4" x14ac:dyDescent="0.25">
      <c r="A292">
        <v>66</v>
      </c>
      <c r="B292">
        <v>70</v>
      </c>
      <c r="C292" t="s">
        <v>14</v>
      </c>
      <c r="D292">
        <v>-1.5925698170726921E-2</v>
      </c>
    </row>
    <row r="293" spans="1:4" x14ac:dyDescent="0.25">
      <c r="A293">
        <v>66</v>
      </c>
      <c r="B293">
        <v>70</v>
      </c>
      <c r="C293" t="s">
        <v>15</v>
      </c>
      <c r="D293">
        <v>-0.95762255704360577</v>
      </c>
    </row>
    <row r="294" spans="1:4" x14ac:dyDescent="0.25">
      <c r="A294">
        <v>66</v>
      </c>
      <c r="B294">
        <v>70</v>
      </c>
      <c r="C294" t="s">
        <v>16</v>
      </c>
      <c r="D294">
        <v>-0.12003557546117009</v>
      </c>
    </row>
    <row r="295" spans="1:4" x14ac:dyDescent="0.25">
      <c r="A295">
        <v>66</v>
      </c>
      <c r="B295">
        <v>70</v>
      </c>
      <c r="C295" t="s">
        <v>17</v>
      </c>
      <c r="D295">
        <v>-0.60849722269967221</v>
      </c>
    </row>
    <row r="296" spans="1:4" x14ac:dyDescent="0.25">
      <c r="A296">
        <v>66</v>
      </c>
      <c r="B296">
        <v>70</v>
      </c>
      <c r="C296" t="s">
        <v>18</v>
      </c>
      <c r="D296">
        <v>-0.36395485381880688</v>
      </c>
    </row>
    <row r="297" spans="1:4" x14ac:dyDescent="0.25">
      <c r="A297">
        <v>66</v>
      </c>
      <c r="B297">
        <v>70</v>
      </c>
      <c r="C297" t="s">
        <v>19</v>
      </c>
      <c r="D297">
        <v>-1.698161671435632E-3</v>
      </c>
    </row>
    <row r="298" spans="1:4" x14ac:dyDescent="0.25">
      <c r="A298">
        <v>66</v>
      </c>
      <c r="B298">
        <v>70</v>
      </c>
      <c r="C298" t="s">
        <v>20</v>
      </c>
      <c r="D298">
        <v>-0.2392399225849216</v>
      </c>
    </row>
    <row r="299" spans="1:4" x14ac:dyDescent="0.25">
      <c r="A299">
        <v>66</v>
      </c>
      <c r="B299">
        <v>70</v>
      </c>
      <c r="C299" t="s">
        <v>21</v>
      </c>
      <c r="D299">
        <v>0.38189748072686219</v>
      </c>
    </row>
    <row r="300" spans="1:4" x14ac:dyDescent="0.25">
      <c r="A300">
        <v>66</v>
      </c>
      <c r="B300">
        <v>70</v>
      </c>
      <c r="C300" t="s">
        <v>22</v>
      </c>
      <c r="D300">
        <v>-0.43926633984843932</v>
      </c>
    </row>
    <row r="301" spans="1:4" x14ac:dyDescent="0.25">
      <c r="A301">
        <v>66</v>
      </c>
      <c r="B301">
        <v>70</v>
      </c>
      <c r="C301" t="s">
        <v>23</v>
      </c>
      <c r="D301">
        <v>-2.444824234769559E-2</v>
      </c>
    </row>
    <row r="302" spans="1:4" x14ac:dyDescent="0.25">
      <c r="A302">
        <v>68</v>
      </c>
      <c r="B302">
        <v>72</v>
      </c>
      <c r="C302" t="s">
        <v>12</v>
      </c>
      <c r="D302">
        <v>3.605135462948978</v>
      </c>
    </row>
    <row r="303" spans="1:4" x14ac:dyDescent="0.25">
      <c r="A303">
        <v>68</v>
      </c>
      <c r="B303">
        <v>72</v>
      </c>
      <c r="C303" t="s">
        <v>13</v>
      </c>
      <c r="D303">
        <v>-4.1556120868389571E-2</v>
      </c>
    </row>
    <row r="304" spans="1:4" x14ac:dyDescent="0.25">
      <c r="A304">
        <v>68</v>
      </c>
      <c r="B304">
        <v>72</v>
      </c>
      <c r="C304" t="s">
        <v>14</v>
      </c>
      <c r="D304">
        <v>-4.7612644442845622E-4</v>
      </c>
    </row>
    <row r="305" spans="1:4" x14ac:dyDescent="0.25">
      <c r="A305">
        <v>68</v>
      </c>
      <c r="B305">
        <v>72</v>
      </c>
      <c r="C305" t="s">
        <v>15</v>
      </c>
      <c r="D305">
        <v>-1.014747201315136</v>
      </c>
    </row>
    <row r="306" spans="1:4" x14ac:dyDescent="0.25">
      <c r="A306">
        <v>68</v>
      </c>
      <c r="B306">
        <v>72</v>
      </c>
      <c r="C306" t="s">
        <v>16</v>
      </c>
      <c r="D306">
        <v>-0.1182089476692938</v>
      </c>
    </row>
    <row r="307" spans="1:4" x14ac:dyDescent="0.25">
      <c r="A307">
        <v>68</v>
      </c>
      <c r="B307">
        <v>72</v>
      </c>
      <c r="C307" t="s">
        <v>17</v>
      </c>
      <c r="D307">
        <v>-0.26215599427253589</v>
      </c>
    </row>
    <row r="308" spans="1:4" x14ac:dyDescent="0.25">
      <c r="A308">
        <v>68</v>
      </c>
      <c r="B308">
        <v>72</v>
      </c>
      <c r="C308" t="s">
        <v>18</v>
      </c>
      <c r="D308">
        <v>-0.35949832879802018</v>
      </c>
    </row>
    <row r="309" spans="1:4" x14ac:dyDescent="0.25">
      <c r="A309">
        <v>68</v>
      </c>
      <c r="B309">
        <v>72</v>
      </c>
      <c r="C309" t="s">
        <v>19</v>
      </c>
      <c r="D309">
        <v>-6.8441904209935681E-3</v>
      </c>
    </row>
    <row r="310" spans="1:4" x14ac:dyDescent="0.25">
      <c r="A310">
        <v>68</v>
      </c>
      <c r="B310">
        <v>72</v>
      </c>
      <c r="C310" t="s">
        <v>20</v>
      </c>
      <c r="D310">
        <v>-8.4204585148944314E-2</v>
      </c>
    </row>
    <row r="311" spans="1:4" x14ac:dyDescent="0.25">
      <c r="A311">
        <v>68</v>
      </c>
      <c r="B311">
        <v>72</v>
      </c>
      <c r="C311" t="s">
        <v>21</v>
      </c>
      <c r="D311">
        <v>0.95953819362388959</v>
      </c>
    </row>
    <row r="312" spans="1:4" x14ac:dyDescent="0.25">
      <c r="A312">
        <v>68</v>
      </c>
      <c r="B312">
        <v>72</v>
      </c>
      <c r="C312" t="s">
        <v>22</v>
      </c>
      <c r="D312">
        <v>-2.0348037313869778</v>
      </c>
    </row>
    <row r="313" spans="1:4" x14ac:dyDescent="0.25">
      <c r="A313">
        <v>68</v>
      </c>
      <c r="B313">
        <v>72</v>
      </c>
      <c r="C313" t="s">
        <v>23</v>
      </c>
      <c r="D313">
        <v>5.7833080265678752E-2</v>
      </c>
    </row>
    <row r="314" spans="1:4" x14ac:dyDescent="0.25">
      <c r="A314">
        <v>70</v>
      </c>
      <c r="B314">
        <v>74</v>
      </c>
      <c r="C314" t="s">
        <v>12</v>
      </c>
    </row>
    <row r="315" spans="1:4" x14ac:dyDescent="0.25">
      <c r="A315">
        <v>70</v>
      </c>
      <c r="B315">
        <v>74</v>
      </c>
      <c r="C315" t="s">
        <v>13</v>
      </c>
    </row>
    <row r="316" spans="1:4" x14ac:dyDescent="0.25">
      <c r="A316">
        <v>70</v>
      </c>
      <c r="B316">
        <v>74</v>
      </c>
      <c r="C316" t="s">
        <v>14</v>
      </c>
    </row>
    <row r="317" spans="1:4" x14ac:dyDescent="0.25">
      <c r="A317">
        <v>70</v>
      </c>
      <c r="B317">
        <v>74</v>
      </c>
      <c r="C317" t="s">
        <v>15</v>
      </c>
    </row>
    <row r="318" spans="1:4" x14ac:dyDescent="0.25">
      <c r="A318">
        <v>70</v>
      </c>
      <c r="B318">
        <v>74</v>
      </c>
      <c r="C318" t="s">
        <v>16</v>
      </c>
    </row>
    <row r="319" spans="1:4" x14ac:dyDescent="0.25">
      <c r="A319">
        <v>70</v>
      </c>
      <c r="B319">
        <v>74</v>
      </c>
      <c r="C319" t="s">
        <v>17</v>
      </c>
    </row>
    <row r="320" spans="1:4" x14ac:dyDescent="0.25">
      <c r="A320">
        <v>70</v>
      </c>
      <c r="B320">
        <v>74</v>
      </c>
      <c r="C320" t="s">
        <v>18</v>
      </c>
    </row>
    <row r="321" spans="1:3" x14ac:dyDescent="0.25">
      <c r="A321">
        <v>70</v>
      </c>
      <c r="B321">
        <v>74</v>
      </c>
      <c r="C321" t="s">
        <v>19</v>
      </c>
    </row>
    <row r="322" spans="1:3" x14ac:dyDescent="0.25">
      <c r="A322">
        <v>70</v>
      </c>
      <c r="B322">
        <v>74</v>
      </c>
      <c r="C322" t="s">
        <v>20</v>
      </c>
    </row>
    <row r="323" spans="1:3" x14ac:dyDescent="0.25">
      <c r="A323">
        <v>70</v>
      </c>
      <c r="B323">
        <v>74</v>
      </c>
      <c r="C323" t="s">
        <v>21</v>
      </c>
    </row>
    <row r="324" spans="1:3" x14ac:dyDescent="0.25">
      <c r="A324">
        <v>70</v>
      </c>
      <c r="B324">
        <v>74</v>
      </c>
      <c r="C324" t="s">
        <v>22</v>
      </c>
    </row>
    <row r="325" spans="1:3" x14ac:dyDescent="0.25">
      <c r="A325">
        <v>70</v>
      </c>
      <c r="B325">
        <v>74</v>
      </c>
      <c r="C325" t="s">
        <v>23</v>
      </c>
    </row>
    <row r="326" spans="1:3" x14ac:dyDescent="0.25">
      <c r="A326">
        <v>72</v>
      </c>
      <c r="B326">
        <v>76</v>
      </c>
      <c r="C326" t="s">
        <v>12</v>
      </c>
    </row>
    <row r="327" spans="1:3" x14ac:dyDescent="0.25">
      <c r="A327">
        <v>72</v>
      </c>
      <c r="B327">
        <v>76</v>
      </c>
      <c r="C327" t="s">
        <v>13</v>
      </c>
    </row>
    <row r="328" spans="1:3" x14ac:dyDescent="0.25">
      <c r="A328">
        <v>72</v>
      </c>
      <c r="B328">
        <v>76</v>
      </c>
      <c r="C328" t="s">
        <v>14</v>
      </c>
    </row>
    <row r="329" spans="1:3" x14ac:dyDescent="0.25">
      <c r="A329">
        <v>72</v>
      </c>
      <c r="B329">
        <v>76</v>
      </c>
      <c r="C329" t="s">
        <v>15</v>
      </c>
    </row>
    <row r="330" spans="1:3" x14ac:dyDescent="0.25">
      <c r="A330">
        <v>72</v>
      </c>
      <c r="B330">
        <v>76</v>
      </c>
      <c r="C330" t="s">
        <v>16</v>
      </c>
    </row>
    <row r="331" spans="1:3" x14ac:dyDescent="0.25">
      <c r="A331">
        <v>72</v>
      </c>
      <c r="B331">
        <v>76</v>
      </c>
      <c r="C331" t="s">
        <v>17</v>
      </c>
    </row>
    <row r="332" spans="1:3" x14ac:dyDescent="0.25">
      <c r="A332">
        <v>72</v>
      </c>
      <c r="B332">
        <v>76</v>
      </c>
      <c r="C332" t="s">
        <v>18</v>
      </c>
    </row>
    <row r="333" spans="1:3" x14ac:dyDescent="0.25">
      <c r="A333">
        <v>72</v>
      </c>
      <c r="B333">
        <v>76</v>
      </c>
      <c r="C333" t="s">
        <v>19</v>
      </c>
    </row>
    <row r="334" spans="1:3" x14ac:dyDescent="0.25">
      <c r="A334">
        <v>72</v>
      </c>
      <c r="B334">
        <v>76</v>
      </c>
      <c r="C334" t="s">
        <v>20</v>
      </c>
    </row>
    <row r="335" spans="1:3" x14ac:dyDescent="0.25">
      <c r="A335">
        <v>72</v>
      </c>
      <c r="B335">
        <v>76</v>
      </c>
      <c r="C335" t="s">
        <v>21</v>
      </c>
    </row>
    <row r="336" spans="1:3" x14ac:dyDescent="0.25">
      <c r="A336">
        <v>72</v>
      </c>
      <c r="B336">
        <v>76</v>
      </c>
      <c r="C336" t="s">
        <v>22</v>
      </c>
    </row>
    <row r="337" spans="1:3" x14ac:dyDescent="0.25">
      <c r="A337">
        <v>72</v>
      </c>
      <c r="B337">
        <v>76</v>
      </c>
      <c r="C33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269D-61A1-4134-A9F4-D14B59FF3986}">
  <dimension ref="A2:N28"/>
  <sheetViews>
    <sheetView topLeftCell="A2" workbookViewId="0">
      <selection activeCell="P8" sqref="P8"/>
    </sheetView>
  </sheetViews>
  <sheetFormatPr defaultRowHeight="15" x14ac:dyDescent="0.25"/>
  <cols>
    <col min="1" max="1" width="4" style="2" bestFit="1" customWidth="1"/>
    <col min="2" max="2" width="5.7109375" style="2" bestFit="1" customWidth="1"/>
    <col min="3" max="3" width="5.85546875" style="2" bestFit="1" customWidth="1"/>
    <col min="4" max="4" width="5.7109375" style="2" bestFit="1" customWidth="1"/>
    <col min="5" max="5" width="5" style="2" bestFit="1" customWidth="1"/>
    <col min="6" max="6" width="6" style="2" bestFit="1" customWidth="1"/>
    <col min="7" max="7" width="5" style="2" bestFit="1" customWidth="1"/>
    <col min="8" max="8" width="5.7109375" style="2" bestFit="1" customWidth="1"/>
    <col min="9" max="10" width="6" style="2" bestFit="1" customWidth="1"/>
    <col min="11" max="11" width="5.7109375" style="2" bestFit="1" customWidth="1"/>
    <col min="12" max="12" width="6.7109375" style="2" bestFit="1" customWidth="1"/>
    <col min="13" max="14" width="5.7109375" style="2" bestFit="1" customWidth="1"/>
    <col min="15" max="16384" width="9.140625" style="2"/>
  </cols>
  <sheetData>
    <row r="2" spans="1:14" s="3" customFormat="1" ht="138.75" x14ac:dyDescent="0.25">
      <c r="B2" s="3" t="s">
        <v>24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</row>
    <row r="3" spans="1:14" x14ac:dyDescent="0.25">
      <c r="A3" s="2">
        <v>2</v>
      </c>
      <c r="B3" s="4" t="str" cm="1">
        <f t="array" aca="1" ref="B3" ca="1">INDIRECT("Sheet1!A"&amp;$A3) &amp; "-" &amp; INDIRECT("Sheet1!B"&amp;$A3)</f>
        <v>18-22</v>
      </c>
      <c r="C3" s="4" cm="1">
        <f t="array" aca="1" ref="C3:N3" ca="1">ROUND(TRANSPOSE(INDIRECT("Sheet1!D"&amp;$A3&amp;":D"&amp;A3+11))*-1,2)</f>
        <v>6.78</v>
      </c>
      <c r="D3" s="4">
        <f ca="1"/>
        <v>2.0699999999999998</v>
      </c>
      <c r="E3" s="4">
        <f ca="1"/>
        <v>1.61</v>
      </c>
      <c r="F3" s="4">
        <f ca="1"/>
        <v>3.44</v>
      </c>
      <c r="G3" s="4">
        <f ca="1"/>
        <v>2.41</v>
      </c>
      <c r="H3" s="4">
        <f ca="1"/>
        <v>-1.21</v>
      </c>
      <c r="I3" s="4">
        <f ca="1"/>
        <v>6.14</v>
      </c>
      <c r="J3" s="4">
        <f ca="1"/>
        <v>11.92</v>
      </c>
      <c r="K3" s="4">
        <f ca="1"/>
        <v>-0.4</v>
      </c>
      <c r="L3" s="4">
        <f ca="1"/>
        <v>-0.18</v>
      </c>
      <c r="M3" s="4">
        <f ca="1"/>
        <v>-0.3</v>
      </c>
      <c r="N3" s="4">
        <f ca="1"/>
        <v>-0.54</v>
      </c>
    </row>
    <row r="4" spans="1:14" x14ac:dyDescent="0.25">
      <c r="A4" s="2">
        <f>A3+12</f>
        <v>14</v>
      </c>
      <c r="B4" s="4" t="str" cm="1">
        <f t="array" aca="1" ref="B4" ca="1">INDIRECT("Sheet1!A"&amp;$A4) &amp; "-" &amp; INDIRECT("Sheet1!B"&amp;$A4)</f>
        <v>20-24</v>
      </c>
      <c r="C4" s="4" cm="1">
        <f t="array" aca="1" ref="C4:N4" ca="1">ROUND(TRANSPOSE(INDIRECT("Sheet1!D"&amp;$A4&amp;":D"&amp;A4+11))*-1,2)</f>
        <v>0.5</v>
      </c>
      <c r="D4" s="4">
        <f ca="1"/>
        <v>2.6</v>
      </c>
      <c r="E4" s="4">
        <f ca="1"/>
        <v>3.78</v>
      </c>
      <c r="F4" s="4">
        <f ca="1"/>
        <v>5.08</v>
      </c>
      <c r="G4" s="4">
        <f ca="1"/>
        <v>4.59</v>
      </c>
      <c r="H4" s="4">
        <f ca="1"/>
        <v>-0.94</v>
      </c>
      <c r="I4" s="4">
        <f ca="1"/>
        <v>0.65</v>
      </c>
      <c r="J4" s="4">
        <f ca="1"/>
        <v>0.05</v>
      </c>
      <c r="K4" s="4">
        <f ca="1"/>
        <v>-0.32</v>
      </c>
      <c r="L4" s="4">
        <f ca="1"/>
        <v>-0.15</v>
      </c>
      <c r="M4" s="4">
        <f ca="1"/>
        <v>-0.17</v>
      </c>
      <c r="N4" s="4">
        <f ca="1"/>
        <v>-0.34</v>
      </c>
    </row>
    <row r="5" spans="1:14" x14ac:dyDescent="0.25">
      <c r="A5" s="2">
        <f t="shared" ref="A5:A27" si="0">A4+12</f>
        <v>26</v>
      </c>
      <c r="B5" s="4" t="str" cm="1">
        <f t="array" aca="1" ref="B5" ca="1">INDIRECT("Sheet1!A"&amp;$A5) &amp; "-" &amp; INDIRECT("Sheet1!B"&amp;$A5)</f>
        <v>22-26</v>
      </c>
      <c r="C5" s="4" cm="1">
        <f t="array" aca="1" ref="C5:N5" ca="1">ROUND(TRANSPOSE(INDIRECT("Sheet1!D"&amp;$A5&amp;":D"&amp;A5+11))*-1,2)</f>
        <v>-0.02</v>
      </c>
      <c r="D5" s="4">
        <f ca="1"/>
        <v>1.61</v>
      </c>
      <c r="E5" s="4">
        <f ca="1"/>
        <v>2.27</v>
      </c>
      <c r="F5" s="4">
        <f ca="1"/>
        <v>2.86</v>
      </c>
      <c r="G5" s="4">
        <f ca="1"/>
        <v>2.5499999999999998</v>
      </c>
      <c r="H5" s="4">
        <f ca="1"/>
        <v>-0.51</v>
      </c>
      <c r="I5" s="4">
        <f ca="1"/>
        <v>0.71</v>
      </c>
      <c r="J5" s="4">
        <f ca="1"/>
        <v>0.01</v>
      </c>
      <c r="K5" s="4">
        <f ca="1"/>
        <v>0</v>
      </c>
      <c r="L5" s="4">
        <f ca="1"/>
        <v>0</v>
      </c>
      <c r="M5" s="4">
        <f ca="1"/>
        <v>0</v>
      </c>
      <c r="N5" s="4">
        <f ca="1"/>
        <v>0.01</v>
      </c>
    </row>
    <row r="6" spans="1:14" x14ac:dyDescent="0.25">
      <c r="A6" s="2">
        <f t="shared" si="0"/>
        <v>38</v>
      </c>
      <c r="B6" s="4" t="str" cm="1">
        <f t="array" aca="1" ref="B6" ca="1">INDIRECT("Sheet1!A"&amp;$A6) &amp; "-" &amp; INDIRECT("Sheet1!B"&amp;$A6)</f>
        <v>24-28</v>
      </c>
      <c r="C6" s="4" cm="1">
        <f t="array" aca="1" ref="C6:N6" ca="1">ROUND(TRANSPOSE(INDIRECT("Sheet1!D"&amp;$A6&amp;":D"&amp;A6+11))*-1,2)</f>
        <v>0.68</v>
      </c>
      <c r="D6" s="4">
        <f ca="1"/>
        <v>1.24</v>
      </c>
      <c r="E6" s="4">
        <f ca="1"/>
        <v>1.41</v>
      </c>
      <c r="F6" s="4">
        <f ca="1"/>
        <v>2.89</v>
      </c>
      <c r="G6" s="4">
        <f ca="1"/>
        <v>1.9</v>
      </c>
      <c r="H6" s="4">
        <f ca="1"/>
        <v>-0.32</v>
      </c>
      <c r="I6" s="4">
        <f ca="1"/>
        <v>3.71</v>
      </c>
      <c r="J6" s="4">
        <f ca="1"/>
        <v>1.1599999999999999</v>
      </c>
      <c r="K6" s="4">
        <f ca="1"/>
        <v>0.63</v>
      </c>
      <c r="L6" s="4">
        <f ca="1"/>
        <v>0</v>
      </c>
      <c r="M6" s="4">
        <f ca="1"/>
        <v>0.63</v>
      </c>
      <c r="N6" s="4">
        <f ca="1"/>
        <v>0.93</v>
      </c>
    </row>
    <row r="7" spans="1:14" x14ac:dyDescent="0.25">
      <c r="A7" s="2">
        <f t="shared" si="0"/>
        <v>50</v>
      </c>
      <c r="B7" s="4" t="str" cm="1">
        <f t="array" aca="1" ref="B7" ca="1">INDIRECT("Sheet1!A"&amp;$A7) &amp; "-" &amp; INDIRECT("Sheet1!B"&amp;$A7)</f>
        <v>26-30</v>
      </c>
      <c r="C7" s="4" cm="1">
        <f t="array" aca="1" ref="C7:N7" ca="1">ROUND(TRANSPOSE(INDIRECT("Sheet1!D"&amp;$A7&amp;":D"&amp;A7+11))*-1,2)</f>
        <v>-0.46</v>
      </c>
      <c r="D7" s="4">
        <f ca="1"/>
        <v>0.57999999999999996</v>
      </c>
      <c r="E7" s="4">
        <f ca="1"/>
        <v>0.48</v>
      </c>
      <c r="F7" s="4">
        <f ca="1"/>
        <v>4.0199999999999996</v>
      </c>
      <c r="G7" s="4">
        <f ca="1"/>
        <v>1.31</v>
      </c>
      <c r="H7" s="4">
        <f ca="1"/>
        <v>-0.01</v>
      </c>
      <c r="I7" s="4">
        <f ca="1"/>
        <v>4.6500000000000004</v>
      </c>
      <c r="J7" s="4">
        <f ca="1"/>
        <v>0.39</v>
      </c>
      <c r="K7" s="4">
        <f ca="1"/>
        <v>-0.11</v>
      </c>
      <c r="L7" s="4">
        <f ca="1"/>
        <v>0</v>
      </c>
      <c r="M7" s="4">
        <f ca="1"/>
        <v>-0.11</v>
      </c>
      <c r="N7" s="4">
        <f ca="1"/>
        <v>-0.09</v>
      </c>
    </row>
    <row r="8" spans="1:14" x14ac:dyDescent="0.25">
      <c r="A8" s="2">
        <f t="shared" si="0"/>
        <v>62</v>
      </c>
      <c r="B8" s="4" t="str" cm="1">
        <f t="array" aca="1" ref="B8" ca="1">INDIRECT("Sheet1!A"&amp;$A8) &amp; "-" &amp; INDIRECT("Sheet1!B"&amp;$A8)</f>
        <v>28-32</v>
      </c>
      <c r="C8" s="4" cm="1">
        <f t="array" aca="1" ref="C8:N8" ca="1">ROUND(TRANSPOSE(INDIRECT("Sheet1!D"&amp;$A8&amp;":D"&amp;A8+11))*-1,2)</f>
        <v>0</v>
      </c>
      <c r="D8" s="4">
        <f ca="1"/>
        <v>0.55000000000000004</v>
      </c>
      <c r="E8" s="4">
        <f ca="1"/>
        <v>0.82</v>
      </c>
      <c r="F8" s="4">
        <f ca="1"/>
        <v>6.58</v>
      </c>
      <c r="G8" s="4">
        <f ca="1"/>
        <v>1.87</v>
      </c>
      <c r="H8" s="4">
        <f ca="1"/>
        <v>0</v>
      </c>
      <c r="I8" s="4">
        <f ca="1"/>
        <v>5.55</v>
      </c>
      <c r="J8" s="4">
        <f ca="1"/>
        <v>0.52</v>
      </c>
      <c r="K8" s="4">
        <f ca="1"/>
        <v>-7.0000000000000007E-2</v>
      </c>
      <c r="L8" s="4">
        <f ca="1"/>
        <v>0</v>
      </c>
      <c r="M8" s="4">
        <f ca="1"/>
        <v>-7.0000000000000007E-2</v>
      </c>
      <c r="N8" s="4">
        <f ca="1"/>
        <v>-0.04</v>
      </c>
    </row>
    <row r="9" spans="1:14" x14ac:dyDescent="0.25">
      <c r="A9" s="2">
        <f t="shared" si="0"/>
        <v>74</v>
      </c>
      <c r="B9" s="4" t="str" cm="1">
        <f t="array" aca="1" ref="B9" ca="1">INDIRECT("Sheet1!A"&amp;$A9) &amp; "-" &amp; INDIRECT("Sheet1!B"&amp;$A9)</f>
        <v>30-34</v>
      </c>
      <c r="C9" s="4" cm="1">
        <f t="array" aca="1" ref="C9:N9" ca="1">ROUND(TRANSPOSE(INDIRECT("Sheet1!D"&amp;$A9&amp;":D"&amp;A9+11))*-1,2)</f>
        <v>0.03</v>
      </c>
      <c r="D9" s="4">
        <f ca="1"/>
        <v>0.85</v>
      </c>
      <c r="E9" s="4">
        <f ca="1"/>
        <v>1.46</v>
      </c>
      <c r="F9" s="4">
        <f ca="1"/>
        <v>6.99</v>
      </c>
      <c r="G9" s="4">
        <f ca="1"/>
        <v>2.57</v>
      </c>
      <c r="H9" s="4">
        <f ca="1"/>
        <v>0</v>
      </c>
      <c r="I9" s="4">
        <f ca="1"/>
        <v>5.92</v>
      </c>
      <c r="J9" s="4">
        <f ca="1"/>
        <v>1.08</v>
      </c>
      <c r="K9" s="4">
        <f ca="1"/>
        <v>0.15</v>
      </c>
      <c r="L9" s="4">
        <f ca="1"/>
        <v>0</v>
      </c>
      <c r="M9" s="4">
        <f ca="1"/>
        <v>0.15</v>
      </c>
      <c r="N9" s="4">
        <f ca="1"/>
        <v>0.53</v>
      </c>
    </row>
    <row r="10" spans="1:14" x14ac:dyDescent="0.25">
      <c r="A10" s="2">
        <f t="shared" si="0"/>
        <v>86</v>
      </c>
      <c r="B10" s="4" t="str" cm="1">
        <f t="array" aca="1" ref="B10" ca="1">INDIRECT("Sheet1!A"&amp;$A10) &amp; "-" &amp; INDIRECT("Sheet1!B"&amp;$A10)</f>
        <v>32-36</v>
      </c>
      <c r="C10" s="4" cm="1">
        <f t="array" aca="1" ref="C10:N10" ca="1">ROUND(TRANSPOSE(INDIRECT("Sheet1!D"&amp;$A10&amp;":D"&amp;A10+11))*-1,2)</f>
        <v>-0.24</v>
      </c>
      <c r="D10" s="4">
        <f ca="1"/>
        <v>0.1</v>
      </c>
      <c r="E10" s="4">
        <f ca="1"/>
        <v>1.58</v>
      </c>
      <c r="F10" s="4">
        <f ca="1"/>
        <v>0.51</v>
      </c>
      <c r="G10" s="4">
        <f ca="1"/>
        <v>0.83</v>
      </c>
      <c r="H10" s="4">
        <f ca="1"/>
        <v>0.08</v>
      </c>
      <c r="I10" s="4">
        <f ca="1"/>
        <v>0.79</v>
      </c>
      <c r="J10" s="4">
        <f ca="1"/>
        <v>0.17</v>
      </c>
      <c r="K10" s="4">
        <f ca="1"/>
        <v>0.27</v>
      </c>
      <c r="L10" s="4">
        <f ca="1"/>
        <v>0</v>
      </c>
      <c r="M10" s="4">
        <f ca="1"/>
        <v>0.27</v>
      </c>
      <c r="N10" s="4">
        <f ca="1"/>
        <v>0.64</v>
      </c>
    </row>
    <row r="11" spans="1:14" x14ac:dyDescent="0.25">
      <c r="A11" s="2">
        <f t="shared" si="0"/>
        <v>98</v>
      </c>
      <c r="B11" s="4" t="str" cm="1">
        <f t="array" aca="1" ref="B11" ca="1">INDIRECT("Sheet1!A"&amp;$A11) &amp; "-" &amp; INDIRECT("Sheet1!B"&amp;$A11)</f>
        <v>34-38</v>
      </c>
      <c r="C11" s="4" cm="1">
        <f t="array" aca="1" ref="C11:N11" ca="1">ROUND(TRANSPOSE(INDIRECT("Sheet1!D"&amp;$A11&amp;":D"&amp;A11+11))*-1,2)</f>
        <v>0.34</v>
      </c>
      <c r="D11" s="4">
        <f ca="1"/>
        <v>0.6</v>
      </c>
      <c r="E11" s="4">
        <f ca="1"/>
        <v>2.06</v>
      </c>
      <c r="F11" s="4">
        <f ca="1"/>
        <v>0.28000000000000003</v>
      </c>
      <c r="G11" s="4">
        <f ca="1"/>
        <v>1.26</v>
      </c>
      <c r="H11" s="4">
        <f ca="1"/>
        <v>-0.01</v>
      </c>
      <c r="I11" s="4">
        <f ca="1"/>
        <v>1.0900000000000001</v>
      </c>
      <c r="J11" s="4">
        <f ca="1"/>
        <v>0.82</v>
      </c>
      <c r="K11" s="4">
        <f ca="1"/>
        <v>0.06</v>
      </c>
      <c r="L11" s="4">
        <f ca="1"/>
        <v>-0.08</v>
      </c>
      <c r="M11" s="4">
        <f ca="1"/>
        <v>0.09</v>
      </c>
      <c r="N11" s="4">
        <f ca="1"/>
        <v>0.06</v>
      </c>
    </row>
    <row r="12" spans="1:14" x14ac:dyDescent="0.25">
      <c r="A12" s="2">
        <f t="shared" si="0"/>
        <v>110</v>
      </c>
      <c r="B12" s="4" t="str" cm="1">
        <f t="array" aca="1" ref="B12" ca="1">INDIRECT("Sheet1!A"&amp;$A12) &amp; "-" &amp; INDIRECT("Sheet1!B"&amp;$A12)</f>
        <v>36-40</v>
      </c>
      <c r="C12" s="4" cm="1">
        <f t="array" aca="1" ref="C12:N12" ca="1">ROUND(TRANSPOSE(INDIRECT("Sheet1!D"&amp;$A12&amp;":D"&amp;A12+11))*-1,2)</f>
        <v>-0.01</v>
      </c>
      <c r="D12" s="4">
        <f ca="1"/>
        <v>0.74</v>
      </c>
      <c r="E12" s="4">
        <f ca="1"/>
        <v>1.35</v>
      </c>
      <c r="F12" s="4">
        <f ca="1"/>
        <v>0.14000000000000001</v>
      </c>
      <c r="G12" s="4">
        <f ca="1"/>
        <v>0.93</v>
      </c>
      <c r="H12" s="4">
        <f ca="1"/>
        <v>-0.05</v>
      </c>
      <c r="I12" s="4">
        <f ca="1"/>
        <v>0.73</v>
      </c>
      <c r="J12" s="4">
        <f ca="1"/>
        <v>0.68</v>
      </c>
      <c r="K12" s="4">
        <f ca="1"/>
        <v>0.03</v>
      </c>
      <c r="L12" s="4">
        <f ca="1"/>
        <v>-0.12</v>
      </c>
      <c r="M12" s="4">
        <f ca="1"/>
        <v>0.08</v>
      </c>
      <c r="N12" s="4">
        <f ca="1"/>
        <v>0</v>
      </c>
    </row>
    <row r="13" spans="1:14" x14ac:dyDescent="0.25">
      <c r="A13" s="2">
        <f t="shared" si="0"/>
        <v>122</v>
      </c>
      <c r="B13" s="4" t="str" cm="1">
        <f t="array" aca="1" ref="B13" ca="1">INDIRECT("Sheet1!A"&amp;$A13) &amp; "-" &amp; INDIRECT("Sheet1!B"&amp;$A13)</f>
        <v>38-42</v>
      </c>
      <c r="C13" s="4" cm="1">
        <f t="array" aca="1" ref="C13:N13" ca="1">ROUND(TRANSPOSE(INDIRECT("Sheet1!D"&amp;$A13&amp;":D"&amp;A13+11))*-1,2)</f>
        <v>-0.13</v>
      </c>
      <c r="D13" s="4">
        <f ca="1"/>
        <v>0.47</v>
      </c>
      <c r="E13" s="4">
        <f ca="1"/>
        <v>1.38</v>
      </c>
      <c r="F13" s="4">
        <f ca="1"/>
        <v>2.36</v>
      </c>
      <c r="G13" s="4">
        <f ca="1"/>
        <v>1.71</v>
      </c>
      <c r="H13" s="4">
        <f ca="1"/>
        <v>7.0000000000000007E-2</v>
      </c>
      <c r="I13" s="4">
        <f ca="1"/>
        <v>6.11</v>
      </c>
      <c r="J13" s="4">
        <f ca="1"/>
        <v>6.37</v>
      </c>
      <c r="K13" s="4">
        <f ca="1"/>
        <v>0</v>
      </c>
      <c r="L13" s="4">
        <f ca="1"/>
        <v>-0.14000000000000001</v>
      </c>
      <c r="M13" s="4">
        <f ca="1"/>
        <v>0.03</v>
      </c>
      <c r="N13" s="4">
        <f ca="1"/>
        <v>0</v>
      </c>
    </row>
    <row r="14" spans="1:14" x14ac:dyDescent="0.25">
      <c r="A14" s="2">
        <f t="shared" si="0"/>
        <v>134</v>
      </c>
      <c r="B14" s="4" t="str" cm="1">
        <f t="array" aca="1" ref="B14" ca="1">INDIRECT("Sheet1!A"&amp;$A14) &amp; "-" &amp; INDIRECT("Sheet1!B"&amp;$A14)</f>
        <v>40-44</v>
      </c>
      <c r="C14" s="4" cm="1">
        <f t="array" aca="1" ref="C14:N14" ca="1">ROUND(TRANSPOSE(INDIRECT("Sheet1!D"&amp;$A14&amp;":D"&amp;A14+11))*-1,2)</f>
        <v>0.05</v>
      </c>
      <c r="D14" s="4">
        <f ca="1"/>
        <v>0.71</v>
      </c>
      <c r="E14" s="4">
        <f ca="1"/>
        <v>1.23</v>
      </c>
      <c r="F14" s="4">
        <f ca="1"/>
        <v>10.91</v>
      </c>
      <c r="G14" s="4">
        <f ca="1"/>
        <v>2.1800000000000002</v>
      </c>
      <c r="H14" s="4">
        <f ca="1"/>
        <v>0.06</v>
      </c>
      <c r="I14" s="4">
        <f ca="1"/>
        <v>14.58</v>
      </c>
      <c r="J14" s="4">
        <f ca="1"/>
        <v>4.57</v>
      </c>
      <c r="K14" s="4">
        <f ca="1"/>
        <v>-0.39</v>
      </c>
      <c r="L14" s="4">
        <f ca="1"/>
        <v>-22.42</v>
      </c>
      <c r="M14" s="4">
        <f ca="1"/>
        <v>-0.25</v>
      </c>
      <c r="N14" s="4">
        <f ca="1"/>
        <v>-0.37</v>
      </c>
    </row>
    <row r="15" spans="1:14" x14ac:dyDescent="0.25">
      <c r="A15" s="2">
        <f t="shared" si="0"/>
        <v>146</v>
      </c>
      <c r="B15" s="4" t="str" cm="1">
        <f t="array" aca="1" ref="B15" ca="1">INDIRECT("Sheet1!A"&amp;$A15) &amp; "-" &amp; INDIRECT("Sheet1!B"&amp;$A15)</f>
        <v>42-46</v>
      </c>
      <c r="C15" s="4" cm="1">
        <f t="array" aca="1" ref="C15:N15" ca="1">ROUND(TRANSPOSE(INDIRECT("Sheet1!D"&amp;$A15&amp;":D"&amp;A15+11))*-1,2)</f>
        <v>-0.21</v>
      </c>
      <c r="D15" s="4">
        <f ca="1"/>
        <v>0.55000000000000004</v>
      </c>
      <c r="E15" s="4">
        <f ca="1"/>
        <v>2.4900000000000002</v>
      </c>
      <c r="F15" s="4">
        <f ca="1"/>
        <v>11.18</v>
      </c>
      <c r="G15" s="4">
        <f ca="1"/>
        <v>3.05</v>
      </c>
      <c r="H15" s="4">
        <f ca="1"/>
        <v>0.13</v>
      </c>
      <c r="I15" s="4">
        <f ca="1"/>
        <v>12.97</v>
      </c>
      <c r="J15" s="4">
        <f ca="1"/>
        <v>4.05</v>
      </c>
      <c r="K15" s="4">
        <f ca="1"/>
        <v>-0.18</v>
      </c>
      <c r="L15" s="4">
        <f ca="1"/>
        <v>-0.17</v>
      </c>
      <c r="M15" s="4">
        <f ca="1"/>
        <v>-0.02</v>
      </c>
      <c r="N15" s="4">
        <f ca="1"/>
        <v>-0.19</v>
      </c>
    </row>
    <row r="16" spans="1:14" x14ac:dyDescent="0.25">
      <c r="A16" s="2">
        <f t="shared" si="0"/>
        <v>158</v>
      </c>
      <c r="B16" s="4" t="str" cm="1">
        <f t="array" aca="1" ref="B16" ca="1">INDIRECT("Sheet1!A"&amp;$A16) &amp; "-" &amp; INDIRECT("Sheet1!B"&amp;$A16)</f>
        <v>44-48</v>
      </c>
      <c r="C16" s="4" cm="1">
        <f t="array" aca="1" ref="C16:N16" ca="1">ROUND(TRANSPOSE(INDIRECT("Sheet1!D"&amp;$A16&amp;":D"&amp;A16+11))*-1,2)</f>
        <v>0.13</v>
      </c>
      <c r="D16" s="4">
        <f ca="1"/>
        <v>0</v>
      </c>
      <c r="E16" s="4">
        <f ca="1"/>
        <v>0.34</v>
      </c>
      <c r="F16" s="4">
        <f ca="1"/>
        <v>2.39</v>
      </c>
      <c r="G16" s="4">
        <f ca="1"/>
        <v>0.45</v>
      </c>
      <c r="H16" s="4">
        <f ca="1"/>
        <v>1.06</v>
      </c>
      <c r="I16" s="4">
        <f ca="1"/>
        <v>4.04</v>
      </c>
      <c r="J16" s="4">
        <f ca="1"/>
        <v>4.21</v>
      </c>
      <c r="K16" s="4">
        <f ca="1"/>
        <v>0</v>
      </c>
      <c r="L16" s="4">
        <f ca="1"/>
        <v>-0.08</v>
      </c>
      <c r="M16" s="4">
        <f ca="1"/>
        <v>0.02</v>
      </c>
      <c r="N16" s="4">
        <f ca="1"/>
        <v>0.01</v>
      </c>
    </row>
    <row r="17" spans="1:14" x14ac:dyDescent="0.25">
      <c r="A17" s="2">
        <f t="shared" si="0"/>
        <v>170</v>
      </c>
      <c r="B17" s="4" t="str" cm="1">
        <f t="array" aca="1" ref="B17" ca="1">INDIRECT("Sheet1!A"&amp;$A17) &amp; "-" &amp; INDIRECT("Sheet1!B"&amp;$A17)</f>
        <v>46-50</v>
      </c>
      <c r="C17" s="4" cm="1">
        <f t="array" aca="1" ref="C17:N17" ca="1">ROUND(TRANSPOSE(INDIRECT("Sheet1!D"&amp;$A17&amp;":D"&amp;A17+11))*-1,2)</f>
        <v>0.34</v>
      </c>
      <c r="D17" s="4">
        <f ca="1"/>
        <v>0.15</v>
      </c>
      <c r="E17" s="4">
        <f ca="1"/>
        <v>0.66</v>
      </c>
      <c r="F17" s="4">
        <f ca="1"/>
        <v>3.73</v>
      </c>
      <c r="G17" s="4">
        <f ca="1"/>
        <v>1.02</v>
      </c>
      <c r="H17" s="4">
        <f ca="1"/>
        <v>0.38</v>
      </c>
      <c r="I17" s="4">
        <f ca="1"/>
        <v>3.14</v>
      </c>
      <c r="J17" s="4">
        <f ca="1"/>
        <v>0.35</v>
      </c>
      <c r="K17" s="4">
        <f ca="1"/>
        <v>0.81</v>
      </c>
      <c r="L17" s="4">
        <f ca="1"/>
        <v>-0.06</v>
      </c>
      <c r="M17" s="4">
        <f ca="1"/>
        <v>1</v>
      </c>
      <c r="N17" s="4">
        <f ca="1"/>
        <v>0.54</v>
      </c>
    </row>
    <row r="18" spans="1:14" x14ac:dyDescent="0.25">
      <c r="A18" s="2">
        <f t="shared" si="0"/>
        <v>182</v>
      </c>
      <c r="B18" s="4" t="str" cm="1">
        <f t="array" aca="1" ref="B18" ca="1">INDIRECT("Sheet1!A"&amp;$A18) &amp; "-" &amp; INDIRECT("Sheet1!B"&amp;$A18)</f>
        <v>48-52</v>
      </c>
      <c r="C18" s="4" cm="1">
        <f t="array" aca="1" ref="C18:N18" ca="1">ROUND(TRANSPOSE(INDIRECT("Sheet1!D"&amp;$A18&amp;":D"&amp;A18+11))*-1,2)</f>
        <v>-0.03</v>
      </c>
      <c r="D18" s="4">
        <f ca="1"/>
        <v>1.32</v>
      </c>
      <c r="E18" s="4">
        <f ca="1"/>
        <v>1.6</v>
      </c>
      <c r="F18" s="4">
        <f ca="1"/>
        <v>8.77</v>
      </c>
      <c r="G18" s="4">
        <f ca="1"/>
        <v>3.03</v>
      </c>
      <c r="H18" s="4">
        <f ca="1"/>
        <v>0.02</v>
      </c>
      <c r="I18" s="4">
        <f ca="1"/>
        <v>4.0199999999999996</v>
      </c>
      <c r="J18" s="4">
        <f ca="1"/>
        <v>0.06</v>
      </c>
      <c r="K18" s="4">
        <f ca="1"/>
        <v>0.26</v>
      </c>
      <c r="L18" s="4">
        <f ca="1"/>
        <v>-0.05</v>
      </c>
      <c r="M18" s="4">
        <f ca="1"/>
        <v>0.28000000000000003</v>
      </c>
      <c r="N18" s="4">
        <f ca="1"/>
        <v>0.28000000000000003</v>
      </c>
    </row>
    <row r="19" spans="1:14" x14ac:dyDescent="0.25">
      <c r="A19" s="2">
        <f t="shared" si="0"/>
        <v>194</v>
      </c>
      <c r="B19" s="4" t="str" cm="1">
        <f t="array" aca="1" ref="B19" ca="1">INDIRECT("Sheet1!A"&amp;$A19) &amp; "-" &amp; INDIRECT("Sheet1!B"&amp;$A19)</f>
        <v>50-54</v>
      </c>
      <c r="C19" s="4" cm="1">
        <f t="array" aca="1" ref="C19:N19" ca="1">ROUND(TRANSPOSE(INDIRECT("Sheet1!D"&amp;$A19&amp;":D"&amp;A19+11))*-1,2)</f>
        <v>-0.33</v>
      </c>
      <c r="D19" s="4">
        <f ca="1"/>
        <v>0.69</v>
      </c>
      <c r="E19" s="4">
        <f ca="1"/>
        <v>1.06</v>
      </c>
      <c r="F19" s="4">
        <f ca="1"/>
        <v>5.22</v>
      </c>
      <c r="G19" s="4">
        <f ca="1"/>
        <v>1.75</v>
      </c>
      <c r="H19" s="4">
        <f ca="1"/>
        <v>0.05</v>
      </c>
      <c r="I19" s="4">
        <f ca="1"/>
        <v>1.41</v>
      </c>
      <c r="J19" s="4">
        <f ca="1"/>
        <v>-0.1</v>
      </c>
      <c r="K19" s="4">
        <f ca="1"/>
        <v>0.02</v>
      </c>
      <c r="L19" s="4">
        <f ca="1"/>
        <v>-0.05</v>
      </c>
      <c r="M19" s="4">
        <f ca="1"/>
        <v>0.04</v>
      </c>
      <c r="N19" s="4">
        <f ca="1"/>
        <v>0</v>
      </c>
    </row>
    <row r="20" spans="1:14" x14ac:dyDescent="0.25">
      <c r="A20" s="2">
        <f t="shared" si="0"/>
        <v>206</v>
      </c>
      <c r="B20" s="4" t="str" cm="1">
        <f t="array" aca="1" ref="B20" ca="1">INDIRECT("Sheet1!A"&amp;$A20) &amp; "-" &amp; INDIRECT("Sheet1!B"&amp;$A20)</f>
        <v>52-56</v>
      </c>
      <c r="C20" s="4" cm="1">
        <f t="array" aca="1" ref="C20:N20" ca="1">ROUND(TRANSPOSE(INDIRECT("Sheet1!D"&amp;$A20&amp;":D"&amp;A20+11))*-1,2)</f>
        <v>0.13</v>
      </c>
      <c r="D20" s="4">
        <f ca="1"/>
        <v>0.11</v>
      </c>
      <c r="E20" s="4">
        <f ca="1"/>
        <v>2.42</v>
      </c>
      <c r="F20" s="4">
        <f ca="1"/>
        <v>6.22</v>
      </c>
      <c r="G20" s="4">
        <f ca="1"/>
        <v>1.96</v>
      </c>
      <c r="H20" s="4">
        <f ca="1"/>
        <v>0.68</v>
      </c>
      <c r="I20" s="4">
        <f ca="1"/>
        <v>2.5499999999999998</v>
      </c>
      <c r="J20" s="4">
        <f ca="1"/>
        <v>0.01</v>
      </c>
      <c r="K20" s="4">
        <f ca="1"/>
        <v>-0.1</v>
      </c>
      <c r="L20" s="4">
        <f ca="1"/>
        <v>-0.26</v>
      </c>
      <c r="M20" s="4">
        <f ca="1"/>
        <v>-0.01</v>
      </c>
      <c r="N20" s="4">
        <f ca="1"/>
        <v>-0.27</v>
      </c>
    </row>
    <row r="21" spans="1:14" x14ac:dyDescent="0.25">
      <c r="A21" s="2">
        <f t="shared" si="0"/>
        <v>218</v>
      </c>
      <c r="B21" s="4" t="str" cm="1">
        <f t="array" aca="1" ref="B21" ca="1">INDIRECT("Sheet1!A"&amp;$A21) &amp; "-" &amp; INDIRECT("Sheet1!B"&amp;$A21)</f>
        <v>54-58</v>
      </c>
      <c r="C21" s="4" cm="1">
        <f t="array" aca="1" ref="C21:N21" ca="1">ROUND(TRANSPOSE(INDIRECT("Sheet1!D"&amp;$A21&amp;":D"&amp;A21+11))*-1,2)</f>
        <v>0.14000000000000001</v>
      </c>
      <c r="D21" s="4">
        <f ca="1"/>
        <v>0</v>
      </c>
      <c r="E21" s="4">
        <f ca="1"/>
        <v>2.02</v>
      </c>
      <c r="F21" s="4">
        <f ca="1"/>
        <v>4.5999999999999996</v>
      </c>
      <c r="G21" s="4">
        <f ca="1"/>
        <v>1.25</v>
      </c>
      <c r="H21" s="4">
        <f ca="1"/>
        <v>2.09</v>
      </c>
      <c r="I21" s="4">
        <f ca="1"/>
        <v>2.2000000000000002</v>
      </c>
      <c r="J21" s="4">
        <f ca="1"/>
        <v>0</v>
      </c>
      <c r="K21" s="4">
        <f ca="1"/>
        <v>0.04</v>
      </c>
      <c r="L21" s="4">
        <f ca="1"/>
        <v>-0.37</v>
      </c>
      <c r="M21" s="4">
        <f ca="1"/>
        <v>0.2</v>
      </c>
      <c r="N21" s="4">
        <f ca="1"/>
        <v>-0.01</v>
      </c>
    </row>
    <row r="22" spans="1:14" x14ac:dyDescent="0.25">
      <c r="A22" s="2">
        <f t="shared" si="0"/>
        <v>230</v>
      </c>
      <c r="B22" s="4" t="str" cm="1">
        <f t="array" aca="1" ref="B22" ca="1">INDIRECT("Sheet1!A"&amp;$A22) &amp; "-" &amp; INDIRECT("Sheet1!B"&amp;$A22)</f>
        <v>56-60</v>
      </c>
      <c r="C22" s="4" cm="1">
        <f t="array" aca="1" ref="C22:N22" ca="1">ROUND(TRANSPOSE(INDIRECT("Sheet1!D"&amp;$A22&amp;":D"&amp;A22+11))*-1,2)</f>
        <v>0.02</v>
      </c>
      <c r="D22" s="4">
        <f ca="1"/>
        <v>0</v>
      </c>
      <c r="E22" s="4">
        <f ca="1"/>
        <v>2.04</v>
      </c>
      <c r="F22" s="4">
        <f ca="1"/>
        <v>4.75</v>
      </c>
      <c r="G22" s="4">
        <f ca="1"/>
        <v>1.69</v>
      </c>
      <c r="H22" s="4">
        <f ca="1"/>
        <v>1.97</v>
      </c>
      <c r="I22" s="4">
        <f ca="1"/>
        <v>2.2000000000000002</v>
      </c>
      <c r="J22" s="4">
        <f ca="1"/>
        <v>-0.01</v>
      </c>
      <c r="K22" s="4">
        <f ca="1"/>
        <v>0.11</v>
      </c>
      <c r="L22" s="4">
        <f ca="1"/>
        <v>-0.17</v>
      </c>
      <c r="M22" s="4">
        <f ca="1"/>
        <v>0.24</v>
      </c>
      <c r="N22" s="4">
        <f ca="1"/>
        <v>0.02</v>
      </c>
    </row>
    <row r="23" spans="1:14" x14ac:dyDescent="0.25">
      <c r="A23" s="2">
        <f t="shared" si="0"/>
        <v>242</v>
      </c>
      <c r="B23" s="4" t="str" cm="1">
        <f t="array" aca="1" ref="B23" ca="1">INDIRECT("Sheet1!A"&amp;$A23) &amp; "-" &amp; INDIRECT("Sheet1!B"&amp;$A23)</f>
        <v>58-62</v>
      </c>
      <c r="C23" s="4" cm="1">
        <f t="array" aca="1" ref="C23:N23" ca="1">ROUND(TRANSPOSE(INDIRECT("Sheet1!D"&amp;$A23&amp;":D"&amp;A23+11))*-1,2)</f>
        <v>-0.08</v>
      </c>
      <c r="D23" s="4">
        <f ca="1"/>
        <v>0.03</v>
      </c>
      <c r="E23" s="4">
        <f ca="1"/>
        <v>2.0299999999999998</v>
      </c>
      <c r="F23" s="4">
        <f ca="1"/>
        <v>3.96</v>
      </c>
      <c r="G23" s="4">
        <f ca="1"/>
        <v>1.66</v>
      </c>
      <c r="H23" s="4">
        <f ca="1"/>
        <v>1.46</v>
      </c>
      <c r="I23" s="4">
        <f ca="1"/>
        <v>2.15</v>
      </c>
      <c r="J23" s="4">
        <f ca="1"/>
        <v>0</v>
      </c>
      <c r="K23" s="4">
        <f ca="1"/>
        <v>0</v>
      </c>
      <c r="L23" s="4">
        <f ca="1"/>
        <v>0</v>
      </c>
      <c r="M23" s="4">
        <f ca="1"/>
        <v>0</v>
      </c>
      <c r="N23" s="4">
        <f ca="1"/>
        <v>-0.02</v>
      </c>
    </row>
    <row r="24" spans="1:14" x14ac:dyDescent="0.25">
      <c r="A24" s="2">
        <f t="shared" si="0"/>
        <v>254</v>
      </c>
      <c r="B24" s="4" t="str" cm="1">
        <f t="array" aca="1" ref="B24" ca="1">INDIRECT("Sheet1!A"&amp;$A24) &amp; "-" &amp; INDIRECT("Sheet1!B"&amp;$A24)</f>
        <v>60-64</v>
      </c>
      <c r="C24" s="4" cm="1">
        <f t="array" aca="1" ref="C24:N24" ca="1">ROUND(TRANSPOSE(INDIRECT("Sheet1!D"&amp;$A24&amp;":D"&amp;A24+11))*-1,2)</f>
        <v>-0.25</v>
      </c>
      <c r="D24" s="4">
        <f ca="1"/>
        <v>-0.01</v>
      </c>
      <c r="E24" s="4">
        <f ca="1"/>
        <v>0.83</v>
      </c>
      <c r="F24" s="4">
        <f ca="1"/>
        <v>2.27</v>
      </c>
      <c r="G24" s="4">
        <f ca="1"/>
        <v>0.72</v>
      </c>
      <c r="H24" s="4">
        <f ca="1"/>
        <v>1.92</v>
      </c>
      <c r="I24" s="4">
        <f ca="1"/>
        <v>1.89</v>
      </c>
      <c r="J24" s="4">
        <f ca="1"/>
        <v>0.36</v>
      </c>
      <c r="K24" s="4">
        <f ca="1"/>
        <v>-0.45</v>
      </c>
      <c r="L24" s="4">
        <f ca="1"/>
        <v>0</v>
      </c>
      <c r="M24" s="4">
        <f ca="1"/>
        <v>-0.45</v>
      </c>
      <c r="N24" s="4">
        <f ca="1"/>
        <v>-0.48</v>
      </c>
    </row>
    <row r="25" spans="1:14" x14ac:dyDescent="0.25">
      <c r="A25" s="2">
        <f t="shared" si="0"/>
        <v>266</v>
      </c>
      <c r="B25" s="4" t="str" cm="1">
        <f t="array" aca="1" ref="B25" ca="1">INDIRECT("Sheet1!A"&amp;$A25) &amp; "-" &amp; INDIRECT("Sheet1!B"&amp;$A25)</f>
        <v>62-66</v>
      </c>
      <c r="C25" s="4" cm="1">
        <f t="array" aca="1" ref="C25:N25" ca="1">ROUND(TRANSPOSE(INDIRECT("Sheet1!D"&amp;$A25&amp;":D"&amp;A25+11))*-1,2)</f>
        <v>0.31</v>
      </c>
      <c r="D25" s="4">
        <f ca="1"/>
        <v>0</v>
      </c>
      <c r="E25" s="4">
        <f ca="1"/>
        <v>0.1</v>
      </c>
      <c r="F25" s="4">
        <f ca="1"/>
        <v>0.49</v>
      </c>
      <c r="G25" s="4">
        <f ca="1"/>
        <v>0.14000000000000001</v>
      </c>
      <c r="H25" s="4">
        <f ca="1"/>
        <v>0.51</v>
      </c>
      <c r="I25" s="4">
        <f ca="1"/>
        <v>0.52</v>
      </c>
      <c r="J25" s="4">
        <f ca="1"/>
        <v>0.34</v>
      </c>
      <c r="K25" s="4">
        <f ca="1"/>
        <v>-0.04</v>
      </c>
      <c r="L25" s="4">
        <f ca="1"/>
        <v>0</v>
      </c>
      <c r="M25" s="4">
        <f ca="1"/>
        <v>-0.04</v>
      </c>
      <c r="N25" s="4">
        <f ca="1"/>
        <v>-0.04</v>
      </c>
    </row>
    <row r="26" spans="1:14" x14ac:dyDescent="0.25">
      <c r="A26" s="2">
        <f t="shared" si="0"/>
        <v>278</v>
      </c>
      <c r="B26" s="4" t="str" cm="1">
        <f t="array" aca="1" ref="B26" ca="1">INDIRECT("Sheet1!A"&amp;$A26) &amp; "-" &amp; INDIRECT("Sheet1!B"&amp;$A26)</f>
        <v>64-68</v>
      </c>
      <c r="C26" s="4" cm="1">
        <f t="array" aca="1" ref="C26:N26" ca="1">ROUND(TRANSPOSE(INDIRECT("Sheet1!D"&amp;$A26&amp;":D"&amp;A26+11))*-1,2)</f>
        <v>0.15</v>
      </c>
      <c r="D26" s="4">
        <f ca="1"/>
        <v>0.03</v>
      </c>
      <c r="E26" s="4">
        <f ca="1"/>
        <v>0</v>
      </c>
      <c r="F26" s="4">
        <f ca="1"/>
        <v>0.51</v>
      </c>
      <c r="G26" s="4">
        <f ca="1"/>
        <v>7.0000000000000007E-2</v>
      </c>
      <c r="H26" s="4">
        <f ca="1"/>
        <v>0.13</v>
      </c>
      <c r="I26" s="4">
        <f ca="1"/>
        <v>0.23</v>
      </c>
      <c r="J26" s="4">
        <f ca="1"/>
        <v>0.01</v>
      </c>
      <c r="K26" s="4">
        <f ca="1"/>
        <v>0</v>
      </c>
      <c r="L26" s="4">
        <f ca="1"/>
        <v>-7.0000000000000007E-2</v>
      </c>
      <c r="M26" s="4">
        <f ca="1"/>
        <v>0.01</v>
      </c>
      <c r="N26" s="4">
        <f ca="1"/>
        <v>-0.01</v>
      </c>
    </row>
    <row r="27" spans="1:14" x14ac:dyDescent="0.25">
      <c r="A27" s="2">
        <f t="shared" si="0"/>
        <v>290</v>
      </c>
      <c r="B27" s="4" t="str" cm="1">
        <f t="array" aca="1" ref="B27" ca="1">INDIRECT("Sheet1!A"&amp;$A27) &amp; "-" &amp; INDIRECT("Sheet1!B"&amp;$A27)</f>
        <v>66-70</v>
      </c>
      <c r="C27" s="4" cm="1">
        <f t="array" aca="1" ref="C27:N27" ca="1">ROUND(TRANSPOSE(INDIRECT("Sheet1!D"&amp;$A27&amp;":D"&amp;A27+11))*-1,2)</f>
        <v>-0.05</v>
      </c>
      <c r="D27" s="4">
        <f ca="1"/>
        <v>0.01</v>
      </c>
      <c r="E27" s="4">
        <f ca="1"/>
        <v>0.02</v>
      </c>
      <c r="F27" s="4">
        <f ca="1"/>
        <v>0.96</v>
      </c>
      <c r="G27" s="4">
        <f ca="1"/>
        <v>0.12</v>
      </c>
      <c r="H27" s="4">
        <f ca="1"/>
        <v>0.61</v>
      </c>
      <c r="I27" s="4">
        <f ca="1"/>
        <v>0.36</v>
      </c>
      <c r="J27" s="4">
        <f ca="1"/>
        <v>0</v>
      </c>
      <c r="K27" s="4">
        <f ca="1"/>
        <v>0.24</v>
      </c>
      <c r="L27" s="4">
        <f ca="1"/>
        <v>-0.38</v>
      </c>
      <c r="M27" s="4">
        <f ca="1"/>
        <v>0.44</v>
      </c>
      <c r="N27" s="4">
        <f ca="1"/>
        <v>0.02</v>
      </c>
    </row>
    <row r="28" spans="1:14" x14ac:dyDescent="0.25">
      <c r="A28" s="2">
        <f t="shared" ref="A28:A31" si="1">A27+12</f>
        <v>302</v>
      </c>
      <c r="B28" s="4" t="str" cm="1">
        <f t="array" aca="1" ref="B28" ca="1">INDIRECT("Sheet1!A"&amp;$A28) &amp; "-" &amp; INDIRECT("Sheet1!B"&amp;$A28)</f>
        <v>68-72</v>
      </c>
      <c r="C28" s="4" cm="1">
        <f t="array" aca="1" ref="C28:N28" ca="1">ROUND(TRANSPOSE(INDIRECT("Sheet1!D"&amp;$A28&amp;":D"&amp;A28+11))*-1,2)</f>
        <v>-3.61</v>
      </c>
      <c r="D28" s="4">
        <f ca="1"/>
        <v>0.04</v>
      </c>
      <c r="E28" s="4">
        <f ca="1"/>
        <v>0</v>
      </c>
      <c r="F28" s="4">
        <f ca="1"/>
        <v>1.01</v>
      </c>
      <c r="G28" s="4">
        <f ca="1"/>
        <v>0.12</v>
      </c>
      <c r="H28" s="4">
        <f ca="1"/>
        <v>0.26</v>
      </c>
      <c r="I28" s="4">
        <f ca="1"/>
        <v>0.36</v>
      </c>
      <c r="J28" s="4">
        <f ca="1"/>
        <v>0.01</v>
      </c>
      <c r="K28" s="4">
        <f ca="1"/>
        <v>0.08</v>
      </c>
      <c r="L28" s="4">
        <f ca="1"/>
        <v>-0.96</v>
      </c>
      <c r="M28" s="4">
        <f ca="1"/>
        <v>2.0299999999999998</v>
      </c>
      <c r="N28" s="4">
        <f ca="1"/>
        <v>-0.06</v>
      </c>
    </row>
  </sheetData>
  <conditionalFormatting sqref="C3:N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692A-72F6-409A-A9E4-F37751F4C336}">
  <dimension ref="A1:GR29"/>
  <sheetViews>
    <sheetView workbookViewId="0">
      <selection activeCell="C27" sqref="C27"/>
    </sheetView>
  </sheetViews>
  <sheetFormatPr defaultRowHeight="15" x14ac:dyDescent="0.25"/>
  <cols>
    <col min="1" max="1" width="22.28515625" bestFit="1" customWidth="1"/>
  </cols>
  <sheetData>
    <row r="1" spans="1:200" x14ac:dyDescent="0.25">
      <c r="A1" t="s">
        <v>25</v>
      </c>
      <c r="B1">
        <v>1</v>
      </c>
      <c r="C1" t="s">
        <v>26</v>
      </c>
      <c r="D1">
        <v>1</v>
      </c>
      <c r="E1" t="s">
        <v>27</v>
      </c>
      <c r="F1">
        <v>1</v>
      </c>
      <c r="G1" t="s">
        <v>28</v>
      </c>
      <c r="H1">
        <v>1</v>
      </c>
      <c r="I1" t="s">
        <v>29</v>
      </c>
      <c r="J1">
        <v>1</v>
      </c>
      <c r="K1" t="s">
        <v>30</v>
      </c>
      <c r="L1">
        <v>1</v>
      </c>
      <c r="M1" t="s">
        <v>31</v>
      </c>
      <c r="N1">
        <v>1</v>
      </c>
      <c r="O1" t="s">
        <v>32</v>
      </c>
      <c r="P1">
        <v>1</v>
      </c>
      <c r="Q1" t="s">
        <v>33</v>
      </c>
      <c r="R1">
        <v>1</v>
      </c>
      <c r="S1" t="s">
        <v>34</v>
      </c>
      <c r="T1">
        <v>1</v>
      </c>
      <c r="U1" t="s">
        <v>35</v>
      </c>
      <c r="V1">
        <v>1</v>
      </c>
      <c r="W1" t="s">
        <v>36</v>
      </c>
      <c r="X1">
        <v>1</v>
      </c>
      <c r="Y1" t="s">
        <v>37</v>
      </c>
      <c r="Z1">
        <v>1</v>
      </c>
      <c r="AA1" t="s">
        <v>38</v>
      </c>
      <c r="AB1">
        <v>1</v>
      </c>
      <c r="AC1" t="s">
        <v>39</v>
      </c>
      <c r="AD1">
        <v>1</v>
      </c>
      <c r="AE1" t="s">
        <v>40</v>
      </c>
      <c r="AF1">
        <v>1</v>
      </c>
      <c r="AG1" t="s">
        <v>41</v>
      </c>
      <c r="AH1">
        <v>1</v>
      </c>
      <c r="AI1" t="s">
        <v>42</v>
      </c>
      <c r="AJ1">
        <v>1</v>
      </c>
      <c r="AK1" t="s">
        <v>43</v>
      </c>
      <c r="AL1">
        <v>1</v>
      </c>
      <c r="AM1" t="s">
        <v>44</v>
      </c>
      <c r="AN1">
        <v>1</v>
      </c>
      <c r="AO1" t="s">
        <v>45</v>
      </c>
      <c r="AP1">
        <v>1</v>
      </c>
      <c r="AQ1" t="s">
        <v>46</v>
      </c>
      <c r="AR1">
        <v>1</v>
      </c>
      <c r="AS1" t="s">
        <v>47</v>
      </c>
      <c r="AT1">
        <v>1</v>
      </c>
      <c r="AU1" t="s">
        <v>48</v>
      </c>
      <c r="AV1">
        <v>1</v>
      </c>
      <c r="AW1" t="s">
        <v>49</v>
      </c>
      <c r="AX1">
        <v>1</v>
      </c>
      <c r="AY1" t="s">
        <v>50</v>
      </c>
      <c r="AZ1">
        <v>1</v>
      </c>
      <c r="BA1" t="s">
        <v>51</v>
      </c>
      <c r="BB1">
        <v>1</v>
      </c>
      <c r="BC1" t="s">
        <v>52</v>
      </c>
      <c r="BD1">
        <v>1</v>
      </c>
      <c r="BE1" t="s">
        <v>53</v>
      </c>
      <c r="BF1">
        <v>1</v>
      </c>
      <c r="BG1" t="s">
        <v>54</v>
      </c>
      <c r="BH1">
        <v>1</v>
      </c>
      <c r="BI1" t="s">
        <v>55</v>
      </c>
      <c r="BJ1">
        <v>1</v>
      </c>
      <c r="BK1" t="s">
        <v>56</v>
      </c>
      <c r="BL1">
        <v>1</v>
      </c>
      <c r="BM1" t="s">
        <v>57</v>
      </c>
      <c r="BN1">
        <v>1</v>
      </c>
      <c r="BO1" t="s">
        <v>58</v>
      </c>
      <c r="BP1">
        <v>1</v>
      </c>
      <c r="BQ1" t="s">
        <v>59</v>
      </c>
      <c r="BR1">
        <v>1</v>
      </c>
      <c r="BS1" t="s">
        <v>60</v>
      </c>
      <c r="BT1">
        <v>1</v>
      </c>
      <c r="BU1" t="s">
        <v>61</v>
      </c>
      <c r="BV1">
        <v>1</v>
      </c>
      <c r="BW1" t="s">
        <v>62</v>
      </c>
      <c r="BX1">
        <v>1</v>
      </c>
      <c r="BY1" t="s">
        <v>63</v>
      </c>
      <c r="BZ1">
        <v>1</v>
      </c>
      <c r="CA1" t="s">
        <v>64</v>
      </c>
      <c r="CB1">
        <v>1</v>
      </c>
      <c r="CC1" t="s">
        <v>65</v>
      </c>
      <c r="CD1">
        <v>1</v>
      </c>
      <c r="CE1" t="s">
        <v>66</v>
      </c>
      <c r="CF1">
        <v>1</v>
      </c>
      <c r="CG1" t="s">
        <v>67</v>
      </c>
      <c r="CH1">
        <v>1</v>
      </c>
      <c r="CI1" t="s">
        <v>68</v>
      </c>
      <c r="CJ1">
        <v>1</v>
      </c>
      <c r="CK1" t="s">
        <v>69</v>
      </c>
      <c r="CL1">
        <v>1</v>
      </c>
      <c r="CM1" t="s">
        <v>70</v>
      </c>
      <c r="CN1">
        <v>1</v>
      </c>
      <c r="CO1" t="s">
        <v>71</v>
      </c>
      <c r="CP1">
        <v>1</v>
      </c>
      <c r="CQ1" t="s">
        <v>72</v>
      </c>
      <c r="CR1">
        <v>1</v>
      </c>
      <c r="CS1" t="s">
        <v>73</v>
      </c>
      <c r="CT1">
        <v>1</v>
      </c>
      <c r="CU1" t="s">
        <v>74</v>
      </c>
      <c r="CV1">
        <v>1</v>
      </c>
      <c r="CW1" t="s">
        <v>75</v>
      </c>
      <c r="CX1">
        <v>1</v>
      </c>
      <c r="CY1" t="s">
        <v>76</v>
      </c>
      <c r="CZ1">
        <v>1</v>
      </c>
      <c r="DA1" t="s">
        <v>77</v>
      </c>
      <c r="DB1">
        <v>1</v>
      </c>
      <c r="DC1" t="s">
        <v>78</v>
      </c>
      <c r="DD1">
        <v>1</v>
      </c>
      <c r="DE1" t="s">
        <v>79</v>
      </c>
      <c r="DF1">
        <v>1</v>
      </c>
      <c r="DG1" t="s">
        <v>80</v>
      </c>
      <c r="DH1">
        <v>1</v>
      </c>
      <c r="DI1" t="s">
        <v>81</v>
      </c>
      <c r="DJ1">
        <v>1</v>
      </c>
      <c r="DK1" t="s">
        <v>82</v>
      </c>
      <c r="DL1">
        <v>1</v>
      </c>
      <c r="DM1" t="s">
        <v>83</v>
      </c>
      <c r="DN1">
        <v>1</v>
      </c>
      <c r="DO1" t="s">
        <v>84</v>
      </c>
      <c r="DP1">
        <v>1</v>
      </c>
      <c r="DQ1" t="s">
        <v>85</v>
      </c>
      <c r="DR1">
        <v>1</v>
      </c>
      <c r="DS1" t="s">
        <v>86</v>
      </c>
      <c r="DT1">
        <v>1</v>
      </c>
      <c r="DU1" t="s">
        <v>87</v>
      </c>
      <c r="DV1">
        <v>1</v>
      </c>
      <c r="DW1" t="s">
        <v>88</v>
      </c>
      <c r="DX1">
        <v>1</v>
      </c>
      <c r="DY1" t="s">
        <v>89</v>
      </c>
      <c r="DZ1">
        <v>1</v>
      </c>
      <c r="EA1" t="s">
        <v>90</v>
      </c>
      <c r="EB1">
        <v>1</v>
      </c>
      <c r="EC1" t="s">
        <v>91</v>
      </c>
      <c r="ED1">
        <v>1</v>
      </c>
      <c r="EE1" t="s">
        <v>92</v>
      </c>
      <c r="EF1">
        <v>1</v>
      </c>
      <c r="EG1" t="s">
        <v>93</v>
      </c>
      <c r="EH1">
        <v>1</v>
      </c>
      <c r="EI1" t="s">
        <v>94</v>
      </c>
      <c r="EJ1">
        <v>1</v>
      </c>
      <c r="EK1" t="s">
        <v>95</v>
      </c>
      <c r="EL1">
        <v>1</v>
      </c>
      <c r="EM1" t="s">
        <v>96</v>
      </c>
      <c r="EN1">
        <v>1</v>
      </c>
      <c r="EO1" t="s">
        <v>97</v>
      </c>
      <c r="EP1">
        <v>1</v>
      </c>
      <c r="EQ1" t="s">
        <v>98</v>
      </c>
      <c r="ER1">
        <v>1</v>
      </c>
      <c r="ES1" t="s">
        <v>99</v>
      </c>
      <c r="ET1">
        <v>1</v>
      </c>
      <c r="EU1" t="s">
        <v>100</v>
      </c>
      <c r="EV1">
        <v>1</v>
      </c>
      <c r="EW1" t="s">
        <v>101</v>
      </c>
      <c r="EX1">
        <v>1</v>
      </c>
      <c r="EY1" t="s">
        <v>102</v>
      </c>
      <c r="EZ1">
        <v>1</v>
      </c>
      <c r="FA1" t="s">
        <v>103</v>
      </c>
      <c r="FB1">
        <v>1</v>
      </c>
      <c r="FC1" t="s">
        <v>104</v>
      </c>
      <c r="FD1">
        <v>1</v>
      </c>
      <c r="FE1" t="s">
        <v>105</v>
      </c>
      <c r="FF1">
        <v>1</v>
      </c>
      <c r="FG1" t="s">
        <v>106</v>
      </c>
      <c r="FH1">
        <v>1</v>
      </c>
      <c r="FI1" t="s">
        <v>107</v>
      </c>
      <c r="FJ1">
        <v>1</v>
      </c>
      <c r="FK1" t="s">
        <v>108</v>
      </c>
      <c r="FL1">
        <v>1</v>
      </c>
      <c r="FM1" t="s">
        <v>109</v>
      </c>
      <c r="FN1">
        <v>1</v>
      </c>
      <c r="FO1" t="s">
        <v>110</v>
      </c>
      <c r="FP1">
        <v>1</v>
      </c>
      <c r="FQ1" t="s">
        <v>111</v>
      </c>
      <c r="FR1">
        <v>1</v>
      </c>
      <c r="FS1" t="s">
        <v>112</v>
      </c>
      <c r="FT1">
        <v>1</v>
      </c>
      <c r="FU1" t="s">
        <v>113</v>
      </c>
      <c r="FV1">
        <v>1</v>
      </c>
      <c r="FW1" t="s">
        <v>114</v>
      </c>
      <c r="FX1">
        <v>1</v>
      </c>
      <c r="FY1" t="s">
        <v>115</v>
      </c>
      <c r="FZ1">
        <v>1</v>
      </c>
      <c r="GA1" t="s">
        <v>116</v>
      </c>
      <c r="GB1">
        <v>1</v>
      </c>
      <c r="GC1" t="s">
        <v>117</v>
      </c>
      <c r="GD1">
        <v>1</v>
      </c>
      <c r="GE1" t="s">
        <v>118</v>
      </c>
      <c r="GF1">
        <v>1</v>
      </c>
      <c r="GG1" t="s">
        <v>119</v>
      </c>
      <c r="GH1">
        <v>1</v>
      </c>
      <c r="GI1" t="s">
        <v>120</v>
      </c>
      <c r="GJ1">
        <v>1</v>
      </c>
      <c r="GK1" t="s">
        <v>121</v>
      </c>
      <c r="GL1">
        <v>1</v>
      </c>
      <c r="GM1" t="s">
        <v>122</v>
      </c>
      <c r="GN1">
        <v>1</v>
      </c>
      <c r="GO1" t="s">
        <v>123</v>
      </c>
      <c r="GP1">
        <v>1</v>
      </c>
      <c r="GQ1" t="s">
        <v>124</v>
      </c>
      <c r="GR1">
        <v>1</v>
      </c>
    </row>
    <row r="2" spans="1:200" x14ac:dyDescent="0.25">
      <c r="A2" t="s">
        <v>125</v>
      </c>
      <c r="B2">
        <v>76</v>
      </c>
      <c r="C2" t="s">
        <v>126</v>
      </c>
      <c r="E2" t="s">
        <v>127</v>
      </c>
      <c r="G2" t="s">
        <v>128</v>
      </c>
      <c r="H2">
        <v>41</v>
      </c>
      <c r="I2" t="s">
        <v>129</v>
      </c>
      <c r="J2">
        <v>26</v>
      </c>
      <c r="K2" t="s">
        <v>130</v>
      </c>
      <c r="L2">
        <v>28</v>
      </c>
      <c r="M2" t="s">
        <v>131</v>
      </c>
      <c r="N2">
        <v>24</v>
      </c>
      <c r="O2" t="s">
        <v>132</v>
      </c>
      <c r="P2">
        <v>20</v>
      </c>
      <c r="Q2" t="s">
        <v>133</v>
      </c>
      <c r="R2">
        <v>47</v>
      </c>
      <c r="S2" t="s">
        <v>134</v>
      </c>
      <c r="T2">
        <v>36</v>
      </c>
      <c r="U2" t="s">
        <v>135</v>
      </c>
      <c r="V2">
        <v>45</v>
      </c>
      <c r="W2" t="s">
        <v>136</v>
      </c>
      <c r="X2">
        <v>23</v>
      </c>
      <c r="Y2" t="s">
        <v>137</v>
      </c>
      <c r="Z2">
        <v>36</v>
      </c>
      <c r="AA2" t="s">
        <v>138</v>
      </c>
      <c r="AB2">
        <v>45</v>
      </c>
      <c r="AC2" t="s">
        <v>139</v>
      </c>
      <c r="AD2">
        <v>139</v>
      </c>
      <c r="AE2" t="s">
        <v>140</v>
      </c>
      <c r="AF2">
        <v>35</v>
      </c>
      <c r="AG2" t="s">
        <v>141</v>
      </c>
      <c r="AH2">
        <v>47</v>
      </c>
      <c r="AI2" t="s">
        <v>142</v>
      </c>
      <c r="AJ2">
        <v>34</v>
      </c>
      <c r="AK2" t="s">
        <v>143</v>
      </c>
      <c r="AL2">
        <v>16</v>
      </c>
      <c r="AM2" t="s">
        <v>144</v>
      </c>
      <c r="AN2">
        <v>22</v>
      </c>
      <c r="AO2" t="s">
        <v>145</v>
      </c>
      <c r="AP2">
        <v>31</v>
      </c>
      <c r="AQ2" t="s">
        <v>146</v>
      </c>
      <c r="AR2">
        <v>50</v>
      </c>
      <c r="AS2" t="s">
        <v>147</v>
      </c>
      <c r="AT2">
        <v>61</v>
      </c>
      <c r="AU2" t="s">
        <v>148</v>
      </c>
      <c r="AV2">
        <v>47</v>
      </c>
      <c r="AW2" t="s">
        <v>149</v>
      </c>
      <c r="AX2">
        <v>39</v>
      </c>
      <c r="AY2" t="s">
        <v>150</v>
      </c>
      <c r="AZ2">
        <v>45</v>
      </c>
      <c r="BA2" t="s">
        <v>151</v>
      </c>
      <c r="BB2">
        <v>44</v>
      </c>
      <c r="BC2" t="s">
        <v>152</v>
      </c>
      <c r="BD2">
        <v>25</v>
      </c>
      <c r="BE2" t="s">
        <v>153</v>
      </c>
      <c r="BF2">
        <v>16</v>
      </c>
      <c r="BG2" t="s">
        <v>154</v>
      </c>
      <c r="BH2">
        <v>62</v>
      </c>
      <c r="BI2" t="s">
        <v>155</v>
      </c>
      <c r="BJ2">
        <v>24</v>
      </c>
      <c r="BK2" t="s">
        <v>156</v>
      </c>
      <c r="BL2">
        <v>33</v>
      </c>
      <c r="BM2" t="s">
        <v>157</v>
      </c>
      <c r="BN2">
        <v>19</v>
      </c>
      <c r="BO2" t="s">
        <v>158</v>
      </c>
      <c r="BP2">
        <v>60</v>
      </c>
      <c r="BQ2" t="s">
        <v>159</v>
      </c>
      <c r="BR2">
        <v>40</v>
      </c>
      <c r="BS2" t="s">
        <v>160</v>
      </c>
      <c r="BT2">
        <v>58</v>
      </c>
      <c r="BU2" t="s">
        <v>161</v>
      </c>
      <c r="BV2">
        <v>40</v>
      </c>
      <c r="BW2" t="s">
        <v>162</v>
      </c>
      <c r="BX2">
        <v>33</v>
      </c>
      <c r="BY2" t="s">
        <v>163</v>
      </c>
      <c r="BZ2">
        <v>32</v>
      </c>
      <c r="CA2" t="s">
        <v>164</v>
      </c>
      <c r="CB2">
        <v>32</v>
      </c>
      <c r="CC2" t="s">
        <v>165</v>
      </c>
      <c r="CD2">
        <v>48</v>
      </c>
      <c r="CE2" t="s">
        <v>166</v>
      </c>
      <c r="CF2">
        <v>27</v>
      </c>
      <c r="CG2" t="s">
        <v>167</v>
      </c>
      <c r="CH2">
        <v>47</v>
      </c>
      <c r="CI2" t="s">
        <v>168</v>
      </c>
      <c r="CJ2">
        <v>45</v>
      </c>
      <c r="CK2" t="s">
        <v>169</v>
      </c>
      <c r="CL2">
        <v>48</v>
      </c>
      <c r="CM2" t="s">
        <v>170</v>
      </c>
      <c r="CN2">
        <v>34</v>
      </c>
      <c r="CO2" t="s">
        <v>171</v>
      </c>
      <c r="CP2">
        <v>23</v>
      </c>
      <c r="CQ2" t="s">
        <v>172</v>
      </c>
      <c r="CR2">
        <v>43</v>
      </c>
      <c r="CS2" t="s">
        <v>173</v>
      </c>
      <c r="CT2">
        <v>35</v>
      </c>
      <c r="CU2" t="s">
        <v>174</v>
      </c>
      <c r="CV2">
        <v>61</v>
      </c>
      <c r="CW2" t="s">
        <v>175</v>
      </c>
      <c r="CX2">
        <v>65</v>
      </c>
      <c r="CY2" t="s">
        <v>176</v>
      </c>
      <c r="CZ2">
        <v>54</v>
      </c>
      <c r="DA2" t="s">
        <v>177</v>
      </c>
      <c r="DB2">
        <v>52</v>
      </c>
      <c r="DC2" t="s">
        <v>178</v>
      </c>
      <c r="DD2">
        <v>50</v>
      </c>
      <c r="DE2" t="s">
        <v>179</v>
      </c>
      <c r="DF2">
        <v>34</v>
      </c>
      <c r="DG2" t="s">
        <v>180</v>
      </c>
      <c r="DH2">
        <v>42</v>
      </c>
      <c r="DI2" t="s">
        <v>181</v>
      </c>
      <c r="DJ2">
        <v>34</v>
      </c>
      <c r="DK2" t="s">
        <v>182</v>
      </c>
      <c r="DL2">
        <v>39</v>
      </c>
      <c r="DM2" t="s">
        <v>183</v>
      </c>
      <c r="DN2">
        <v>22</v>
      </c>
      <c r="DO2" t="s">
        <v>184</v>
      </c>
      <c r="DP2">
        <v>32</v>
      </c>
      <c r="DQ2" t="s">
        <v>185</v>
      </c>
      <c r="DR2">
        <v>37</v>
      </c>
      <c r="DS2" t="s">
        <v>186</v>
      </c>
      <c r="DU2" t="s">
        <v>187</v>
      </c>
      <c r="DV2">
        <v>32</v>
      </c>
      <c r="DW2" t="s">
        <v>188</v>
      </c>
      <c r="DX2">
        <v>25</v>
      </c>
      <c r="DY2" t="s">
        <v>189</v>
      </c>
      <c r="DZ2">
        <v>36</v>
      </c>
      <c r="EA2" t="s">
        <v>190</v>
      </c>
      <c r="EB2">
        <v>32</v>
      </c>
      <c r="EC2" t="s">
        <v>191</v>
      </c>
      <c r="ED2">
        <v>40</v>
      </c>
      <c r="EE2" t="s">
        <v>192</v>
      </c>
      <c r="EF2">
        <v>46</v>
      </c>
      <c r="EG2" t="s">
        <v>193</v>
      </c>
      <c r="EH2">
        <v>40</v>
      </c>
      <c r="EI2" t="s">
        <v>194</v>
      </c>
      <c r="EJ2">
        <v>71</v>
      </c>
      <c r="EK2" t="s">
        <v>195</v>
      </c>
      <c r="EL2">
        <v>41</v>
      </c>
      <c r="EM2" t="s">
        <v>196</v>
      </c>
      <c r="EN2">
        <v>46</v>
      </c>
      <c r="EO2" t="s">
        <v>197</v>
      </c>
      <c r="EP2">
        <v>50</v>
      </c>
      <c r="EQ2" t="s">
        <v>198</v>
      </c>
      <c r="ER2">
        <v>33</v>
      </c>
      <c r="ES2" t="s">
        <v>199</v>
      </c>
      <c r="ET2">
        <v>17</v>
      </c>
      <c r="EU2" t="s">
        <v>200</v>
      </c>
      <c r="EV2">
        <v>40</v>
      </c>
      <c r="EW2" t="s">
        <v>201</v>
      </c>
      <c r="EX2">
        <v>16</v>
      </c>
      <c r="EY2" t="s">
        <v>202</v>
      </c>
      <c r="EZ2">
        <v>35</v>
      </c>
      <c r="FA2" t="s">
        <v>203</v>
      </c>
      <c r="FB2">
        <v>30</v>
      </c>
      <c r="FC2" t="s">
        <v>204</v>
      </c>
      <c r="FD2">
        <v>34</v>
      </c>
      <c r="FE2" t="s">
        <v>205</v>
      </c>
      <c r="FF2">
        <v>36</v>
      </c>
      <c r="FG2" t="s">
        <v>206</v>
      </c>
      <c r="FH2">
        <v>23</v>
      </c>
      <c r="FI2" t="s">
        <v>207</v>
      </c>
      <c r="FJ2">
        <v>25</v>
      </c>
      <c r="FK2" t="s">
        <v>208</v>
      </c>
      <c r="FL2">
        <v>52</v>
      </c>
      <c r="FM2" t="s">
        <v>209</v>
      </c>
      <c r="FN2">
        <v>60</v>
      </c>
      <c r="FO2" t="s">
        <v>210</v>
      </c>
      <c r="FP2">
        <v>39</v>
      </c>
      <c r="FQ2" t="s">
        <v>211</v>
      </c>
      <c r="FR2">
        <v>57</v>
      </c>
      <c r="FS2" t="s">
        <v>212</v>
      </c>
      <c r="FT2">
        <v>16</v>
      </c>
      <c r="FU2" t="s">
        <v>213</v>
      </c>
      <c r="FV2">
        <v>40</v>
      </c>
      <c r="FW2" t="s">
        <v>214</v>
      </c>
      <c r="FX2">
        <v>41</v>
      </c>
      <c r="FY2" t="s">
        <v>215</v>
      </c>
      <c r="FZ2">
        <v>27</v>
      </c>
      <c r="GA2" t="s">
        <v>216</v>
      </c>
      <c r="GB2">
        <v>58</v>
      </c>
      <c r="GC2" t="s">
        <v>217</v>
      </c>
      <c r="GD2">
        <v>42</v>
      </c>
      <c r="GE2" t="s">
        <v>218</v>
      </c>
      <c r="GF2">
        <v>73</v>
      </c>
      <c r="GG2" t="s">
        <v>219</v>
      </c>
      <c r="GH2">
        <v>53</v>
      </c>
      <c r="GI2" t="s">
        <v>220</v>
      </c>
      <c r="GJ2">
        <v>23</v>
      </c>
      <c r="GK2" t="s">
        <v>221</v>
      </c>
      <c r="GL2">
        <v>70</v>
      </c>
      <c r="GM2" t="s">
        <v>222</v>
      </c>
      <c r="GN2">
        <v>34</v>
      </c>
      <c r="GO2" t="s">
        <v>223</v>
      </c>
      <c r="GP2">
        <v>47</v>
      </c>
      <c r="GQ2" t="s">
        <v>224</v>
      </c>
      <c r="GR2">
        <v>34</v>
      </c>
    </row>
    <row r="3" spans="1:200" x14ac:dyDescent="0.25">
      <c r="A3" t="s">
        <v>225</v>
      </c>
      <c r="B3">
        <v>11</v>
      </c>
      <c r="C3" t="s">
        <v>226</v>
      </c>
      <c r="D3">
        <v>10</v>
      </c>
      <c r="E3" t="s">
        <v>227</v>
      </c>
      <c r="F3">
        <v>8</v>
      </c>
      <c r="G3" t="s">
        <v>228</v>
      </c>
      <c r="H3">
        <v>7.5</v>
      </c>
      <c r="I3" t="s">
        <v>229</v>
      </c>
      <c r="J3">
        <v>11.5</v>
      </c>
      <c r="K3" t="s">
        <v>230</v>
      </c>
      <c r="L3">
        <v>7.5</v>
      </c>
      <c r="M3" t="s">
        <v>231</v>
      </c>
      <c r="N3">
        <v>11.5</v>
      </c>
      <c r="O3" t="s">
        <v>232</v>
      </c>
      <c r="P3">
        <v>9</v>
      </c>
      <c r="Q3" t="s">
        <v>233</v>
      </c>
      <c r="R3">
        <v>9.5</v>
      </c>
      <c r="S3" t="s">
        <v>234</v>
      </c>
      <c r="T3">
        <v>8.5</v>
      </c>
      <c r="U3" t="s">
        <v>235</v>
      </c>
      <c r="V3">
        <v>8.5</v>
      </c>
      <c r="W3" t="s">
        <v>236</v>
      </c>
      <c r="X3">
        <v>10</v>
      </c>
      <c r="Y3" t="s">
        <v>237</v>
      </c>
      <c r="Z3">
        <v>6.5</v>
      </c>
      <c r="AA3" t="s">
        <v>238</v>
      </c>
      <c r="AB3">
        <v>5</v>
      </c>
      <c r="AC3" t="s">
        <v>239</v>
      </c>
      <c r="AD3">
        <v>5</v>
      </c>
      <c r="AE3" t="s">
        <v>240</v>
      </c>
      <c r="AF3">
        <v>9</v>
      </c>
      <c r="AG3" t="s">
        <v>241</v>
      </c>
      <c r="AH3">
        <v>9.5</v>
      </c>
      <c r="AI3" t="s">
        <v>242</v>
      </c>
      <c r="AJ3">
        <v>12</v>
      </c>
      <c r="AK3" t="s">
        <v>243</v>
      </c>
      <c r="AL3">
        <v>10</v>
      </c>
      <c r="AM3" t="s">
        <v>244</v>
      </c>
      <c r="AN3">
        <v>11.5</v>
      </c>
      <c r="AO3" t="s">
        <v>245</v>
      </c>
      <c r="AP3">
        <v>9</v>
      </c>
      <c r="AQ3" t="s">
        <v>246</v>
      </c>
      <c r="AR3">
        <v>6</v>
      </c>
      <c r="AS3" t="s">
        <v>247</v>
      </c>
      <c r="AT3">
        <v>7.5</v>
      </c>
      <c r="AU3" t="s">
        <v>248</v>
      </c>
      <c r="AV3">
        <v>5</v>
      </c>
      <c r="AW3" t="s">
        <v>249</v>
      </c>
      <c r="AX3">
        <v>10</v>
      </c>
      <c r="AY3" t="s">
        <v>250</v>
      </c>
      <c r="AZ3">
        <v>10</v>
      </c>
      <c r="BA3" t="s">
        <v>251</v>
      </c>
      <c r="BB3">
        <v>8.5</v>
      </c>
      <c r="BC3" t="s">
        <v>252</v>
      </c>
      <c r="BD3">
        <v>12</v>
      </c>
      <c r="BE3" t="s">
        <v>253</v>
      </c>
      <c r="BF3">
        <v>7</v>
      </c>
      <c r="BG3" t="s">
        <v>254</v>
      </c>
      <c r="BH3">
        <v>8.5</v>
      </c>
      <c r="BI3" t="s">
        <v>255</v>
      </c>
      <c r="BJ3">
        <v>7.5</v>
      </c>
      <c r="BK3" t="s">
        <v>256</v>
      </c>
      <c r="BL3">
        <v>8</v>
      </c>
      <c r="BM3" t="s">
        <v>257</v>
      </c>
      <c r="BN3">
        <v>5</v>
      </c>
      <c r="BO3" t="s">
        <v>258</v>
      </c>
      <c r="BP3">
        <v>7</v>
      </c>
      <c r="BQ3" t="s">
        <v>259</v>
      </c>
      <c r="BR3">
        <v>9.5</v>
      </c>
      <c r="BS3" t="s">
        <v>260</v>
      </c>
      <c r="BT3">
        <v>7</v>
      </c>
      <c r="BU3" t="s">
        <v>261</v>
      </c>
      <c r="BV3">
        <v>9.5</v>
      </c>
      <c r="BW3" t="s">
        <v>262</v>
      </c>
      <c r="BX3">
        <v>7</v>
      </c>
      <c r="BY3" t="s">
        <v>263</v>
      </c>
      <c r="BZ3">
        <v>9.5</v>
      </c>
      <c r="CA3" t="s">
        <v>264</v>
      </c>
      <c r="CB3">
        <v>5.5</v>
      </c>
      <c r="CC3" t="s">
        <v>265</v>
      </c>
      <c r="CD3">
        <v>8.5</v>
      </c>
      <c r="CE3" t="s">
        <v>266</v>
      </c>
      <c r="CF3">
        <v>4.5</v>
      </c>
      <c r="CG3" t="s">
        <v>267</v>
      </c>
      <c r="CH3">
        <v>8</v>
      </c>
      <c r="CI3" t="s">
        <v>268</v>
      </c>
      <c r="CJ3">
        <v>8.5</v>
      </c>
      <c r="CK3" t="s">
        <v>269</v>
      </c>
      <c r="CL3">
        <v>11.5</v>
      </c>
      <c r="CM3" t="s">
        <v>270</v>
      </c>
      <c r="CN3">
        <v>5.5</v>
      </c>
      <c r="CO3" t="s">
        <v>271</v>
      </c>
      <c r="CP3">
        <v>7.5</v>
      </c>
      <c r="CQ3" t="s">
        <v>272</v>
      </c>
      <c r="CR3">
        <v>8</v>
      </c>
      <c r="CS3" t="s">
        <v>273</v>
      </c>
      <c r="CT3">
        <v>6</v>
      </c>
      <c r="CU3" t="s">
        <v>274</v>
      </c>
      <c r="CV3">
        <v>9</v>
      </c>
      <c r="CW3" t="s">
        <v>275</v>
      </c>
      <c r="CX3">
        <v>9</v>
      </c>
      <c r="CY3" t="s">
        <v>276</v>
      </c>
      <c r="CZ3">
        <v>4</v>
      </c>
      <c r="DA3" t="s">
        <v>277</v>
      </c>
      <c r="DB3">
        <v>7</v>
      </c>
      <c r="DC3" t="s">
        <v>278</v>
      </c>
      <c r="DD3">
        <v>6</v>
      </c>
      <c r="DE3" t="s">
        <v>279</v>
      </c>
      <c r="DF3">
        <v>8</v>
      </c>
      <c r="DG3" t="s">
        <v>280</v>
      </c>
      <c r="DH3">
        <v>5</v>
      </c>
      <c r="DI3" t="s">
        <v>281</v>
      </c>
      <c r="DJ3">
        <v>4</v>
      </c>
      <c r="DK3" t="s">
        <v>282</v>
      </c>
      <c r="DL3">
        <v>6</v>
      </c>
      <c r="DM3" t="s">
        <v>283</v>
      </c>
      <c r="DN3">
        <v>8</v>
      </c>
      <c r="DO3" t="s">
        <v>284</v>
      </c>
      <c r="DP3">
        <v>5.5</v>
      </c>
      <c r="DQ3" t="s">
        <v>285</v>
      </c>
      <c r="DR3">
        <v>9.5</v>
      </c>
      <c r="DS3" t="s">
        <v>286</v>
      </c>
      <c r="DT3">
        <v>7</v>
      </c>
      <c r="DU3" t="s">
        <v>287</v>
      </c>
      <c r="DV3">
        <v>9.5</v>
      </c>
      <c r="DW3" t="s">
        <v>288</v>
      </c>
      <c r="DX3">
        <v>5.5</v>
      </c>
      <c r="DY3" t="s">
        <v>289</v>
      </c>
      <c r="DZ3">
        <v>8</v>
      </c>
      <c r="EA3" t="s">
        <v>290</v>
      </c>
      <c r="EB3">
        <v>7.5</v>
      </c>
      <c r="EC3" t="s">
        <v>291</v>
      </c>
      <c r="ED3">
        <v>3.5</v>
      </c>
      <c r="EE3" t="s">
        <v>292</v>
      </c>
      <c r="EF3">
        <v>8</v>
      </c>
      <c r="EG3" t="s">
        <v>293</v>
      </c>
      <c r="EH3">
        <v>4</v>
      </c>
      <c r="EI3" t="s">
        <v>294</v>
      </c>
      <c r="EJ3">
        <v>11</v>
      </c>
      <c r="EK3" t="s">
        <v>295</v>
      </c>
      <c r="EL3">
        <v>5.5</v>
      </c>
      <c r="EM3" t="s">
        <v>296</v>
      </c>
      <c r="EN3">
        <v>8</v>
      </c>
      <c r="EO3" t="s">
        <v>297</v>
      </c>
      <c r="EP3">
        <v>9</v>
      </c>
      <c r="EQ3" t="s">
        <v>298</v>
      </c>
      <c r="ER3">
        <v>5.5</v>
      </c>
      <c r="ES3" t="s">
        <v>299</v>
      </c>
      <c r="ET3">
        <v>6</v>
      </c>
      <c r="EU3" t="s">
        <v>300</v>
      </c>
      <c r="EV3">
        <v>5.5</v>
      </c>
      <c r="EW3" t="s">
        <v>301</v>
      </c>
      <c r="EX3">
        <v>5.5</v>
      </c>
      <c r="EY3" t="s">
        <v>302</v>
      </c>
      <c r="EZ3">
        <v>9</v>
      </c>
      <c r="FA3" t="s">
        <v>303</v>
      </c>
      <c r="FB3">
        <v>2</v>
      </c>
      <c r="FC3" t="s">
        <v>304</v>
      </c>
      <c r="FD3">
        <v>6</v>
      </c>
      <c r="FE3" t="s">
        <v>305</v>
      </c>
      <c r="FF3">
        <v>2.5</v>
      </c>
      <c r="FG3" t="s">
        <v>306</v>
      </c>
      <c r="FH3">
        <v>5</v>
      </c>
      <c r="FI3" t="s">
        <v>307</v>
      </c>
      <c r="FJ3">
        <v>5</v>
      </c>
      <c r="FK3" t="s">
        <v>308</v>
      </c>
      <c r="FL3">
        <v>7</v>
      </c>
      <c r="FM3" t="s">
        <v>309</v>
      </c>
      <c r="FN3">
        <v>4.5</v>
      </c>
      <c r="FO3" t="s">
        <v>310</v>
      </c>
      <c r="FP3">
        <v>6.5</v>
      </c>
      <c r="FQ3" t="s">
        <v>311</v>
      </c>
      <c r="FR3">
        <v>5</v>
      </c>
      <c r="FS3" t="s">
        <v>312</v>
      </c>
      <c r="FT3">
        <v>5.5</v>
      </c>
      <c r="FU3" t="s">
        <v>313</v>
      </c>
      <c r="FV3">
        <v>5.5</v>
      </c>
      <c r="FW3" t="s">
        <v>314</v>
      </c>
      <c r="FX3">
        <v>5.5</v>
      </c>
      <c r="FY3" t="s">
        <v>315</v>
      </c>
      <c r="FZ3">
        <v>2</v>
      </c>
      <c r="GA3" t="s">
        <v>316</v>
      </c>
      <c r="GB3">
        <v>5</v>
      </c>
      <c r="GC3" t="s">
        <v>317</v>
      </c>
      <c r="GD3">
        <v>10.5</v>
      </c>
      <c r="GE3" t="s">
        <v>318</v>
      </c>
      <c r="GF3">
        <v>8</v>
      </c>
      <c r="GG3" t="s">
        <v>319</v>
      </c>
      <c r="GH3">
        <v>4.5</v>
      </c>
      <c r="GI3" t="s">
        <v>320</v>
      </c>
      <c r="GJ3">
        <v>3</v>
      </c>
      <c r="GK3" t="s">
        <v>321</v>
      </c>
      <c r="GL3">
        <v>8</v>
      </c>
      <c r="GM3" t="s">
        <v>322</v>
      </c>
      <c r="GN3">
        <v>3.5</v>
      </c>
      <c r="GO3" t="s">
        <v>323</v>
      </c>
      <c r="GP3">
        <v>6.5</v>
      </c>
      <c r="GQ3" t="s">
        <v>324</v>
      </c>
      <c r="GR3">
        <v>2</v>
      </c>
    </row>
    <row r="4" spans="1:200" x14ac:dyDescent="0.25">
      <c r="A4" t="s">
        <v>325</v>
      </c>
      <c r="B4">
        <v>70</v>
      </c>
      <c r="C4" t="s">
        <v>326</v>
      </c>
      <c r="E4" t="s">
        <v>327</v>
      </c>
      <c r="G4" t="s">
        <v>328</v>
      </c>
      <c r="H4">
        <v>31</v>
      </c>
      <c r="I4" t="s">
        <v>329</v>
      </c>
      <c r="J4">
        <v>38</v>
      </c>
      <c r="K4" t="s">
        <v>330</v>
      </c>
      <c r="L4">
        <v>25</v>
      </c>
      <c r="M4" t="s">
        <v>331</v>
      </c>
      <c r="N4">
        <v>22</v>
      </c>
      <c r="O4" t="s">
        <v>332</v>
      </c>
      <c r="P4">
        <v>26</v>
      </c>
      <c r="Q4" t="s">
        <v>333</v>
      </c>
      <c r="R4">
        <v>31</v>
      </c>
      <c r="S4" t="s">
        <v>334</v>
      </c>
      <c r="T4">
        <v>31</v>
      </c>
      <c r="U4" t="s">
        <v>335</v>
      </c>
      <c r="V4">
        <v>36</v>
      </c>
      <c r="W4" t="s">
        <v>336</v>
      </c>
      <c r="X4">
        <v>21</v>
      </c>
      <c r="Y4" t="s">
        <v>337</v>
      </c>
      <c r="Z4">
        <v>41</v>
      </c>
      <c r="AA4" t="s">
        <v>338</v>
      </c>
      <c r="AB4">
        <v>78</v>
      </c>
      <c r="AC4" t="s">
        <v>339</v>
      </c>
      <c r="AD4">
        <v>49</v>
      </c>
      <c r="AE4" t="s">
        <v>340</v>
      </c>
      <c r="AF4">
        <v>39</v>
      </c>
      <c r="AG4" t="s">
        <v>341</v>
      </c>
      <c r="AH4">
        <v>42</v>
      </c>
      <c r="AI4" t="s">
        <v>342</v>
      </c>
      <c r="AJ4">
        <v>28</v>
      </c>
      <c r="AK4" t="s">
        <v>343</v>
      </c>
      <c r="AL4">
        <v>17</v>
      </c>
      <c r="AM4" t="s">
        <v>344</v>
      </c>
      <c r="AN4">
        <v>26</v>
      </c>
      <c r="AO4" t="s">
        <v>345</v>
      </c>
      <c r="AP4">
        <v>24</v>
      </c>
      <c r="AQ4" t="s">
        <v>346</v>
      </c>
      <c r="AR4">
        <v>37</v>
      </c>
      <c r="AS4" t="s">
        <v>347</v>
      </c>
      <c r="AT4">
        <v>34</v>
      </c>
      <c r="AU4" t="s">
        <v>348</v>
      </c>
      <c r="AV4">
        <v>56</v>
      </c>
      <c r="AW4" t="s">
        <v>349</v>
      </c>
      <c r="AX4">
        <v>32</v>
      </c>
      <c r="AY4" t="s">
        <v>350</v>
      </c>
      <c r="AZ4">
        <v>48</v>
      </c>
      <c r="BA4" t="s">
        <v>351</v>
      </c>
      <c r="BB4">
        <v>57</v>
      </c>
      <c r="BC4" t="s">
        <v>352</v>
      </c>
      <c r="BD4">
        <v>24</v>
      </c>
      <c r="BE4" t="s">
        <v>353</v>
      </c>
      <c r="BF4">
        <v>31</v>
      </c>
      <c r="BG4" t="s">
        <v>354</v>
      </c>
      <c r="BH4">
        <v>33</v>
      </c>
      <c r="BI4" t="s">
        <v>355</v>
      </c>
      <c r="BJ4">
        <v>26</v>
      </c>
      <c r="BK4" t="s">
        <v>356</v>
      </c>
      <c r="BL4">
        <v>19</v>
      </c>
      <c r="BM4" t="s">
        <v>357</v>
      </c>
      <c r="BN4">
        <v>36</v>
      </c>
      <c r="BO4" t="s">
        <v>358</v>
      </c>
      <c r="BP4">
        <v>54</v>
      </c>
      <c r="BQ4" t="s">
        <v>359</v>
      </c>
      <c r="BR4">
        <v>37</v>
      </c>
      <c r="BS4" t="s">
        <v>360</v>
      </c>
      <c r="BT4">
        <v>43</v>
      </c>
      <c r="BU4" t="s">
        <v>361</v>
      </c>
      <c r="BV4">
        <v>34</v>
      </c>
      <c r="BW4" t="s">
        <v>362</v>
      </c>
      <c r="BX4">
        <v>32</v>
      </c>
      <c r="BY4" t="s">
        <v>363</v>
      </c>
      <c r="BZ4">
        <v>16</v>
      </c>
      <c r="CA4" t="s">
        <v>364</v>
      </c>
      <c r="CB4">
        <v>48</v>
      </c>
      <c r="CC4" t="s">
        <v>365</v>
      </c>
      <c r="CD4">
        <v>43</v>
      </c>
      <c r="CE4" t="s">
        <v>366</v>
      </c>
      <c r="CF4">
        <v>29</v>
      </c>
      <c r="CG4" t="s">
        <v>367</v>
      </c>
      <c r="CH4">
        <v>52</v>
      </c>
      <c r="CI4" t="s">
        <v>368</v>
      </c>
      <c r="CJ4">
        <v>55</v>
      </c>
      <c r="CK4" t="s">
        <v>369</v>
      </c>
      <c r="CL4">
        <v>34</v>
      </c>
      <c r="CM4" t="s">
        <v>370</v>
      </c>
      <c r="CN4">
        <v>40</v>
      </c>
      <c r="CO4" t="s">
        <v>371</v>
      </c>
      <c r="CP4">
        <v>25</v>
      </c>
      <c r="CQ4" t="s">
        <v>372</v>
      </c>
      <c r="CR4">
        <v>35</v>
      </c>
      <c r="CS4" t="s">
        <v>373</v>
      </c>
      <c r="CT4">
        <v>33</v>
      </c>
      <c r="CU4" t="s">
        <v>374</v>
      </c>
      <c r="CV4">
        <v>53</v>
      </c>
      <c r="CW4" t="s">
        <v>375</v>
      </c>
      <c r="CX4">
        <v>47</v>
      </c>
      <c r="CY4" t="s">
        <v>376</v>
      </c>
      <c r="CZ4">
        <v>42</v>
      </c>
      <c r="DA4" t="s">
        <v>377</v>
      </c>
      <c r="DB4">
        <v>43</v>
      </c>
      <c r="DC4" t="s">
        <v>378</v>
      </c>
      <c r="DD4">
        <v>65</v>
      </c>
      <c r="DE4" t="s">
        <v>379</v>
      </c>
      <c r="DF4">
        <v>27</v>
      </c>
      <c r="DG4" t="s">
        <v>380</v>
      </c>
      <c r="DH4">
        <v>56</v>
      </c>
      <c r="DI4" t="s">
        <v>381</v>
      </c>
      <c r="DJ4">
        <v>20</v>
      </c>
      <c r="DK4" t="s">
        <v>382</v>
      </c>
      <c r="DL4">
        <v>34</v>
      </c>
      <c r="DM4" t="s">
        <v>383</v>
      </c>
      <c r="DN4">
        <v>25</v>
      </c>
      <c r="DO4" t="s">
        <v>384</v>
      </c>
      <c r="DP4">
        <v>36</v>
      </c>
      <c r="DQ4" t="s">
        <v>385</v>
      </c>
      <c r="DR4">
        <v>30</v>
      </c>
      <c r="DS4" t="s">
        <v>386</v>
      </c>
      <c r="DU4" t="s">
        <v>387</v>
      </c>
      <c r="DV4">
        <v>20</v>
      </c>
      <c r="DW4" t="s">
        <v>388</v>
      </c>
      <c r="DX4">
        <v>27</v>
      </c>
      <c r="DY4" t="s">
        <v>389</v>
      </c>
      <c r="DZ4">
        <v>32</v>
      </c>
      <c r="EA4" t="s">
        <v>390</v>
      </c>
      <c r="EB4">
        <v>50</v>
      </c>
      <c r="EC4" t="s">
        <v>391</v>
      </c>
      <c r="ED4">
        <v>36</v>
      </c>
      <c r="EE4" t="s">
        <v>392</v>
      </c>
      <c r="EF4">
        <v>32</v>
      </c>
      <c r="EG4" t="s">
        <v>393</v>
      </c>
      <c r="EH4">
        <v>45</v>
      </c>
      <c r="EI4" t="s">
        <v>394</v>
      </c>
      <c r="EJ4">
        <v>32</v>
      </c>
      <c r="EK4" t="s">
        <v>395</v>
      </c>
      <c r="EL4">
        <v>34</v>
      </c>
      <c r="EM4" t="s">
        <v>396</v>
      </c>
      <c r="EN4">
        <v>57</v>
      </c>
      <c r="EO4" t="s">
        <v>397</v>
      </c>
      <c r="EP4">
        <v>47</v>
      </c>
      <c r="EQ4" t="s">
        <v>398</v>
      </c>
      <c r="ER4">
        <v>41</v>
      </c>
      <c r="ES4" t="s">
        <v>399</v>
      </c>
      <c r="ET4">
        <v>30</v>
      </c>
      <c r="EU4" t="s">
        <v>400</v>
      </c>
      <c r="EV4">
        <v>45</v>
      </c>
      <c r="EW4" t="s">
        <v>401</v>
      </c>
      <c r="EX4">
        <v>26</v>
      </c>
      <c r="EY4" t="s">
        <v>402</v>
      </c>
      <c r="EZ4">
        <v>38</v>
      </c>
      <c r="FA4" t="s">
        <v>403</v>
      </c>
      <c r="FB4">
        <v>37</v>
      </c>
      <c r="FC4" t="s">
        <v>404</v>
      </c>
      <c r="FD4">
        <v>30</v>
      </c>
      <c r="FE4" t="s">
        <v>405</v>
      </c>
      <c r="FF4">
        <v>31</v>
      </c>
      <c r="FG4" t="s">
        <v>406</v>
      </c>
      <c r="FH4">
        <v>41</v>
      </c>
      <c r="FI4" t="s">
        <v>407</v>
      </c>
      <c r="FJ4">
        <v>48</v>
      </c>
      <c r="FK4" t="s">
        <v>408</v>
      </c>
      <c r="FL4">
        <v>49</v>
      </c>
      <c r="FM4" t="s">
        <v>409</v>
      </c>
      <c r="FN4">
        <v>50</v>
      </c>
      <c r="FO4" t="s">
        <v>410</v>
      </c>
      <c r="FP4">
        <v>52</v>
      </c>
      <c r="FQ4" t="s">
        <v>411</v>
      </c>
      <c r="FR4">
        <v>84</v>
      </c>
      <c r="FS4" t="s">
        <v>412</v>
      </c>
      <c r="FT4">
        <v>21</v>
      </c>
      <c r="FU4" t="s">
        <v>413</v>
      </c>
      <c r="FV4">
        <v>39</v>
      </c>
      <c r="FW4" t="s">
        <v>414</v>
      </c>
      <c r="FX4">
        <v>55</v>
      </c>
      <c r="FY4" t="s">
        <v>415</v>
      </c>
      <c r="FZ4">
        <v>25</v>
      </c>
      <c r="GA4" t="s">
        <v>416</v>
      </c>
      <c r="GB4">
        <v>82</v>
      </c>
      <c r="GC4" t="s">
        <v>417</v>
      </c>
      <c r="GD4">
        <v>41</v>
      </c>
      <c r="GE4" t="s">
        <v>418</v>
      </c>
      <c r="GF4">
        <v>72</v>
      </c>
      <c r="GG4" t="s">
        <v>419</v>
      </c>
      <c r="GH4">
        <v>65</v>
      </c>
      <c r="GI4" t="s">
        <v>420</v>
      </c>
      <c r="GJ4">
        <v>36</v>
      </c>
      <c r="GK4" t="s">
        <v>421</v>
      </c>
      <c r="GL4">
        <v>70</v>
      </c>
      <c r="GM4" t="s">
        <v>422</v>
      </c>
      <c r="GN4">
        <v>43</v>
      </c>
      <c r="GO4" t="s">
        <v>423</v>
      </c>
      <c r="GP4">
        <v>31</v>
      </c>
      <c r="GQ4" t="s">
        <v>424</v>
      </c>
      <c r="GR4">
        <v>36</v>
      </c>
    </row>
    <row r="5" spans="1:200" x14ac:dyDescent="0.25">
      <c r="A5" t="s">
        <v>425</v>
      </c>
      <c r="B5">
        <v>12</v>
      </c>
      <c r="C5" t="s">
        <v>426</v>
      </c>
      <c r="D5">
        <v>12</v>
      </c>
      <c r="E5" t="s">
        <v>427</v>
      </c>
      <c r="F5">
        <v>11.5</v>
      </c>
      <c r="G5" t="s">
        <v>428</v>
      </c>
      <c r="H5">
        <v>9.5</v>
      </c>
      <c r="I5" t="s">
        <v>429</v>
      </c>
      <c r="J5">
        <v>12</v>
      </c>
      <c r="K5" t="s">
        <v>430</v>
      </c>
      <c r="L5">
        <v>12</v>
      </c>
      <c r="M5" t="s">
        <v>431</v>
      </c>
      <c r="N5">
        <v>11.5</v>
      </c>
      <c r="O5" t="s">
        <v>432</v>
      </c>
      <c r="P5">
        <v>11.5</v>
      </c>
      <c r="Q5" t="s">
        <v>433</v>
      </c>
      <c r="R5">
        <v>12</v>
      </c>
      <c r="S5" t="s">
        <v>434</v>
      </c>
      <c r="T5">
        <v>11.5</v>
      </c>
      <c r="U5" t="s">
        <v>435</v>
      </c>
      <c r="V5">
        <v>11</v>
      </c>
      <c r="W5" t="s">
        <v>436</v>
      </c>
      <c r="X5">
        <v>11</v>
      </c>
      <c r="Y5" t="s">
        <v>437</v>
      </c>
      <c r="Z5">
        <v>9.5</v>
      </c>
      <c r="AA5" t="s">
        <v>438</v>
      </c>
      <c r="AB5">
        <v>9</v>
      </c>
      <c r="AC5" t="s">
        <v>439</v>
      </c>
      <c r="AD5">
        <v>11.5</v>
      </c>
      <c r="AE5" t="s">
        <v>440</v>
      </c>
      <c r="AF5">
        <v>12</v>
      </c>
      <c r="AG5" t="s">
        <v>441</v>
      </c>
      <c r="AH5">
        <v>10</v>
      </c>
      <c r="AI5" t="s">
        <v>442</v>
      </c>
      <c r="AJ5">
        <v>12</v>
      </c>
      <c r="AK5" t="s">
        <v>443</v>
      </c>
      <c r="AL5">
        <v>12</v>
      </c>
      <c r="AM5" t="s">
        <v>444</v>
      </c>
      <c r="AN5">
        <v>12</v>
      </c>
      <c r="AO5" t="s">
        <v>445</v>
      </c>
      <c r="AP5">
        <v>12</v>
      </c>
      <c r="AQ5" t="s">
        <v>446</v>
      </c>
      <c r="AR5">
        <v>12</v>
      </c>
      <c r="AS5" t="s">
        <v>447</v>
      </c>
      <c r="AT5">
        <v>12</v>
      </c>
      <c r="AU5" t="s">
        <v>448</v>
      </c>
      <c r="AV5">
        <v>9</v>
      </c>
      <c r="AW5" t="s">
        <v>449</v>
      </c>
      <c r="AX5">
        <v>12</v>
      </c>
      <c r="AY5" t="s">
        <v>450</v>
      </c>
      <c r="AZ5">
        <v>12</v>
      </c>
      <c r="BA5" t="s">
        <v>451</v>
      </c>
      <c r="BB5">
        <v>8</v>
      </c>
      <c r="BC5" t="s">
        <v>452</v>
      </c>
      <c r="BD5">
        <v>12</v>
      </c>
      <c r="BE5" t="s">
        <v>453</v>
      </c>
      <c r="BF5">
        <v>9.5</v>
      </c>
      <c r="BG5" t="s">
        <v>454</v>
      </c>
      <c r="BH5">
        <v>11.5</v>
      </c>
      <c r="BI5" t="s">
        <v>455</v>
      </c>
      <c r="BJ5">
        <v>8</v>
      </c>
      <c r="BK5" t="s">
        <v>456</v>
      </c>
      <c r="BL5">
        <v>12</v>
      </c>
      <c r="BM5" t="s">
        <v>457</v>
      </c>
      <c r="BN5">
        <v>11.5</v>
      </c>
      <c r="BO5" t="s">
        <v>458</v>
      </c>
      <c r="BP5">
        <v>12</v>
      </c>
      <c r="BQ5" t="s">
        <v>459</v>
      </c>
      <c r="BR5">
        <v>10</v>
      </c>
      <c r="BS5" t="s">
        <v>460</v>
      </c>
      <c r="BT5">
        <v>11</v>
      </c>
      <c r="BU5" t="s">
        <v>461</v>
      </c>
      <c r="BV5">
        <v>11.5</v>
      </c>
      <c r="BW5" t="s">
        <v>462</v>
      </c>
      <c r="BX5">
        <v>8.5</v>
      </c>
      <c r="BY5" t="s">
        <v>463</v>
      </c>
      <c r="BZ5">
        <v>11.5</v>
      </c>
      <c r="CA5" t="s">
        <v>464</v>
      </c>
      <c r="CB5">
        <v>12</v>
      </c>
      <c r="CC5" t="s">
        <v>465</v>
      </c>
      <c r="CD5">
        <v>12</v>
      </c>
      <c r="CE5" t="s">
        <v>466</v>
      </c>
      <c r="CF5">
        <v>7</v>
      </c>
      <c r="CG5" t="s">
        <v>467</v>
      </c>
      <c r="CH5">
        <v>11.5</v>
      </c>
      <c r="CI5" t="s">
        <v>468</v>
      </c>
      <c r="CJ5">
        <v>11.5</v>
      </c>
      <c r="CK5" t="s">
        <v>469</v>
      </c>
      <c r="CL5">
        <v>12</v>
      </c>
      <c r="CM5" t="s">
        <v>470</v>
      </c>
      <c r="CN5">
        <v>7</v>
      </c>
      <c r="CO5" t="s">
        <v>471</v>
      </c>
      <c r="CP5">
        <v>11</v>
      </c>
      <c r="CQ5" t="s">
        <v>472</v>
      </c>
      <c r="CR5">
        <v>12</v>
      </c>
      <c r="CS5" t="s">
        <v>473</v>
      </c>
      <c r="CT5">
        <v>10</v>
      </c>
      <c r="CU5" t="s">
        <v>474</v>
      </c>
      <c r="CV5">
        <v>12</v>
      </c>
      <c r="CW5" t="s">
        <v>475</v>
      </c>
      <c r="CX5">
        <v>11</v>
      </c>
      <c r="CY5" t="s">
        <v>476</v>
      </c>
      <c r="CZ5">
        <v>11.5</v>
      </c>
      <c r="DA5" t="s">
        <v>477</v>
      </c>
      <c r="DB5">
        <v>11</v>
      </c>
      <c r="DC5" t="s">
        <v>478</v>
      </c>
      <c r="DD5">
        <v>11.5</v>
      </c>
      <c r="DE5" t="s">
        <v>479</v>
      </c>
      <c r="DF5">
        <v>12</v>
      </c>
      <c r="DG5" t="s">
        <v>480</v>
      </c>
      <c r="DH5">
        <v>7</v>
      </c>
      <c r="DI5" t="s">
        <v>481</v>
      </c>
      <c r="DJ5">
        <v>6</v>
      </c>
      <c r="DK5" t="s">
        <v>482</v>
      </c>
      <c r="DL5">
        <v>7.5</v>
      </c>
      <c r="DM5" t="s">
        <v>483</v>
      </c>
      <c r="DN5">
        <v>11</v>
      </c>
      <c r="DO5" t="s">
        <v>484</v>
      </c>
      <c r="DP5">
        <v>11.5</v>
      </c>
      <c r="DQ5" t="s">
        <v>485</v>
      </c>
      <c r="DR5">
        <v>11.5</v>
      </c>
      <c r="DS5" t="s">
        <v>486</v>
      </c>
      <c r="DT5">
        <v>11</v>
      </c>
      <c r="DU5" t="s">
        <v>487</v>
      </c>
      <c r="DV5">
        <v>12</v>
      </c>
      <c r="DW5" t="s">
        <v>488</v>
      </c>
      <c r="DX5">
        <v>9</v>
      </c>
      <c r="DY5" t="s">
        <v>489</v>
      </c>
      <c r="DZ5">
        <v>10</v>
      </c>
      <c r="EA5" t="s">
        <v>490</v>
      </c>
      <c r="EB5">
        <v>9.5</v>
      </c>
      <c r="EC5" t="s">
        <v>491</v>
      </c>
      <c r="ED5">
        <v>7.5</v>
      </c>
      <c r="EE5" t="s">
        <v>492</v>
      </c>
      <c r="EF5">
        <v>12</v>
      </c>
      <c r="EG5" t="s">
        <v>493</v>
      </c>
      <c r="EH5">
        <v>6</v>
      </c>
      <c r="EI5" t="s">
        <v>494</v>
      </c>
      <c r="EJ5">
        <v>12</v>
      </c>
      <c r="EK5" t="s">
        <v>495</v>
      </c>
      <c r="EL5">
        <v>11.5</v>
      </c>
      <c r="EM5" t="s">
        <v>496</v>
      </c>
      <c r="EN5">
        <v>10</v>
      </c>
      <c r="EO5" t="s">
        <v>497</v>
      </c>
      <c r="EP5">
        <v>11.5</v>
      </c>
      <c r="EQ5" t="s">
        <v>498</v>
      </c>
      <c r="ER5">
        <v>9</v>
      </c>
      <c r="ES5" t="s">
        <v>499</v>
      </c>
      <c r="ET5">
        <v>6.5</v>
      </c>
      <c r="EU5" t="s">
        <v>500</v>
      </c>
      <c r="EV5">
        <v>9</v>
      </c>
      <c r="EW5" t="s">
        <v>501</v>
      </c>
      <c r="EX5">
        <v>12</v>
      </c>
      <c r="EY5" t="s">
        <v>502</v>
      </c>
      <c r="EZ5">
        <v>11</v>
      </c>
      <c r="FA5" t="s">
        <v>503</v>
      </c>
      <c r="FB5">
        <v>10</v>
      </c>
      <c r="FC5" t="s">
        <v>504</v>
      </c>
      <c r="FD5">
        <v>10</v>
      </c>
      <c r="FE5" t="s">
        <v>505</v>
      </c>
      <c r="FF5">
        <v>10</v>
      </c>
      <c r="FG5" t="s">
        <v>506</v>
      </c>
      <c r="FH5">
        <v>8.5</v>
      </c>
      <c r="FI5" t="s">
        <v>507</v>
      </c>
      <c r="FJ5">
        <v>11</v>
      </c>
      <c r="FK5" t="s">
        <v>508</v>
      </c>
      <c r="FL5">
        <v>11</v>
      </c>
      <c r="FM5" t="s">
        <v>509</v>
      </c>
      <c r="FN5">
        <v>8</v>
      </c>
      <c r="FO5" t="s">
        <v>510</v>
      </c>
      <c r="FP5">
        <v>11.5</v>
      </c>
      <c r="FQ5" t="s">
        <v>511</v>
      </c>
      <c r="FR5">
        <v>9</v>
      </c>
      <c r="FS5" t="s">
        <v>512</v>
      </c>
      <c r="FT5">
        <v>5.5</v>
      </c>
      <c r="FU5" t="s">
        <v>513</v>
      </c>
      <c r="FV5">
        <v>9.5</v>
      </c>
      <c r="FW5" t="s">
        <v>514</v>
      </c>
      <c r="FX5">
        <v>9</v>
      </c>
      <c r="FY5" t="s">
        <v>515</v>
      </c>
      <c r="FZ5">
        <v>3.5</v>
      </c>
      <c r="GA5" t="s">
        <v>516</v>
      </c>
      <c r="GB5">
        <v>10.5</v>
      </c>
      <c r="GC5" t="s">
        <v>517</v>
      </c>
      <c r="GD5">
        <v>11.5</v>
      </c>
      <c r="GE5" t="s">
        <v>518</v>
      </c>
      <c r="GF5">
        <v>7.5</v>
      </c>
      <c r="GG5" t="s">
        <v>519</v>
      </c>
      <c r="GH5">
        <v>11.5</v>
      </c>
      <c r="GI5" t="s">
        <v>520</v>
      </c>
      <c r="GJ5">
        <v>4.5</v>
      </c>
      <c r="GK5" t="s">
        <v>521</v>
      </c>
      <c r="GL5">
        <v>11.5</v>
      </c>
      <c r="GM5" t="s">
        <v>522</v>
      </c>
      <c r="GN5">
        <v>6.5</v>
      </c>
      <c r="GO5" t="s">
        <v>523</v>
      </c>
      <c r="GP5">
        <v>9</v>
      </c>
      <c r="GQ5" t="s">
        <v>524</v>
      </c>
      <c r="GR5">
        <v>3.5</v>
      </c>
    </row>
    <row r="6" spans="1:200" x14ac:dyDescent="0.25">
      <c r="A6" t="s">
        <v>525</v>
      </c>
      <c r="B6">
        <v>66</v>
      </c>
      <c r="C6" t="s">
        <v>526</v>
      </c>
      <c r="E6" t="s">
        <v>527</v>
      </c>
      <c r="G6" t="s">
        <v>528</v>
      </c>
      <c r="H6">
        <v>35</v>
      </c>
      <c r="I6" t="s">
        <v>529</v>
      </c>
      <c r="J6">
        <v>47</v>
      </c>
      <c r="K6" t="s">
        <v>530</v>
      </c>
      <c r="L6">
        <v>30</v>
      </c>
      <c r="M6" t="s">
        <v>531</v>
      </c>
      <c r="N6">
        <v>21</v>
      </c>
      <c r="O6" t="s">
        <v>532</v>
      </c>
      <c r="P6">
        <v>25</v>
      </c>
      <c r="Q6" t="s">
        <v>533</v>
      </c>
      <c r="R6">
        <v>32</v>
      </c>
      <c r="S6" t="s">
        <v>534</v>
      </c>
      <c r="T6">
        <v>29</v>
      </c>
      <c r="U6" t="s">
        <v>535</v>
      </c>
      <c r="V6">
        <v>38</v>
      </c>
      <c r="W6" t="s">
        <v>536</v>
      </c>
      <c r="X6">
        <v>28</v>
      </c>
      <c r="Y6" t="s">
        <v>537</v>
      </c>
      <c r="Z6">
        <v>24</v>
      </c>
      <c r="AA6" t="s">
        <v>538</v>
      </c>
      <c r="AB6">
        <v>71</v>
      </c>
      <c r="AC6" t="s">
        <v>539</v>
      </c>
      <c r="AD6">
        <v>49</v>
      </c>
      <c r="AE6" t="s">
        <v>540</v>
      </c>
      <c r="AF6">
        <v>55</v>
      </c>
      <c r="AG6" t="s">
        <v>541</v>
      </c>
      <c r="AH6">
        <v>34</v>
      </c>
      <c r="AI6" t="s">
        <v>542</v>
      </c>
      <c r="AJ6">
        <v>32</v>
      </c>
      <c r="AK6" t="s">
        <v>543</v>
      </c>
      <c r="AL6">
        <v>21</v>
      </c>
      <c r="AM6" t="s">
        <v>544</v>
      </c>
      <c r="AN6">
        <v>20</v>
      </c>
      <c r="AO6" t="s">
        <v>545</v>
      </c>
      <c r="AP6">
        <v>18</v>
      </c>
      <c r="AQ6" t="s">
        <v>546</v>
      </c>
      <c r="AR6">
        <v>25</v>
      </c>
      <c r="AS6" t="s">
        <v>547</v>
      </c>
      <c r="AT6">
        <v>41</v>
      </c>
      <c r="AU6" t="s">
        <v>548</v>
      </c>
      <c r="AV6">
        <v>35</v>
      </c>
      <c r="AW6" t="s">
        <v>549</v>
      </c>
      <c r="AX6">
        <v>35</v>
      </c>
      <c r="AY6" t="s">
        <v>550</v>
      </c>
      <c r="AZ6">
        <v>36</v>
      </c>
      <c r="BA6" t="s">
        <v>551</v>
      </c>
      <c r="BB6">
        <v>61</v>
      </c>
      <c r="BC6" t="s">
        <v>552</v>
      </c>
      <c r="BD6">
        <v>25</v>
      </c>
      <c r="BE6" t="s">
        <v>553</v>
      </c>
      <c r="BF6">
        <v>33</v>
      </c>
      <c r="BG6" t="s">
        <v>554</v>
      </c>
      <c r="BH6">
        <v>31</v>
      </c>
      <c r="BI6" t="s">
        <v>555</v>
      </c>
      <c r="BJ6">
        <v>25</v>
      </c>
      <c r="BK6" t="s">
        <v>556</v>
      </c>
      <c r="BL6">
        <v>22</v>
      </c>
      <c r="BM6" t="s">
        <v>557</v>
      </c>
      <c r="BN6">
        <v>33</v>
      </c>
      <c r="BO6" t="s">
        <v>558</v>
      </c>
      <c r="BP6">
        <v>41</v>
      </c>
      <c r="BQ6" t="s">
        <v>559</v>
      </c>
      <c r="BR6">
        <v>38</v>
      </c>
      <c r="BS6" t="s">
        <v>560</v>
      </c>
      <c r="BT6">
        <v>36</v>
      </c>
      <c r="BU6" t="s">
        <v>561</v>
      </c>
      <c r="BV6">
        <v>28</v>
      </c>
      <c r="BW6" t="s">
        <v>562</v>
      </c>
      <c r="BX6">
        <v>30</v>
      </c>
      <c r="BY6" t="s">
        <v>563</v>
      </c>
      <c r="BZ6">
        <v>14</v>
      </c>
      <c r="CA6" t="s">
        <v>564</v>
      </c>
      <c r="CB6">
        <v>39</v>
      </c>
      <c r="CC6" t="s">
        <v>565</v>
      </c>
      <c r="CD6">
        <v>27</v>
      </c>
      <c r="CE6" t="s">
        <v>566</v>
      </c>
      <c r="CF6">
        <v>35</v>
      </c>
      <c r="CG6" t="s">
        <v>567</v>
      </c>
      <c r="CH6">
        <v>58</v>
      </c>
      <c r="CI6" t="s">
        <v>568</v>
      </c>
      <c r="CJ6">
        <v>42</v>
      </c>
      <c r="CK6" t="s">
        <v>569</v>
      </c>
      <c r="CL6">
        <v>34</v>
      </c>
      <c r="CM6" t="s">
        <v>570</v>
      </c>
      <c r="CN6">
        <v>36</v>
      </c>
      <c r="CO6" t="s">
        <v>571</v>
      </c>
      <c r="CP6">
        <v>32</v>
      </c>
      <c r="CQ6" t="s">
        <v>572</v>
      </c>
      <c r="CR6">
        <v>35</v>
      </c>
      <c r="CS6" t="s">
        <v>573</v>
      </c>
      <c r="CT6">
        <v>25</v>
      </c>
      <c r="CU6" t="s">
        <v>574</v>
      </c>
      <c r="CV6">
        <v>52</v>
      </c>
      <c r="CW6" t="s">
        <v>575</v>
      </c>
      <c r="CX6">
        <v>43</v>
      </c>
      <c r="CY6" t="s">
        <v>576</v>
      </c>
      <c r="CZ6">
        <v>37</v>
      </c>
      <c r="DA6" t="s">
        <v>577</v>
      </c>
      <c r="DB6">
        <v>23</v>
      </c>
      <c r="DC6" t="s">
        <v>578</v>
      </c>
      <c r="DD6">
        <v>35</v>
      </c>
      <c r="DE6" t="s">
        <v>579</v>
      </c>
      <c r="DF6">
        <v>28</v>
      </c>
      <c r="DG6" t="s">
        <v>580</v>
      </c>
      <c r="DH6">
        <v>44</v>
      </c>
      <c r="DI6" t="s">
        <v>581</v>
      </c>
      <c r="DJ6">
        <v>23</v>
      </c>
      <c r="DK6" t="s">
        <v>582</v>
      </c>
      <c r="DL6">
        <v>23</v>
      </c>
      <c r="DM6" t="s">
        <v>583</v>
      </c>
      <c r="DN6">
        <v>21</v>
      </c>
      <c r="DO6" t="s">
        <v>584</v>
      </c>
      <c r="DP6">
        <v>52</v>
      </c>
      <c r="DQ6" t="s">
        <v>585</v>
      </c>
      <c r="DR6">
        <v>32</v>
      </c>
      <c r="DS6" t="s">
        <v>586</v>
      </c>
      <c r="DU6" t="s">
        <v>587</v>
      </c>
      <c r="DV6">
        <v>17</v>
      </c>
      <c r="DW6" t="s">
        <v>588</v>
      </c>
      <c r="DX6">
        <v>30</v>
      </c>
      <c r="DY6" t="s">
        <v>589</v>
      </c>
      <c r="DZ6">
        <v>24</v>
      </c>
      <c r="EA6" t="s">
        <v>590</v>
      </c>
      <c r="EB6">
        <v>31</v>
      </c>
      <c r="EC6" t="s">
        <v>591</v>
      </c>
      <c r="ED6">
        <v>37</v>
      </c>
      <c r="EE6" t="s">
        <v>592</v>
      </c>
      <c r="EF6">
        <v>37</v>
      </c>
      <c r="EG6" t="s">
        <v>593</v>
      </c>
      <c r="EH6">
        <v>45</v>
      </c>
      <c r="EI6" t="s">
        <v>594</v>
      </c>
      <c r="EJ6">
        <v>36</v>
      </c>
      <c r="EK6" t="s">
        <v>595</v>
      </c>
      <c r="EL6">
        <v>40</v>
      </c>
      <c r="EM6" t="s">
        <v>596</v>
      </c>
      <c r="EN6">
        <v>46</v>
      </c>
      <c r="EO6" t="s">
        <v>597</v>
      </c>
      <c r="EP6">
        <v>43</v>
      </c>
      <c r="EQ6" t="s">
        <v>598</v>
      </c>
      <c r="ER6">
        <v>39</v>
      </c>
      <c r="ES6" t="s">
        <v>599</v>
      </c>
      <c r="ET6">
        <v>30</v>
      </c>
      <c r="EU6" t="s">
        <v>600</v>
      </c>
      <c r="EV6">
        <v>45</v>
      </c>
      <c r="EW6" t="s">
        <v>601</v>
      </c>
      <c r="EX6">
        <v>26</v>
      </c>
      <c r="EY6" t="s">
        <v>602</v>
      </c>
      <c r="EZ6">
        <v>32</v>
      </c>
      <c r="FA6" t="s">
        <v>603</v>
      </c>
      <c r="FB6">
        <v>37</v>
      </c>
      <c r="FC6" t="s">
        <v>604</v>
      </c>
      <c r="FD6">
        <v>31</v>
      </c>
      <c r="FE6" t="s">
        <v>605</v>
      </c>
      <c r="FF6">
        <v>33</v>
      </c>
      <c r="FG6" t="s">
        <v>606</v>
      </c>
      <c r="FH6">
        <v>37</v>
      </c>
      <c r="FI6" t="s">
        <v>607</v>
      </c>
      <c r="FJ6">
        <v>42</v>
      </c>
      <c r="FK6" t="s">
        <v>608</v>
      </c>
      <c r="FL6">
        <v>44</v>
      </c>
      <c r="FM6" t="s">
        <v>609</v>
      </c>
      <c r="FN6">
        <v>38</v>
      </c>
      <c r="FO6" t="s">
        <v>610</v>
      </c>
      <c r="FP6">
        <v>32</v>
      </c>
      <c r="FQ6" t="s">
        <v>611</v>
      </c>
      <c r="FR6">
        <v>73</v>
      </c>
      <c r="FS6" t="s">
        <v>612</v>
      </c>
      <c r="FT6">
        <v>30</v>
      </c>
      <c r="FU6" t="s">
        <v>613</v>
      </c>
      <c r="FV6">
        <v>38</v>
      </c>
      <c r="FW6" t="s">
        <v>614</v>
      </c>
      <c r="FX6">
        <v>45</v>
      </c>
      <c r="FY6" t="s">
        <v>615</v>
      </c>
      <c r="FZ6">
        <v>30</v>
      </c>
      <c r="GA6" t="s">
        <v>616</v>
      </c>
      <c r="GB6">
        <v>73</v>
      </c>
      <c r="GC6" t="s">
        <v>617</v>
      </c>
      <c r="GD6">
        <v>41</v>
      </c>
      <c r="GE6" t="s">
        <v>618</v>
      </c>
      <c r="GF6">
        <v>70</v>
      </c>
      <c r="GG6" t="s">
        <v>619</v>
      </c>
      <c r="GH6">
        <v>44</v>
      </c>
      <c r="GI6" t="s">
        <v>620</v>
      </c>
      <c r="GJ6">
        <v>62</v>
      </c>
      <c r="GK6" t="s">
        <v>621</v>
      </c>
      <c r="GL6">
        <v>50</v>
      </c>
      <c r="GM6" t="s">
        <v>622</v>
      </c>
      <c r="GN6">
        <v>33</v>
      </c>
      <c r="GO6" t="s">
        <v>623</v>
      </c>
      <c r="GP6">
        <v>46</v>
      </c>
      <c r="GQ6" t="s">
        <v>624</v>
      </c>
      <c r="GR6">
        <v>39</v>
      </c>
    </row>
    <row r="7" spans="1:200" x14ac:dyDescent="0.25">
      <c r="A7" t="s">
        <v>625</v>
      </c>
      <c r="B7">
        <v>12</v>
      </c>
      <c r="C7" t="s">
        <v>626</v>
      </c>
      <c r="D7">
        <v>12</v>
      </c>
      <c r="E7" t="s">
        <v>627</v>
      </c>
      <c r="F7">
        <v>12</v>
      </c>
      <c r="G7" t="s">
        <v>628</v>
      </c>
      <c r="H7">
        <v>11.5</v>
      </c>
      <c r="I7" t="s">
        <v>629</v>
      </c>
      <c r="J7">
        <v>12</v>
      </c>
      <c r="K7" t="s">
        <v>630</v>
      </c>
      <c r="L7">
        <v>12</v>
      </c>
      <c r="M7" t="s">
        <v>631</v>
      </c>
      <c r="N7">
        <v>12</v>
      </c>
      <c r="O7" t="s">
        <v>632</v>
      </c>
      <c r="P7">
        <v>12</v>
      </c>
      <c r="Q7" t="s">
        <v>633</v>
      </c>
      <c r="R7">
        <v>12</v>
      </c>
      <c r="S7" t="s">
        <v>634</v>
      </c>
      <c r="T7">
        <v>11.5</v>
      </c>
      <c r="U7" t="s">
        <v>635</v>
      </c>
      <c r="V7">
        <v>12</v>
      </c>
      <c r="W7" t="s">
        <v>636</v>
      </c>
      <c r="X7">
        <v>12</v>
      </c>
      <c r="Y7" t="s">
        <v>637</v>
      </c>
      <c r="Z7">
        <v>12</v>
      </c>
      <c r="AA7" t="s">
        <v>638</v>
      </c>
      <c r="AB7">
        <v>10.5</v>
      </c>
      <c r="AC7" t="s">
        <v>639</v>
      </c>
      <c r="AD7">
        <v>12</v>
      </c>
      <c r="AE7" t="s">
        <v>640</v>
      </c>
      <c r="AF7">
        <v>12</v>
      </c>
      <c r="AG7" t="s">
        <v>641</v>
      </c>
      <c r="AH7">
        <v>12</v>
      </c>
      <c r="AI7" t="s">
        <v>642</v>
      </c>
      <c r="AJ7">
        <v>12</v>
      </c>
      <c r="AK7" t="s">
        <v>643</v>
      </c>
      <c r="AL7">
        <v>12</v>
      </c>
      <c r="AM7" t="s">
        <v>644</v>
      </c>
      <c r="AN7">
        <v>12</v>
      </c>
      <c r="AO7" t="s">
        <v>645</v>
      </c>
      <c r="AP7">
        <v>12</v>
      </c>
      <c r="AQ7" t="s">
        <v>646</v>
      </c>
      <c r="AR7">
        <v>12</v>
      </c>
      <c r="AS7" t="s">
        <v>647</v>
      </c>
      <c r="AT7">
        <v>12</v>
      </c>
      <c r="AU7" t="s">
        <v>648</v>
      </c>
      <c r="AV7">
        <v>12</v>
      </c>
      <c r="AW7" t="s">
        <v>649</v>
      </c>
      <c r="AX7">
        <v>12</v>
      </c>
      <c r="AY7" t="s">
        <v>650</v>
      </c>
      <c r="AZ7">
        <v>12</v>
      </c>
      <c r="BA7" t="s">
        <v>651</v>
      </c>
      <c r="BB7">
        <v>12</v>
      </c>
      <c r="BC7" t="s">
        <v>652</v>
      </c>
      <c r="BD7">
        <v>12</v>
      </c>
      <c r="BE7" t="s">
        <v>653</v>
      </c>
      <c r="BF7">
        <v>11</v>
      </c>
      <c r="BG7" t="s">
        <v>654</v>
      </c>
      <c r="BH7">
        <v>12</v>
      </c>
      <c r="BI7" t="s">
        <v>655</v>
      </c>
      <c r="BJ7">
        <v>9</v>
      </c>
      <c r="BK7" t="s">
        <v>656</v>
      </c>
      <c r="BL7">
        <v>12</v>
      </c>
      <c r="BM7" t="s">
        <v>657</v>
      </c>
      <c r="BN7">
        <v>10</v>
      </c>
      <c r="BO7" t="s">
        <v>658</v>
      </c>
      <c r="BP7">
        <v>12</v>
      </c>
      <c r="BQ7" t="s">
        <v>659</v>
      </c>
      <c r="BR7">
        <v>12</v>
      </c>
      <c r="BS7" t="s">
        <v>660</v>
      </c>
      <c r="BT7">
        <v>11</v>
      </c>
      <c r="BU7" t="s">
        <v>661</v>
      </c>
      <c r="BV7">
        <v>12</v>
      </c>
      <c r="BW7" t="s">
        <v>662</v>
      </c>
      <c r="BX7">
        <v>7</v>
      </c>
      <c r="BY7" t="s">
        <v>663</v>
      </c>
      <c r="BZ7">
        <v>12</v>
      </c>
      <c r="CA7" t="s">
        <v>664</v>
      </c>
      <c r="CB7">
        <v>12</v>
      </c>
      <c r="CC7" t="s">
        <v>665</v>
      </c>
      <c r="CD7">
        <v>12</v>
      </c>
      <c r="CE7" t="s">
        <v>666</v>
      </c>
      <c r="CF7">
        <v>11</v>
      </c>
      <c r="CG7" t="s">
        <v>667</v>
      </c>
      <c r="CH7">
        <v>12</v>
      </c>
      <c r="CI7" t="s">
        <v>668</v>
      </c>
      <c r="CJ7">
        <v>11.5</v>
      </c>
      <c r="CK7" t="s">
        <v>669</v>
      </c>
      <c r="CL7">
        <v>12</v>
      </c>
      <c r="CM7" t="s">
        <v>670</v>
      </c>
      <c r="CN7">
        <v>11.5</v>
      </c>
      <c r="CO7" t="s">
        <v>671</v>
      </c>
      <c r="CP7">
        <v>12</v>
      </c>
      <c r="CQ7" t="s">
        <v>672</v>
      </c>
      <c r="CR7">
        <v>12</v>
      </c>
      <c r="CS7" t="s">
        <v>673</v>
      </c>
      <c r="CT7">
        <v>12</v>
      </c>
      <c r="CU7" t="s">
        <v>674</v>
      </c>
      <c r="CV7">
        <v>12</v>
      </c>
      <c r="CW7" t="s">
        <v>675</v>
      </c>
      <c r="CX7">
        <v>11.5</v>
      </c>
      <c r="CY7" t="s">
        <v>676</v>
      </c>
      <c r="CZ7">
        <v>11.5</v>
      </c>
      <c r="DA7" t="s">
        <v>677</v>
      </c>
      <c r="DB7">
        <v>12</v>
      </c>
      <c r="DC7" t="s">
        <v>678</v>
      </c>
      <c r="DD7">
        <v>11.5</v>
      </c>
      <c r="DE7" t="s">
        <v>679</v>
      </c>
      <c r="DF7">
        <v>12</v>
      </c>
      <c r="DG7" t="s">
        <v>680</v>
      </c>
      <c r="DH7">
        <v>8.5</v>
      </c>
      <c r="DI7" t="s">
        <v>681</v>
      </c>
      <c r="DJ7">
        <v>10.5</v>
      </c>
      <c r="DK7" t="s">
        <v>682</v>
      </c>
      <c r="DL7">
        <v>11</v>
      </c>
      <c r="DM7" t="s">
        <v>683</v>
      </c>
      <c r="DN7">
        <v>12</v>
      </c>
      <c r="DO7" t="s">
        <v>684</v>
      </c>
      <c r="DP7">
        <v>11.5</v>
      </c>
      <c r="DQ7" t="s">
        <v>685</v>
      </c>
      <c r="DR7">
        <v>11.5</v>
      </c>
      <c r="DS7" t="s">
        <v>686</v>
      </c>
      <c r="DT7">
        <v>12</v>
      </c>
      <c r="DU7" t="s">
        <v>687</v>
      </c>
      <c r="DV7">
        <v>12</v>
      </c>
      <c r="DW7" t="s">
        <v>688</v>
      </c>
      <c r="DX7">
        <v>11</v>
      </c>
      <c r="DY7" t="s">
        <v>689</v>
      </c>
      <c r="DZ7">
        <v>12</v>
      </c>
      <c r="EA7" t="s">
        <v>690</v>
      </c>
      <c r="EB7">
        <v>11.5</v>
      </c>
      <c r="EC7" t="s">
        <v>691</v>
      </c>
      <c r="ED7">
        <v>9.5</v>
      </c>
      <c r="EE7" t="s">
        <v>692</v>
      </c>
      <c r="EF7">
        <v>12</v>
      </c>
      <c r="EG7" t="s">
        <v>693</v>
      </c>
      <c r="EH7">
        <v>11</v>
      </c>
      <c r="EI7" t="s">
        <v>694</v>
      </c>
      <c r="EJ7">
        <v>11.5</v>
      </c>
      <c r="EK7" t="s">
        <v>695</v>
      </c>
      <c r="EL7">
        <v>11.5</v>
      </c>
      <c r="EM7" t="s">
        <v>696</v>
      </c>
      <c r="EN7">
        <v>12</v>
      </c>
      <c r="EO7" t="s">
        <v>697</v>
      </c>
      <c r="EP7">
        <v>12</v>
      </c>
      <c r="EQ7" t="s">
        <v>698</v>
      </c>
      <c r="ER7">
        <v>10</v>
      </c>
      <c r="ES7" t="s">
        <v>699</v>
      </c>
      <c r="ET7">
        <v>8.5</v>
      </c>
      <c r="EU7" t="s">
        <v>700</v>
      </c>
      <c r="EV7">
        <v>12</v>
      </c>
      <c r="EW7" t="s">
        <v>701</v>
      </c>
      <c r="EX7">
        <v>11.5</v>
      </c>
      <c r="EY7" t="s">
        <v>702</v>
      </c>
      <c r="EZ7">
        <v>12</v>
      </c>
      <c r="FA7" t="s">
        <v>703</v>
      </c>
      <c r="FB7">
        <v>12</v>
      </c>
      <c r="FC7" t="s">
        <v>704</v>
      </c>
      <c r="FD7">
        <v>12</v>
      </c>
      <c r="FE7" t="s">
        <v>705</v>
      </c>
      <c r="FF7">
        <v>11</v>
      </c>
      <c r="FG7" t="s">
        <v>706</v>
      </c>
      <c r="FH7">
        <v>11</v>
      </c>
      <c r="FI7" t="s">
        <v>707</v>
      </c>
      <c r="FJ7">
        <v>11</v>
      </c>
      <c r="FK7" t="s">
        <v>708</v>
      </c>
      <c r="FL7">
        <v>11</v>
      </c>
      <c r="FM7" t="s">
        <v>709</v>
      </c>
      <c r="FN7">
        <v>10.5</v>
      </c>
      <c r="FO7" t="s">
        <v>710</v>
      </c>
      <c r="FP7">
        <v>11.5</v>
      </c>
      <c r="FQ7" t="s">
        <v>711</v>
      </c>
      <c r="FR7">
        <v>11</v>
      </c>
      <c r="FS7" t="s">
        <v>712</v>
      </c>
      <c r="FT7">
        <v>7.5</v>
      </c>
      <c r="FU7" t="s">
        <v>713</v>
      </c>
      <c r="FV7">
        <v>11.5</v>
      </c>
      <c r="FW7" t="s">
        <v>714</v>
      </c>
      <c r="FX7">
        <v>11.5</v>
      </c>
      <c r="FY7" t="s">
        <v>715</v>
      </c>
      <c r="FZ7">
        <v>7</v>
      </c>
      <c r="GA7" t="s">
        <v>716</v>
      </c>
      <c r="GB7">
        <v>11.5</v>
      </c>
      <c r="GC7" t="s">
        <v>717</v>
      </c>
      <c r="GD7">
        <v>12</v>
      </c>
      <c r="GE7" t="s">
        <v>718</v>
      </c>
      <c r="GF7">
        <v>11</v>
      </c>
      <c r="GG7" t="s">
        <v>719</v>
      </c>
      <c r="GH7">
        <v>12</v>
      </c>
      <c r="GI7" t="s">
        <v>720</v>
      </c>
      <c r="GJ7">
        <v>8.5</v>
      </c>
      <c r="GK7" t="s">
        <v>721</v>
      </c>
      <c r="GL7">
        <v>12</v>
      </c>
      <c r="GM7" t="s">
        <v>722</v>
      </c>
      <c r="GN7">
        <v>8</v>
      </c>
      <c r="GO7" t="s">
        <v>723</v>
      </c>
      <c r="GP7">
        <v>11</v>
      </c>
      <c r="GQ7" t="s">
        <v>724</v>
      </c>
      <c r="GR7">
        <v>9.5</v>
      </c>
    </row>
    <row r="8" spans="1:200" x14ac:dyDescent="0.25">
      <c r="A8" t="s">
        <v>725</v>
      </c>
      <c r="B8">
        <v>1320</v>
      </c>
      <c r="C8" t="s">
        <v>726</v>
      </c>
      <c r="D8">
        <v>1500</v>
      </c>
      <c r="E8" t="s">
        <v>727</v>
      </c>
      <c r="F8">
        <v>1500</v>
      </c>
      <c r="G8" t="s">
        <v>728</v>
      </c>
      <c r="H8">
        <v>1200</v>
      </c>
      <c r="I8" t="s">
        <v>729</v>
      </c>
      <c r="J8">
        <v>1388</v>
      </c>
      <c r="K8" t="s">
        <v>730</v>
      </c>
      <c r="L8">
        <v>895</v>
      </c>
      <c r="M8" t="s">
        <v>731</v>
      </c>
      <c r="N8">
        <v>911</v>
      </c>
      <c r="O8" t="s">
        <v>732</v>
      </c>
      <c r="P8">
        <v>1200</v>
      </c>
      <c r="Q8" t="s">
        <v>733</v>
      </c>
      <c r="R8">
        <v>1200</v>
      </c>
      <c r="S8" t="s">
        <v>734</v>
      </c>
      <c r="T8">
        <v>1200</v>
      </c>
      <c r="U8" t="s">
        <v>735</v>
      </c>
      <c r="V8">
        <v>1150</v>
      </c>
      <c r="W8" t="s">
        <v>736</v>
      </c>
      <c r="X8">
        <v>1500</v>
      </c>
      <c r="Y8" t="s">
        <v>737</v>
      </c>
      <c r="Z8">
        <v>931</v>
      </c>
      <c r="AA8" t="s">
        <v>738</v>
      </c>
      <c r="AB8">
        <v>1260</v>
      </c>
      <c r="AC8" t="s">
        <v>739</v>
      </c>
      <c r="AD8">
        <v>1080</v>
      </c>
      <c r="AE8" t="s">
        <v>740</v>
      </c>
      <c r="AF8">
        <v>1320</v>
      </c>
      <c r="AG8" t="s">
        <v>741</v>
      </c>
      <c r="AH8">
        <v>1200</v>
      </c>
      <c r="AI8" t="s">
        <v>742</v>
      </c>
      <c r="AJ8">
        <v>1260</v>
      </c>
      <c r="AK8" t="s">
        <v>743</v>
      </c>
      <c r="AL8">
        <v>1320</v>
      </c>
      <c r="AM8" t="s">
        <v>744</v>
      </c>
      <c r="AN8">
        <v>1500</v>
      </c>
      <c r="AO8" t="s">
        <v>745</v>
      </c>
      <c r="AP8">
        <v>1080</v>
      </c>
      <c r="AQ8" t="s">
        <v>746</v>
      </c>
      <c r="AR8">
        <v>1500</v>
      </c>
      <c r="AS8" t="s">
        <v>747</v>
      </c>
      <c r="AT8">
        <v>1560</v>
      </c>
      <c r="AU8" t="s">
        <v>748</v>
      </c>
      <c r="AV8">
        <v>1200</v>
      </c>
      <c r="AW8" t="s">
        <v>749</v>
      </c>
      <c r="AX8">
        <v>1200</v>
      </c>
      <c r="AY8" t="s">
        <v>750</v>
      </c>
      <c r="AZ8">
        <v>1560</v>
      </c>
      <c r="BA8" t="s">
        <v>751</v>
      </c>
      <c r="BB8">
        <v>1250</v>
      </c>
      <c r="BC8" t="s">
        <v>752</v>
      </c>
      <c r="BD8">
        <v>1200</v>
      </c>
      <c r="BE8" t="s">
        <v>753</v>
      </c>
      <c r="BF8">
        <v>1320</v>
      </c>
      <c r="BG8" t="s">
        <v>754</v>
      </c>
      <c r="BH8">
        <v>1440</v>
      </c>
      <c r="BI8" t="s">
        <v>755</v>
      </c>
      <c r="BJ8">
        <v>1200</v>
      </c>
      <c r="BK8" t="s">
        <v>756</v>
      </c>
      <c r="BL8">
        <v>1500</v>
      </c>
      <c r="BM8" t="s">
        <v>757</v>
      </c>
      <c r="BN8">
        <v>1320</v>
      </c>
      <c r="BO8" t="s">
        <v>758</v>
      </c>
      <c r="BP8">
        <v>1200</v>
      </c>
      <c r="BQ8" t="s">
        <v>759</v>
      </c>
      <c r="BR8">
        <v>1200</v>
      </c>
      <c r="BS8" t="s">
        <v>760</v>
      </c>
      <c r="BT8">
        <v>1200</v>
      </c>
      <c r="BU8" t="s">
        <v>761</v>
      </c>
      <c r="BV8">
        <v>1260</v>
      </c>
      <c r="BW8" t="s">
        <v>762</v>
      </c>
      <c r="BX8">
        <v>1500</v>
      </c>
      <c r="BY8" t="s">
        <v>763</v>
      </c>
      <c r="BZ8">
        <v>1500</v>
      </c>
      <c r="CA8" t="s">
        <v>764</v>
      </c>
      <c r="CB8">
        <v>1260</v>
      </c>
      <c r="CC8" t="s">
        <v>765</v>
      </c>
      <c r="CD8">
        <v>1080</v>
      </c>
      <c r="CE8" t="s">
        <v>766</v>
      </c>
      <c r="CF8">
        <v>1620</v>
      </c>
      <c r="CG8" t="s">
        <v>767</v>
      </c>
      <c r="CH8">
        <v>1140</v>
      </c>
      <c r="CI8" t="s">
        <v>768</v>
      </c>
      <c r="CJ8">
        <v>1320</v>
      </c>
      <c r="CK8" t="s">
        <v>769</v>
      </c>
      <c r="CL8">
        <v>1260</v>
      </c>
      <c r="CM8" t="s">
        <v>770</v>
      </c>
      <c r="CN8">
        <v>1200</v>
      </c>
      <c r="CO8" t="s">
        <v>771</v>
      </c>
      <c r="CP8">
        <v>1200</v>
      </c>
      <c r="CQ8" t="s">
        <v>772</v>
      </c>
      <c r="CR8">
        <v>1440</v>
      </c>
      <c r="CS8" t="s">
        <v>773</v>
      </c>
      <c r="CT8">
        <v>1380</v>
      </c>
      <c r="CU8" t="s">
        <v>774</v>
      </c>
      <c r="CV8">
        <v>1620</v>
      </c>
      <c r="CW8" t="s">
        <v>775</v>
      </c>
      <c r="CX8">
        <v>1260</v>
      </c>
      <c r="CY8" t="s">
        <v>776</v>
      </c>
      <c r="CZ8">
        <v>1140</v>
      </c>
      <c r="DA8" t="s">
        <v>777</v>
      </c>
      <c r="DB8">
        <v>1260</v>
      </c>
      <c r="DC8" t="s">
        <v>778</v>
      </c>
      <c r="DD8">
        <v>1200</v>
      </c>
      <c r="DE8" t="s">
        <v>779</v>
      </c>
      <c r="DF8">
        <v>1380</v>
      </c>
      <c r="DG8" t="s">
        <v>780</v>
      </c>
      <c r="DH8">
        <v>1560</v>
      </c>
      <c r="DI8" t="s">
        <v>781</v>
      </c>
      <c r="DJ8">
        <v>1080</v>
      </c>
      <c r="DK8" t="s">
        <v>782</v>
      </c>
      <c r="DL8">
        <v>1020</v>
      </c>
      <c r="DM8" t="s">
        <v>783</v>
      </c>
      <c r="DN8">
        <v>1140</v>
      </c>
      <c r="DO8" t="s">
        <v>784</v>
      </c>
      <c r="DP8">
        <v>1440</v>
      </c>
      <c r="DQ8" t="s">
        <v>785</v>
      </c>
      <c r="DR8">
        <v>1080</v>
      </c>
      <c r="DS8" t="s">
        <v>786</v>
      </c>
      <c r="DT8">
        <v>1500</v>
      </c>
      <c r="DU8" t="s">
        <v>787</v>
      </c>
      <c r="DV8">
        <v>1200</v>
      </c>
      <c r="DW8" t="s">
        <v>788</v>
      </c>
      <c r="DX8">
        <v>1200</v>
      </c>
      <c r="DY8" t="s">
        <v>789</v>
      </c>
      <c r="DZ8">
        <v>1200</v>
      </c>
      <c r="EA8" t="s">
        <v>790</v>
      </c>
      <c r="EB8">
        <v>1260</v>
      </c>
      <c r="EC8" t="s">
        <v>791</v>
      </c>
      <c r="ED8">
        <v>1500</v>
      </c>
      <c r="EE8" t="s">
        <v>792</v>
      </c>
      <c r="EF8">
        <v>1500</v>
      </c>
      <c r="EG8" t="s">
        <v>793</v>
      </c>
      <c r="EH8">
        <v>1080</v>
      </c>
      <c r="EI8" t="s">
        <v>794</v>
      </c>
      <c r="EJ8">
        <v>1440</v>
      </c>
      <c r="EK8" t="s">
        <v>795</v>
      </c>
      <c r="EL8">
        <v>1200</v>
      </c>
      <c r="EM8" t="s">
        <v>796</v>
      </c>
      <c r="EN8">
        <v>1200</v>
      </c>
      <c r="EO8" t="s">
        <v>797</v>
      </c>
      <c r="EP8">
        <v>1680</v>
      </c>
      <c r="EQ8" t="s">
        <v>798</v>
      </c>
      <c r="ER8">
        <v>1200</v>
      </c>
      <c r="ES8" t="s">
        <v>799</v>
      </c>
      <c r="ET8">
        <v>1980</v>
      </c>
      <c r="EU8" t="s">
        <v>800</v>
      </c>
      <c r="EV8">
        <v>1500</v>
      </c>
      <c r="EW8" t="s">
        <v>801</v>
      </c>
      <c r="EX8">
        <v>1260</v>
      </c>
      <c r="EY8" t="s">
        <v>802</v>
      </c>
      <c r="EZ8">
        <v>1260</v>
      </c>
      <c r="FA8" t="s">
        <v>803</v>
      </c>
      <c r="FB8">
        <v>1620</v>
      </c>
      <c r="FC8" t="s">
        <v>804</v>
      </c>
      <c r="FD8">
        <v>1260</v>
      </c>
      <c r="FE8" t="s">
        <v>805</v>
      </c>
      <c r="FF8">
        <v>1320</v>
      </c>
      <c r="FG8" t="s">
        <v>806</v>
      </c>
      <c r="FH8">
        <v>1260</v>
      </c>
      <c r="FI8" t="s">
        <v>807</v>
      </c>
      <c r="FJ8">
        <v>1320</v>
      </c>
      <c r="FK8" t="s">
        <v>808</v>
      </c>
      <c r="FL8">
        <v>1620</v>
      </c>
      <c r="FM8" t="s">
        <v>809</v>
      </c>
      <c r="FN8">
        <v>1200</v>
      </c>
      <c r="FO8" t="s">
        <v>810</v>
      </c>
      <c r="FP8">
        <v>1320</v>
      </c>
      <c r="FQ8" t="s">
        <v>811</v>
      </c>
      <c r="FR8">
        <v>2340</v>
      </c>
      <c r="FS8" t="s">
        <v>812</v>
      </c>
      <c r="FT8">
        <v>1320</v>
      </c>
      <c r="FU8" t="s">
        <v>813</v>
      </c>
      <c r="FV8">
        <v>1200</v>
      </c>
      <c r="FW8" t="s">
        <v>814</v>
      </c>
      <c r="FX8">
        <v>1560</v>
      </c>
      <c r="FY8" t="s">
        <v>815</v>
      </c>
      <c r="FZ8">
        <v>1500</v>
      </c>
      <c r="GA8" t="s">
        <v>816</v>
      </c>
      <c r="GB8">
        <v>1500</v>
      </c>
      <c r="GC8" t="s">
        <v>817</v>
      </c>
      <c r="GD8">
        <v>1620</v>
      </c>
      <c r="GE8" t="s">
        <v>818</v>
      </c>
      <c r="GF8">
        <v>1500</v>
      </c>
      <c r="GG8" t="s">
        <v>819</v>
      </c>
      <c r="GH8">
        <v>1200</v>
      </c>
      <c r="GI8" t="s">
        <v>820</v>
      </c>
      <c r="GJ8">
        <v>1260</v>
      </c>
      <c r="GK8" t="s">
        <v>821</v>
      </c>
      <c r="GL8">
        <v>1380</v>
      </c>
      <c r="GM8" t="s">
        <v>822</v>
      </c>
      <c r="GN8">
        <v>1380</v>
      </c>
      <c r="GO8" t="s">
        <v>823</v>
      </c>
      <c r="GP8">
        <v>1260</v>
      </c>
      <c r="GQ8" t="s">
        <v>824</v>
      </c>
      <c r="GR8">
        <v>1320</v>
      </c>
    </row>
    <row r="9" spans="1:200" x14ac:dyDescent="0.25">
      <c r="A9" t="s">
        <v>825</v>
      </c>
      <c r="B9">
        <v>53</v>
      </c>
      <c r="C9" t="s">
        <v>826</v>
      </c>
      <c r="E9" t="s">
        <v>827</v>
      </c>
      <c r="G9" t="s">
        <v>828</v>
      </c>
      <c r="H9">
        <v>16</v>
      </c>
      <c r="I9" t="s">
        <v>829</v>
      </c>
      <c r="J9">
        <v>28</v>
      </c>
      <c r="K9" t="s">
        <v>830</v>
      </c>
      <c r="L9">
        <v>35</v>
      </c>
      <c r="M9" t="s">
        <v>831</v>
      </c>
      <c r="N9">
        <v>22</v>
      </c>
      <c r="O9" t="s">
        <v>832</v>
      </c>
      <c r="P9">
        <v>29</v>
      </c>
      <c r="Q9" t="s">
        <v>833</v>
      </c>
      <c r="R9">
        <v>44</v>
      </c>
      <c r="S9" t="s">
        <v>834</v>
      </c>
      <c r="T9">
        <v>22</v>
      </c>
      <c r="U9" t="s">
        <v>835</v>
      </c>
      <c r="V9">
        <v>41</v>
      </c>
      <c r="W9" t="s">
        <v>836</v>
      </c>
      <c r="X9">
        <v>19</v>
      </c>
      <c r="Y9" t="s">
        <v>837</v>
      </c>
      <c r="Z9">
        <v>34</v>
      </c>
      <c r="AA9" t="s">
        <v>838</v>
      </c>
      <c r="AB9">
        <v>1</v>
      </c>
      <c r="AC9" t="s">
        <v>839</v>
      </c>
      <c r="AD9">
        <v>45</v>
      </c>
      <c r="AE9" t="s">
        <v>840</v>
      </c>
      <c r="AF9">
        <v>62</v>
      </c>
      <c r="AG9" t="s">
        <v>841</v>
      </c>
      <c r="AH9">
        <v>31</v>
      </c>
      <c r="AI9" t="s">
        <v>842</v>
      </c>
      <c r="AJ9">
        <v>19</v>
      </c>
      <c r="AK9" t="s">
        <v>843</v>
      </c>
      <c r="AL9">
        <v>20</v>
      </c>
      <c r="AM9" t="s">
        <v>844</v>
      </c>
      <c r="AN9">
        <v>24</v>
      </c>
      <c r="AO9" t="s">
        <v>845</v>
      </c>
      <c r="AP9">
        <v>20</v>
      </c>
      <c r="AQ9" t="s">
        <v>846</v>
      </c>
      <c r="AR9">
        <v>20</v>
      </c>
      <c r="AS9" t="s">
        <v>847</v>
      </c>
      <c r="AT9">
        <v>25</v>
      </c>
      <c r="AU9" t="s">
        <v>848</v>
      </c>
      <c r="AV9">
        <v>23</v>
      </c>
      <c r="AW9" t="s">
        <v>849</v>
      </c>
      <c r="AX9">
        <v>25</v>
      </c>
      <c r="AY9" t="s">
        <v>850</v>
      </c>
      <c r="AZ9">
        <v>44</v>
      </c>
      <c r="BA9" t="s">
        <v>851</v>
      </c>
      <c r="BB9">
        <v>58</v>
      </c>
      <c r="BC9" t="s">
        <v>852</v>
      </c>
      <c r="BD9">
        <v>32</v>
      </c>
      <c r="BE9" t="s">
        <v>853</v>
      </c>
      <c r="BF9">
        <v>48</v>
      </c>
      <c r="BG9" t="s">
        <v>854</v>
      </c>
      <c r="BH9">
        <v>41</v>
      </c>
      <c r="BI9" t="s">
        <v>855</v>
      </c>
      <c r="BJ9">
        <v>31</v>
      </c>
      <c r="BK9" t="s">
        <v>856</v>
      </c>
      <c r="BL9">
        <v>30</v>
      </c>
      <c r="BM9" t="s">
        <v>857</v>
      </c>
      <c r="BN9">
        <v>29</v>
      </c>
      <c r="BO9" t="s">
        <v>858</v>
      </c>
      <c r="BP9">
        <v>29</v>
      </c>
      <c r="BQ9" t="s">
        <v>859</v>
      </c>
      <c r="BR9">
        <v>27</v>
      </c>
      <c r="BS9" t="s">
        <v>860</v>
      </c>
      <c r="BT9">
        <v>23</v>
      </c>
      <c r="BU9" t="s">
        <v>861</v>
      </c>
      <c r="BV9">
        <v>28</v>
      </c>
      <c r="BW9" t="s">
        <v>862</v>
      </c>
      <c r="BX9">
        <v>18</v>
      </c>
      <c r="BY9" t="s">
        <v>863</v>
      </c>
      <c r="BZ9">
        <v>15</v>
      </c>
      <c r="CA9" t="s">
        <v>864</v>
      </c>
      <c r="CB9">
        <v>35</v>
      </c>
      <c r="CC9" t="s">
        <v>865</v>
      </c>
      <c r="CD9">
        <v>26</v>
      </c>
      <c r="CE9" t="s">
        <v>866</v>
      </c>
      <c r="CF9">
        <v>31</v>
      </c>
      <c r="CG9" t="s">
        <v>867</v>
      </c>
      <c r="CH9">
        <v>26</v>
      </c>
      <c r="CI9" t="s">
        <v>868</v>
      </c>
      <c r="CJ9">
        <v>31</v>
      </c>
      <c r="CK9" t="s">
        <v>869</v>
      </c>
      <c r="CL9">
        <v>21</v>
      </c>
      <c r="CM9" t="s">
        <v>870</v>
      </c>
      <c r="CN9">
        <v>51</v>
      </c>
      <c r="CO9" t="s">
        <v>871</v>
      </c>
      <c r="CP9">
        <v>38</v>
      </c>
      <c r="CQ9" t="s">
        <v>872</v>
      </c>
      <c r="CR9">
        <v>21</v>
      </c>
      <c r="CS9" t="s">
        <v>873</v>
      </c>
      <c r="CT9">
        <v>34</v>
      </c>
      <c r="CU9" t="s">
        <v>874</v>
      </c>
      <c r="CV9">
        <v>40</v>
      </c>
      <c r="CW9" t="s">
        <v>875</v>
      </c>
      <c r="CX9">
        <v>36</v>
      </c>
      <c r="CY9" t="s">
        <v>876</v>
      </c>
      <c r="CZ9">
        <v>39</v>
      </c>
      <c r="DA9" t="s">
        <v>877</v>
      </c>
      <c r="DB9">
        <v>22</v>
      </c>
      <c r="DC9" t="s">
        <v>878</v>
      </c>
      <c r="DD9">
        <v>30</v>
      </c>
      <c r="DE9" t="s">
        <v>879</v>
      </c>
      <c r="DF9">
        <v>15</v>
      </c>
      <c r="DG9" t="s">
        <v>880</v>
      </c>
      <c r="DH9">
        <v>24</v>
      </c>
      <c r="DI9" t="s">
        <v>881</v>
      </c>
      <c r="DJ9">
        <v>28</v>
      </c>
      <c r="DK9" t="s">
        <v>882</v>
      </c>
      <c r="DL9">
        <v>26</v>
      </c>
      <c r="DM9" t="s">
        <v>883</v>
      </c>
      <c r="DN9">
        <v>26</v>
      </c>
      <c r="DO9" t="s">
        <v>884</v>
      </c>
      <c r="DP9">
        <v>36</v>
      </c>
      <c r="DQ9" t="s">
        <v>885</v>
      </c>
      <c r="DR9">
        <v>20</v>
      </c>
      <c r="DS9" t="s">
        <v>886</v>
      </c>
      <c r="DU9" t="s">
        <v>887</v>
      </c>
      <c r="DV9">
        <v>25</v>
      </c>
      <c r="DW9" t="s">
        <v>888</v>
      </c>
      <c r="DX9">
        <v>36</v>
      </c>
      <c r="DY9" t="s">
        <v>889</v>
      </c>
      <c r="DZ9">
        <v>24</v>
      </c>
      <c r="EA9" t="s">
        <v>890</v>
      </c>
      <c r="EB9">
        <v>23</v>
      </c>
      <c r="EC9" t="s">
        <v>891</v>
      </c>
      <c r="ED9">
        <v>25</v>
      </c>
      <c r="EE9" t="s">
        <v>892</v>
      </c>
      <c r="EF9">
        <v>30</v>
      </c>
      <c r="EG9" t="s">
        <v>893</v>
      </c>
      <c r="EH9">
        <v>34</v>
      </c>
      <c r="EI9" t="s">
        <v>894</v>
      </c>
      <c r="EJ9">
        <v>191</v>
      </c>
      <c r="EK9" t="s">
        <v>895</v>
      </c>
      <c r="EL9">
        <v>25</v>
      </c>
      <c r="EM9" t="s">
        <v>896</v>
      </c>
      <c r="EN9">
        <v>38</v>
      </c>
      <c r="EO9" t="s">
        <v>897</v>
      </c>
      <c r="EP9">
        <v>33</v>
      </c>
      <c r="EQ9" t="s">
        <v>898</v>
      </c>
      <c r="ER9">
        <v>21</v>
      </c>
      <c r="ES9" t="s">
        <v>899</v>
      </c>
      <c r="ET9">
        <v>36</v>
      </c>
      <c r="EU9" t="s">
        <v>900</v>
      </c>
      <c r="EV9">
        <v>23</v>
      </c>
      <c r="EW9" t="s">
        <v>901</v>
      </c>
      <c r="EX9">
        <v>23</v>
      </c>
      <c r="EY9" t="s">
        <v>902</v>
      </c>
      <c r="EZ9">
        <v>26</v>
      </c>
      <c r="FA9" t="s">
        <v>903</v>
      </c>
      <c r="FB9">
        <v>30</v>
      </c>
      <c r="FC9" t="s">
        <v>904</v>
      </c>
      <c r="FD9">
        <v>26</v>
      </c>
      <c r="FE9" t="s">
        <v>905</v>
      </c>
      <c r="FF9">
        <v>30</v>
      </c>
      <c r="FG9" t="s">
        <v>906</v>
      </c>
      <c r="FH9">
        <v>22</v>
      </c>
      <c r="FI9" t="s">
        <v>907</v>
      </c>
      <c r="FJ9">
        <v>61</v>
      </c>
      <c r="FK9" t="s">
        <v>908</v>
      </c>
      <c r="FL9">
        <v>35</v>
      </c>
      <c r="FM9" t="s">
        <v>909</v>
      </c>
      <c r="FN9">
        <v>52</v>
      </c>
      <c r="FO9" t="s">
        <v>910</v>
      </c>
      <c r="FP9">
        <v>30</v>
      </c>
      <c r="FQ9" t="s">
        <v>911</v>
      </c>
      <c r="FR9">
        <v>103</v>
      </c>
      <c r="FS9" t="s">
        <v>912</v>
      </c>
      <c r="FT9">
        <v>32</v>
      </c>
      <c r="FU9" t="s">
        <v>913</v>
      </c>
      <c r="FV9">
        <v>25</v>
      </c>
      <c r="FW9" t="s">
        <v>914</v>
      </c>
      <c r="FX9">
        <v>76</v>
      </c>
      <c r="FY9" t="s">
        <v>915</v>
      </c>
      <c r="FZ9">
        <v>24</v>
      </c>
      <c r="GA9" t="s">
        <v>916</v>
      </c>
      <c r="GB9">
        <v>64</v>
      </c>
      <c r="GC9" t="s">
        <v>917</v>
      </c>
      <c r="GD9">
        <v>29</v>
      </c>
      <c r="GE9" t="s">
        <v>918</v>
      </c>
      <c r="GF9">
        <v>58</v>
      </c>
      <c r="GG9" t="s">
        <v>919</v>
      </c>
      <c r="GH9">
        <v>69</v>
      </c>
      <c r="GI9" t="s">
        <v>920</v>
      </c>
      <c r="GJ9">
        <v>42</v>
      </c>
      <c r="GK9" t="s">
        <v>921</v>
      </c>
      <c r="GL9">
        <v>68</v>
      </c>
      <c r="GM9" t="s">
        <v>922</v>
      </c>
      <c r="GN9">
        <v>41</v>
      </c>
      <c r="GO9" t="s">
        <v>923</v>
      </c>
      <c r="GP9">
        <v>31</v>
      </c>
      <c r="GQ9" t="s">
        <v>924</v>
      </c>
      <c r="GR9">
        <v>63</v>
      </c>
    </row>
    <row r="10" spans="1:200" x14ac:dyDescent="0.25">
      <c r="A10" t="s">
        <v>925</v>
      </c>
      <c r="B10">
        <v>12</v>
      </c>
      <c r="C10" t="s">
        <v>926</v>
      </c>
      <c r="D10">
        <v>12</v>
      </c>
      <c r="E10" t="s">
        <v>927</v>
      </c>
      <c r="F10">
        <v>12</v>
      </c>
      <c r="G10" t="s">
        <v>928</v>
      </c>
      <c r="H10">
        <v>11.5</v>
      </c>
      <c r="I10" t="s">
        <v>929</v>
      </c>
      <c r="J10">
        <v>12</v>
      </c>
      <c r="K10" t="s">
        <v>930</v>
      </c>
      <c r="L10">
        <v>12</v>
      </c>
      <c r="M10" t="s">
        <v>931</v>
      </c>
      <c r="N10">
        <v>12</v>
      </c>
      <c r="O10" t="s">
        <v>932</v>
      </c>
      <c r="P10">
        <v>12</v>
      </c>
      <c r="Q10" t="s">
        <v>933</v>
      </c>
      <c r="R10">
        <v>8</v>
      </c>
      <c r="S10" t="s">
        <v>934</v>
      </c>
      <c r="T10">
        <v>11.5</v>
      </c>
      <c r="U10" t="s">
        <v>935</v>
      </c>
      <c r="V10">
        <v>12</v>
      </c>
      <c r="W10" t="s">
        <v>936</v>
      </c>
      <c r="X10">
        <v>12</v>
      </c>
      <c r="Y10" t="s">
        <v>937</v>
      </c>
      <c r="Z10">
        <v>12</v>
      </c>
      <c r="AA10" t="s">
        <v>938</v>
      </c>
      <c r="AB10">
        <v>10.5</v>
      </c>
      <c r="AC10" t="s">
        <v>939</v>
      </c>
      <c r="AD10">
        <v>11.5</v>
      </c>
      <c r="AE10" t="s">
        <v>940</v>
      </c>
      <c r="AF10">
        <v>12</v>
      </c>
      <c r="AG10" t="s">
        <v>941</v>
      </c>
      <c r="AH10">
        <v>12</v>
      </c>
      <c r="AI10" t="s">
        <v>942</v>
      </c>
      <c r="AJ10">
        <v>11.5</v>
      </c>
      <c r="AK10" t="s">
        <v>943</v>
      </c>
      <c r="AL10">
        <v>11.5</v>
      </c>
      <c r="AM10" t="s">
        <v>944</v>
      </c>
      <c r="AN10">
        <v>12</v>
      </c>
      <c r="AO10" t="s">
        <v>945</v>
      </c>
      <c r="AP10">
        <v>12</v>
      </c>
      <c r="AQ10" t="s">
        <v>946</v>
      </c>
      <c r="AR10">
        <v>12</v>
      </c>
      <c r="AS10" t="s">
        <v>947</v>
      </c>
      <c r="AT10">
        <v>12</v>
      </c>
      <c r="AU10" t="s">
        <v>948</v>
      </c>
      <c r="AV10">
        <v>12</v>
      </c>
      <c r="AW10" t="s">
        <v>949</v>
      </c>
      <c r="AX10">
        <v>12</v>
      </c>
      <c r="AY10" t="s">
        <v>950</v>
      </c>
      <c r="AZ10">
        <v>12</v>
      </c>
      <c r="BA10" t="s">
        <v>951</v>
      </c>
      <c r="BB10">
        <v>12</v>
      </c>
      <c r="BC10" t="s">
        <v>952</v>
      </c>
      <c r="BD10">
        <v>12</v>
      </c>
      <c r="BE10" t="s">
        <v>953</v>
      </c>
      <c r="BF10">
        <v>10</v>
      </c>
      <c r="BG10" t="s">
        <v>954</v>
      </c>
      <c r="BH10">
        <v>12</v>
      </c>
      <c r="BI10" t="s">
        <v>955</v>
      </c>
      <c r="BJ10">
        <v>9</v>
      </c>
      <c r="BK10" t="s">
        <v>956</v>
      </c>
      <c r="BL10">
        <v>12</v>
      </c>
      <c r="BM10" t="s">
        <v>957</v>
      </c>
      <c r="BN10">
        <v>12</v>
      </c>
      <c r="BO10" t="s">
        <v>958</v>
      </c>
      <c r="BP10">
        <v>12</v>
      </c>
      <c r="BQ10" t="s">
        <v>959</v>
      </c>
      <c r="BR10">
        <v>12</v>
      </c>
      <c r="BS10" t="s">
        <v>960</v>
      </c>
      <c r="BT10">
        <v>11</v>
      </c>
      <c r="BU10" t="s">
        <v>961</v>
      </c>
      <c r="BV10">
        <v>12</v>
      </c>
      <c r="BW10" t="s">
        <v>962</v>
      </c>
      <c r="BX10">
        <v>7</v>
      </c>
      <c r="BY10" t="s">
        <v>963</v>
      </c>
      <c r="BZ10">
        <v>12</v>
      </c>
      <c r="CA10" t="s">
        <v>964</v>
      </c>
      <c r="CB10">
        <v>12</v>
      </c>
      <c r="CC10" t="s">
        <v>965</v>
      </c>
      <c r="CD10">
        <v>12</v>
      </c>
      <c r="CE10" t="s">
        <v>966</v>
      </c>
      <c r="CF10">
        <v>11.5</v>
      </c>
      <c r="CG10" t="s">
        <v>967</v>
      </c>
      <c r="CH10">
        <v>12</v>
      </c>
      <c r="CI10" t="s">
        <v>968</v>
      </c>
      <c r="CJ10">
        <v>11.5</v>
      </c>
      <c r="CK10" t="s">
        <v>969</v>
      </c>
      <c r="CL10">
        <v>12</v>
      </c>
      <c r="CM10" t="s">
        <v>970</v>
      </c>
      <c r="CN10">
        <v>11</v>
      </c>
      <c r="CO10" t="s">
        <v>971</v>
      </c>
      <c r="CP10">
        <v>12</v>
      </c>
      <c r="CQ10" t="s">
        <v>972</v>
      </c>
      <c r="CR10">
        <v>12</v>
      </c>
      <c r="CS10" t="s">
        <v>973</v>
      </c>
      <c r="CT10">
        <v>12</v>
      </c>
      <c r="CU10" t="s">
        <v>974</v>
      </c>
      <c r="CV10">
        <v>12</v>
      </c>
      <c r="CW10" t="s">
        <v>975</v>
      </c>
      <c r="CX10">
        <v>11.5</v>
      </c>
      <c r="CY10" t="s">
        <v>976</v>
      </c>
      <c r="CZ10">
        <v>11.5</v>
      </c>
      <c r="DA10" t="s">
        <v>977</v>
      </c>
      <c r="DB10">
        <v>12</v>
      </c>
      <c r="DC10" t="s">
        <v>978</v>
      </c>
      <c r="DD10">
        <v>11.5</v>
      </c>
      <c r="DE10" t="s">
        <v>979</v>
      </c>
      <c r="DF10">
        <v>12</v>
      </c>
      <c r="DG10" t="s">
        <v>980</v>
      </c>
      <c r="DH10">
        <v>8.5</v>
      </c>
      <c r="DI10" t="s">
        <v>981</v>
      </c>
      <c r="DJ10">
        <v>10.5</v>
      </c>
      <c r="DK10" t="s">
        <v>982</v>
      </c>
      <c r="DL10">
        <v>11</v>
      </c>
      <c r="DM10" t="s">
        <v>983</v>
      </c>
      <c r="DN10">
        <v>12</v>
      </c>
      <c r="DO10" t="s">
        <v>984</v>
      </c>
      <c r="DP10">
        <v>11.5</v>
      </c>
      <c r="DQ10" t="s">
        <v>985</v>
      </c>
      <c r="DR10">
        <v>11.5</v>
      </c>
      <c r="DS10" t="s">
        <v>986</v>
      </c>
      <c r="DT10">
        <v>12</v>
      </c>
      <c r="DU10" t="s">
        <v>987</v>
      </c>
      <c r="DV10">
        <v>12</v>
      </c>
      <c r="DW10" t="s">
        <v>988</v>
      </c>
      <c r="DX10">
        <v>10</v>
      </c>
      <c r="DY10" t="s">
        <v>989</v>
      </c>
      <c r="DZ10">
        <v>12</v>
      </c>
      <c r="EA10" t="s">
        <v>990</v>
      </c>
      <c r="EB10">
        <v>11.5</v>
      </c>
      <c r="EC10" t="s">
        <v>991</v>
      </c>
      <c r="ED10">
        <v>7</v>
      </c>
      <c r="EE10" t="s">
        <v>992</v>
      </c>
      <c r="EF10">
        <v>12</v>
      </c>
      <c r="EG10" t="s">
        <v>993</v>
      </c>
      <c r="EH10">
        <v>11</v>
      </c>
      <c r="EI10" t="s">
        <v>994</v>
      </c>
      <c r="EJ10">
        <v>8</v>
      </c>
      <c r="EK10" t="s">
        <v>995</v>
      </c>
      <c r="EL10">
        <v>11.5</v>
      </c>
      <c r="EM10" t="s">
        <v>996</v>
      </c>
      <c r="EN10">
        <v>12</v>
      </c>
      <c r="EO10" t="s">
        <v>997</v>
      </c>
      <c r="EP10">
        <v>11.5</v>
      </c>
      <c r="EQ10" t="s">
        <v>998</v>
      </c>
      <c r="ER10">
        <v>10</v>
      </c>
      <c r="ES10" t="s">
        <v>999</v>
      </c>
      <c r="ET10">
        <v>7</v>
      </c>
      <c r="EU10" t="s">
        <v>1000</v>
      </c>
      <c r="EV10">
        <v>12</v>
      </c>
      <c r="EW10" t="s">
        <v>1001</v>
      </c>
      <c r="EX10">
        <v>11.5</v>
      </c>
      <c r="EY10" t="s">
        <v>1002</v>
      </c>
      <c r="EZ10">
        <v>11.5</v>
      </c>
      <c r="FA10" t="s">
        <v>1003</v>
      </c>
      <c r="FB10">
        <v>10</v>
      </c>
      <c r="FC10" t="s">
        <v>1004</v>
      </c>
      <c r="FD10">
        <v>12</v>
      </c>
      <c r="FE10" t="s">
        <v>1005</v>
      </c>
      <c r="FF10">
        <v>11</v>
      </c>
      <c r="FG10" t="s">
        <v>1006</v>
      </c>
      <c r="FH10">
        <v>11</v>
      </c>
      <c r="FI10" t="s">
        <v>1007</v>
      </c>
      <c r="FJ10">
        <v>11</v>
      </c>
      <c r="FK10" t="s">
        <v>1008</v>
      </c>
      <c r="FL10">
        <v>10.5</v>
      </c>
      <c r="FM10" t="s">
        <v>1009</v>
      </c>
      <c r="FN10">
        <v>10</v>
      </c>
      <c r="FO10" t="s">
        <v>1010</v>
      </c>
      <c r="FP10">
        <v>11.5</v>
      </c>
      <c r="FQ10" t="s">
        <v>1011</v>
      </c>
      <c r="FR10">
        <v>7.5</v>
      </c>
      <c r="FS10" t="s">
        <v>1012</v>
      </c>
      <c r="FT10">
        <v>8</v>
      </c>
      <c r="FU10" t="s">
        <v>1013</v>
      </c>
      <c r="FV10">
        <v>11</v>
      </c>
      <c r="FW10" t="s">
        <v>1014</v>
      </c>
      <c r="FX10">
        <v>11</v>
      </c>
      <c r="FY10" t="s">
        <v>1015</v>
      </c>
      <c r="FZ10">
        <v>5</v>
      </c>
      <c r="GA10" t="s">
        <v>1016</v>
      </c>
      <c r="GB10">
        <v>8.5</v>
      </c>
      <c r="GC10" t="s">
        <v>1017</v>
      </c>
      <c r="GD10">
        <v>12</v>
      </c>
      <c r="GE10" t="s">
        <v>1018</v>
      </c>
      <c r="GF10">
        <v>10.5</v>
      </c>
      <c r="GG10" t="s">
        <v>1019</v>
      </c>
      <c r="GH10">
        <v>12</v>
      </c>
      <c r="GI10" t="s">
        <v>1020</v>
      </c>
      <c r="GJ10">
        <v>8.5</v>
      </c>
      <c r="GK10" t="s">
        <v>1021</v>
      </c>
      <c r="GL10">
        <v>12</v>
      </c>
      <c r="GM10" t="s">
        <v>1022</v>
      </c>
      <c r="GN10">
        <v>8.5</v>
      </c>
      <c r="GO10" t="s">
        <v>1023</v>
      </c>
      <c r="GP10">
        <v>11.5</v>
      </c>
      <c r="GQ10" t="s">
        <v>1024</v>
      </c>
      <c r="GR10">
        <v>5.5</v>
      </c>
    </row>
    <row r="11" spans="1:200" x14ac:dyDescent="0.25">
      <c r="A11" t="s">
        <v>1025</v>
      </c>
      <c r="B11" t="s">
        <v>1026</v>
      </c>
      <c r="C11" t="s">
        <v>1027</v>
      </c>
      <c r="D11" t="s">
        <v>1026</v>
      </c>
      <c r="E11" t="s">
        <v>1028</v>
      </c>
      <c r="F11" t="s">
        <v>1026</v>
      </c>
      <c r="G11" t="s">
        <v>1029</v>
      </c>
      <c r="H11" t="s">
        <v>1030</v>
      </c>
      <c r="I11" t="s">
        <v>1031</v>
      </c>
      <c r="J11" t="s">
        <v>1026</v>
      </c>
      <c r="K11" t="s">
        <v>1032</v>
      </c>
      <c r="L11" t="s">
        <v>1026</v>
      </c>
      <c r="M11" t="s">
        <v>1033</v>
      </c>
      <c r="N11" t="s">
        <v>1026</v>
      </c>
      <c r="O11" t="s">
        <v>1034</v>
      </c>
      <c r="P11" t="s">
        <v>1026</v>
      </c>
      <c r="Q11" t="s">
        <v>1035</v>
      </c>
      <c r="R11" t="s">
        <v>1026</v>
      </c>
      <c r="S11" t="s">
        <v>1036</v>
      </c>
      <c r="T11" t="s">
        <v>1026</v>
      </c>
      <c r="U11" t="s">
        <v>1037</v>
      </c>
      <c r="V11" t="s">
        <v>1026</v>
      </c>
      <c r="W11" t="s">
        <v>1038</v>
      </c>
      <c r="X11" t="s">
        <v>1026</v>
      </c>
      <c r="Y11" t="s">
        <v>1039</v>
      </c>
      <c r="Z11" t="s">
        <v>1026</v>
      </c>
      <c r="AA11" t="s">
        <v>1040</v>
      </c>
      <c r="AB11" t="s">
        <v>1026</v>
      </c>
      <c r="AC11" t="s">
        <v>1041</v>
      </c>
      <c r="AD11" t="s">
        <v>1026</v>
      </c>
      <c r="AE11" t="s">
        <v>1042</v>
      </c>
      <c r="AF11" t="s">
        <v>1026</v>
      </c>
      <c r="AG11" t="s">
        <v>1043</v>
      </c>
      <c r="AH11" t="s">
        <v>1026</v>
      </c>
      <c r="AI11" t="s">
        <v>1044</v>
      </c>
      <c r="AJ11" t="s">
        <v>1026</v>
      </c>
      <c r="AK11" t="s">
        <v>1045</v>
      </c>
      <c r="AL11" t="s">
        <v>1026</v>
      </c>
      <c r="AM11" t="s">
        <v>1046</v>
      </c>
      <c r="AN11" t="s">
        <v>1026</v>
      </c>
      <c r="AO11" t="s">
        <v>1047</v>
      </c>
      <c r="AP11" t="s">
        <v>1026</v>
      </c>
      <c r="AQ11" t="s">
        <v>1048</v>
      </c>
      <c r="AR11" t="s">
        <v>1026</v>
      </c>
      <c r="AS11" t="s">
        <v>1049</v>
      </c>
      <c r="AT11" t="s">
        <v>1026</v>
      </c>
      <c r="AU11" t="s">
        <v>1050</v>
      </c>
      <c r="AV11" t="s">
        <v>1026</v>
      </c>
      <c r="AW11" t="s">
        <v>1051</v>
      </c>
      <c r="AX11" t="s">
        <v>1026</v>
      </c>
      <c r="AY11" t="s">
        <v>1052</v>
      </c>
      <c r="AZ11" t="s">
        <v>1026</v>
      </c>
      <c r="BA11" t="s">
        <v>1053</v>
      </c>
      <c r="BB11" t="s">
        <v>1026</v>
      </c>
      <c r="BC11" t="s">
        <v>1054</v>
      </c>
      <c r="BD11" t="s">
        <v>1026</v>
      </c>
      <c r="BE11" t="s">
        <v>1055</v>
      </c>
      <c r="BF11" t="s">
        <v>1026</v>
      </c>
      <c r="BG11" t="s">
        <v>1056</v>
      </c>
      <c r="BH11" t="s">
        <v>1026</v>
      </c>
      <c r="BI11" t="s">
        <v>1057</v>
      </c>
      <c r="BJ11" t="s">
        <v>1026</v>
      </c>
      <c r="BK11" t="s">
        <v>1058</v>
      </c>
      <c r="BL11" t="s">
        <v>1026</v>
      </c>
      <c r="BM11" t="s">
        <v>1059</v>
      </c>
      <c r="BN11" t="s">
        <v>1026</v>
      </c>
      <c r="BO11" t="s">
        <v>1060</v>
      </c>
      <c r="BP11" t="s">
        <v>1026</v>
      </c>
      <c r="BQ11" t="s">
        <v>1061</v>
      </c>
      <c r="BR11" t="s">
        <v>1026</v>
      </c>
      <c r="BS11" t="s">
        <v>1062</v>
      </c>
      <c r="BT11" t="s">
        <v>1026</v>
      </c>
      <c r="BU11" t="s">
        <v>1063</v>
      </c>
      <c r="BV11" t="s">
        <v>1026</v>
      </c>
      <c r="BW11" t="s">
        <v>1064</v>
      </c>
      <c r="BX11" t="s">
        <v>1026</v>
      </c>
      <c r="BY11" t="s">
        <v>1065</v>
      </c>
      <c r="BZ11" t="s">
        <v>1026</v>
      </c>
      <c r="CA11" t="s">
        <v>1066</v>
      </c>
      <c r="CB11" t="s">
        <v>1026</v>
      </c>
      <c r="CC11" t="s">
        <v>1067</v>
      </c>
      <c r="CD11" t="s">
        <v>1026</v>
      </c>
      <c r="CE11" t="s">
        <v>1068</v>
      </c>
      <c r="CF11" t="s">
        <v>1030</v>
      </c>
      <c r="CG11" t="s">
        <v>1069</v>
      </c>
      <c r="CH11" t="s">
        <v>1026</v>
      </c>
      <c r="CI11" t="s">
        <v>1070</v>
      </c>
      <c r="CJ11" t="s">
        <v>1026</v>
      </c>
      <c r="CK11" t="s">
        <v>1071</v>
      </c>
      <c r="CL11" t="s">
        <v>1026</v>
      </c>
      <c r="CM11" t="s">
        <v>1072</v>
      </c>
      <c r="CN11" t="s">
        <v>1026</v>
      </c>
      <c r="CO11" t="s">
        <v>1073</v>
      </c>
      <c r="CP11" t="s">
        <v>1026</v>
      </c>
      <c r="CQ11" t="s">
        <v>1074</v>
      </c>
      <c r="CR11" t="s">
        <v>1026</v>
      </c>
      <c r="CS11" t="s">
        <v>1075</v>
      </c>
      <c r="CT11" t="s">
        <v>1026</v>
      </c>
      <c r="CU11" t="s">
        <v>1076</v>
      </c>
      <c r="CV11" t="s">
        <v>1026</v>
      </c>
      <c r="CW11" t="s">
        <v>1077</v>
      </c>
      <c r="CX11" t="s">
        <v>1026</v>
      </c>
      <c r="CY11" t="s">
        <v>1078</v>
      </c>
      <c r="CZ11" t="s">
        <v>1026</v>
      </c>
      <c r="DA11" t="s">
        <v>1079</v>
      </c>
      <c r="DB11" t="s">
        <v>1026</v>
      </c>
      <c r="DC11" t="s">
        <v>1080</v>
      </c>
      <c r="DD11" t="s">
        <v>1026</v>
      </c>
      <c r="DE11" t="s">
        <v>1081</v>
      </c>
      <c r="DF11" t="s">
        <v>1026</v>
      </c>
      <c r="DG11" t="s">
        <v>1082</v>
      </c>
      <c r="DH11" t="s">
        <v>1026</v>
      </c>
      <c r="DI11" t="s">
        <v>1083</v>
      </c>
      <c r="DJ11" t="s">
        <v>1026</v>
      </c>
      <c r="DK11" t="s">
        <v>1084</v>
      </c>
      <c r="DL11" t="s">
        <v>1026</v>
      </c>
      <c r="DM11" t="s">
        <v>1085</v>
      </c>
      <c r="DN11" t="s">
        <v>1026</v>
      </c>
      <c r="DO11" t="s">
        <v>1086</v>
      </c>
      <c r="DP11" t="s">
        <v>1026</v>
      </c>
      <c r="DQ11" t="s">
        <v>1087</v>
      </c>
      <c r="DR11" t="s">
        <v>1026</v>
      </c>
      <c r="DS11" t="s">
        <v>1088</v>
      </c>
      <c r="DT11" t="s">
        <v>1026</v>
      </c>
      <c r="DU11" t="s">
        <v>1089</v>
      </c>
      <c r="DV11" t="s">
        <v>1026</v>
      </c>
      <c r="DW11" t="s">
        <v>1090</v>
      </c>
      <c r="DX11" t="s">
        <v>1026</v>
      </c>
      <c r="DY11" t="s">
        <v>1091</v>
      </c>
      <c r="DZ11" t="s">
        <v>1026</v>
      </c>
      <c r="EA11" t="s">
        <v>1092</v>
      </c>
      <c r="EB11" t="s">
        <v>1026</v>
      </c>
      <c r="EC11" t="s">
        <v>1093</v>
      </c>
      <c r="ED11" t="s">
        <v>1026</v>
      </c>
      <c r="EE11" t="s">
        <v>1094</v>
      </c>
      <c r="EF11" t="s">
        <v>1026</v>
      </c>
      <c r="EG11" t="s">
        <v>1095</v>
      </c>
      <c r="EH11" t="s">
        <v>1026</v>
      </c>
      <c r="EI11" t="s">
        <v>1096</v>
      </c>
      <c r="EJ11" t="s">
        <v>1026</v>
      </c>
      <c r="EK11" t="s">
        <v>1097</v>
      </c>
      <c r="EL11" t="s">
        <v>1026</v>
      </c>
      <c r="EM11" t="s">
        <v>1098</v>
      </c>
      <c r="EN11" t="s">
        <v>1030</v>
      </c>
      <c r="EO11" t="s">
        <v>1099</v>
      </c>
      <c r="EP11" t="s">
        <v>1026</v>
      </c>
      <c r="EQ11" t="s">
        <v>1100</v>
      </c>
      <c r="ER11" t="s">
        <v>1026</v>
      </c>
      <c r="ES11" t="s">
        <v>1101</v>
      </c>
      <c r="ET11" t="s">
        <v>1026</v>
      </c>
      <c r="EU11" t="s">
        <v>1102</v>
      </c>
      <c r="EV11" t="s">
        <v>1026</v>
      </c>
      <c r="EW11" t="s">
        <v>1103</v>
      </c>
      <c r="EX11" t="s">
        <v>1026</v>
      </c>
      <c r="EY11" t="s">
        <v>1104</v>
      </c>
      <c r="EZ11" t="s">
        <v>1026</v>
      </c>
      <c r="FA11" t="s">
        <v>1105</v>
      </c>
      <c r="FB11" t="s">
        <v>1026</v>
      </c>
      <c r="FC11" t="s">
        <v>1106</v>
      </c>
      <c r="FD11" t="s">
        <v>1026</v>
      </c>
      <c r="FE11" t="s">
        <v>1107</v>
      </c>
      <c r="FF11" t="s">
        <v>1026</v>
      </c>
      <c r="FG11" t="s">
        <v>1108</v>
      </c>
      <c r="FH11" t="s">
        <v>1026</v>
      </c>
      <c r="FI11" t="s">
        <v>1109</v>
      </c>
      <c r="FJ11" t="s">
        <v>1026</v>
      </c>
      <c r="FK11" t="s">
        <v>1110</v>
      </c>
      <c r="FL11" t="s">
        <v>1026</v>
      </c>
      <c r="FM11" t="s">
        <v>1111</v>
      </c>
      <c r="FN11" t="s">
        <v>1026</v>
      </c>
      <c r="FO11" t="s">
        <v>1112</v>
      </c>
      <c r="FP11" t="s">
        <v>1026</v>
      </c>
      <c r="FQ11" t="s">
        <v>1113</v>
      </c>
      <c r="FR11" t="s">
        <v>1026</v>
      </c>
      <c r="FS11" t="s">
        <v>1114</v>
      </c>
      <c r="FT11" t="s">
        <v>1030</v>
      </c>
      <c r="FU11" t="s">
        <v>1115</v>
      </c>
      <c r="FV11" t="s">
        <v>1026</v>
      </c>
      <c r="FW11" t="s">
        <v>1116</v>
      </c>
      <c r="FX11" t="s">
        <v>1026</v>
      </c>
      <c r="FY11" t="s">
        <v>1117</v>
      </c>
      <c r="FZ11" t="s">
        <v>1026</v>
      </c>
      <c r="GA11" t="s">
        <v>1118</v>
      </c>
      <c r="GB11" t="s">
        <v>1026</v>
      </c>
      <c r="GC11" t="s">
        <v>1119</v>
      </c>
      <c r="GD11" t="s">
        <v>1026</v>
      </c>
      <c r="GE11" t="s">
        <v>1120</v>
      </c>
      <c r="GF11" t="s">
        <v>1026</v>
      </c>
      <c r="GG11" t="s">
        <v>1121</v>
      </c>
      <c r="GH11" t="s">
        <v>1026</v>
      </c>
      <c r="GI11" t="s">
        <v>1122</v>
      </c>
      <c r="GJ11" t="s">
        <v>1026</v>
      </c>
      <c r="GK11" t="s">
        <v>1123</v>
      </c>
      <c r="GL11" t="s">
        <v>1026</v>
      </c>
      <c r="GM11" t="s">
        <v>1124</v>
      </c>
      <c r="GN11" t="s">
        <v>1026</v>
      </c>
      <c r="GO11" t="s">
        <v>1125</v>
      </c>
      <c r="GP11" t="s">
        <v>1026</v>
      </c>
      <c r="GQ11" t="s">
        <v>1126</v>
      </c>
      <c r="GR11" t="s">
        <v>1026</v>
      </c>
    </row>
    <row r="12" spans="1:200" x14ac:dyDescent="0.25">
      <c r="A12" t="s">
        <v>1127</v>
      </c>
      <c r="B12" t="s">
        <v>1030</v>
      </c>
      <c r="C12" t="s">
        <v>1128</v>
      </c>
      <c r="D12" t="s">
        <v>1030</v>
      </c>
      <c r="E12" t="s">
        <v>1129</v>
      </c>
      <c r="F12" t="s">
        <v>1030</v>
      </c>
      <c r="G12" t="s">
        <v>1130</v>
      </c>
      <c r="H12" t="s">
        <v>1030</v>
      </c>
      <c r="I12" t="s">
        <v>1131</v>
      </c>
      <c r="J12" t="s">
        <v>1030</v>
      </c>
      <c r="K12" t="s">
        <v>1132</v>
      </c>
      <c r="L12" t="s">
        <v>1030</v>
      </c>
      <c r="M12" t="s">
        <v>1133</v>
      </c>
      <c r="N12" t="s">
        <v>1030</v>
      </c>
      <c r="O12" t="s">
        <v>1134</v>
      </c>
      <c r="P12" t="s">
        <v>1030</v>
      </c>
      <c r="Q12" t="s">
        <v>1135</v>
      </c>
      <c r="R12" t="s">
        <v>1030</v>
      </c>
      <c r="S12" t="s">
        <v>1136</v>
      </c>
      <c r="T12" t="s">
        <v>1030</v>
      </c>
      <c r="U12" t="s">
        <v>1137</v>
      </c>
      <c r="V12" t="s">
        <v>1030</v>
      </c>
      <c r="W12" t="s">
        <v>1138</v>
      </c>
      <c r="X12" t="s">
        <v>1030</v>
      </c>
      <c r="Y12" t="s">
        <v>1139</v>
      </c>
      <c r="Z12" t="s">
        <v>1030</v>
      </c>
      <c r="AA12" t="s">
        <v>1140</v>
      </c>
      <c r="AB12" t="s">
        <v>1030</v>
      </c>
      <c r="AC12" t="s">
        <v>1141</v>
      </c>
      <c r="AD12" t="s">
        <v>1030</v>
      </c>
      <c r="AE12" t="s">
        <v>1142</v>
      </c>
      <c r="AF12" t="s">
        <v>1030</v>
      </c>
      <c r="AG12" t="s">
        <v>1143</v>
      </c>
      <c r="AH12" t="s">
        <v>1030</v>
      </c>
      <c r="AI12" t="s">
        <v>1144</v>
      </c>
      <c r="AJ12" t="s">
        <v>1030</v>
      </c>
      <c r="AK12" t="s">
        <v>1145</v>
      </c>
      <c r="AL12" t="s">
        <v>1030</v>
      </c>
      <c r="AM12" t="s">
        <v>1146</v>
      </c>
      <c r="AN12" t="s">
        <v>1030</v>
      </c>
      <c r="AO12" t="s">
        <v>1147</v>
      </c>
      <c r="AP12" t="s">
        <v>1030</v>
      </c>
      <c r="AQ12" t="s">
        <v>1148</v>
      </c>
      <c r="AR12" t="s">
        <v>1030</v>
      </c>
      <c r="AS12" t="s">
        <v>1149</v>
      </c>
      <c r="AT12" t="s">
        <v>1030</v>
      </c>
      <c r="AU12" t="s">
        <v>1150</v>
      </c>
      <c r="AV12" t="s">
        <v>1030</v>
      </c>
      <c r="AW12" t="s">
        <v>1151</v>
      </c>
      <c r="AX12" t="s">
        <v>1030</v>
      </c>
      <c r="AY12" t="s">
        <v>1152</v>
      </c>
      <c r="AZ12" t="s">
        <v>1030</v>
      </c>
      <c r="BA12" t="s">
        <v>1153</v>
      </c>
      <c r="BB12" t="s">
        <v>1030</v>
      </c>
      <c r="BC12" t="s">
        <v>1154</v>
      </c>
      <c r="BD12" t="s">
        <v>1030</v>
      </c>
      <c r="BE12" t="s">
        <v>1155</v>
      </c>
      <c r="BF12" t="s">
        <v>1030</v>
      </c>
      <c r="BG12" t="s">
        <v>1156</v>
      </c>
      <c r="BH12" t="s">
        <v>1030</v>
      </c>
      <c r="BI12" t="s">
        <v>1157</v>
      </c>
      <c r="BJ12" t="s">
        <v>1030</v>
      </c>
      <c r="BK12" t="s">
        <v>1158</v>
      </c>
      <c r="BL12" t="s">
        <v>1030</v>
      </c>
      <c r="BM12" t="s">
        <v>1159</v>
      </c>
      <c r="BN12" t="s">
        <v>1030</v>
      </c>
      <c r="BO12" t="s">
        <v>1160</v>
      </c>
      <c r="BP12" t="s">
        <v>1030</v>
      </c>
      <c r="BQ12" t="s">
        <v>1161</v>
      </c>
      <c r="BR12" t="s">
        <v>1030</v>
      </c>
      <c r="BS12" t="s">
        <v>1162</v>
      </c>
      <c r="BT12" t="s">
        <v>1030</v>
      </c>
      <c r="BU12" t="s">
        <v>1163</v>
      </c>
      <c r="BV12" t="s">
        <v>1030</v>
      </c>
      <c r="BW12" t="s">
        <v>1164</v>
      </c>
      <c r="BX12" t="s">
        <v>1030</v>
      </c>
      <c r="BY12" t="s">
        <v>1165</v>
      </c>
      <c r="BZ12" t="s">
        <v>1030</v>
      </c>
      <c r="CA12" t="s">
        <v>1166</v>
      </c>
      <c r="CB12" t="s">
        <v>1030</v>
      </c>
      <c r="CC12" t="s">
        <v>1167</v>
      </c>
      <c r="CD12" t="s">
        <v>1030</v>
      </c>
      <c r="CE12" t="s">
        <v>1168</v>
      </c>
      <c r="CF12" t="s">
        <v>1030</v>
      </c>
      <c r="CG12" t="s">
        <v>1169</v>
      </c>
      <c r="CH12" t="s">
        <v>1030</v>
      </c>
      <c r="CI12" t="s">
        <v>1170</v>
      </c>
      <c r="CJ12" t="s">
        <v>1030</v>
      </c>
      <c r="CK12" t="s">
        <v>1171</v>
      </c>
      <c r="CL12" t="s">
        <v>1030</v>
      </c>
      <c r="CM12" t="s">
        <v>1172</v>
      </c>
      <c r="CN12" t="s">
        <v>1030</v>
      </c>
      <c r="CO12" t="s">
        <v>1173</v>
      </c>
      <c r="CP12" t="s">
        <v>1030</v>
      </c>
      <c r="CQ12" t="s">
        <v>1174</v>
      </c>
      <c r="CR12" t="s">
        <v>1030</v>
      </c>
      <c r="CS12" t="s">
        <v>1175</v>
      </c>
      <c r="CT12" t="s">
        <v>1030</v>
      </c>
      <c r="CU12" t="s">
        <v>1176</v>
      </c>
      <c r="CV12" t="s">
        <v>1030</v>
      </c>
      <c r="CW12" t="s">
        <v>1177</v>
      </c>
      <c r="CX12" t="s">
        <v>1030</v>
      </c>
      <c r="CY12" t="s">
        <v>1178</v>
      </c>
      <c r="CZ12" t="s">
        <v>1030</v>
      </c>
      <c r="DA12" t="s">
        <v>1179</v>
      </c>
      <c r="DB12" t="s">
        <v>1030</v>
      </c>
      <c r="DC12" t="s">
        <v>1180</v>
      </c>
      <c r="DD12" t="s">
        <v>1030</v>
      </c>
      <c r="DE12" t="s">
        <v>1181</v>
      </c>
      <c r="DF12" t="s">
        <v>1030</v>
      </c>
      <c r="DG12" t="s">
        <v>1182</v>
      </c>
      <c r="DH12" t="s">
        <v>1030</v>
      </c>
      <c r="DI12" t="s">
        <v>1183</v>
      </c>
      <c r="DJ12" t="s">
        <v>1030</v>
      </c>
      <c r="DK12" t="s">
        <v>1184</v>
      </c>
      <c r="DL12" t="s">
        <v>1030</v>
      </c>
      <c r="DM12" t="s">
        <v>1185</v>
      </c>
      <c r="DN12" t="s">
        <v>1030</v>
      </c>
      <c r="DO12" t="s">
        <v>1186</v>
      </c>
      <c r="DP12" t="s">
        <v>1030</v>
      </c>
      <c r="DQ12" t="s">
        <v>1187</v>
      </c>
      <c r="DR12" t="s">
        <v>1030</v>
      </c>
      <c r="DS12" t="s">
        <v>1188</v>
      </c>
      <c r="DT12" t="s">
        <v>1030</v>
      </c>
      <c r="DU12" t="s">
        <v>1189</v>
      </c>
      <c r="DV12" t="s">
        <v>1030</v>
      </c>
      <c r="DW12" t="s">
        <v>1190</v>
      </c>
      <c r="DX12" t="s">
        <v>1030</v>
      </c>
      <c r="DY12" t="s">
        <v>1191</v>
      </c>
      <c r="DZ12" t="s">
        <v>1030</v>
      </c>
      <c r="EA12" t="s">
        <v>1192</v>
      </c>
      <c r="EB12" t="s">
        <v>1030</v>
      </c>
      <c r="EC12" t="s">
        <v>1193</v>
      </c>
      <c r="ED12" t="s">
        <v>1030</v>
      </c>
      <c r="EE12" t="s">
        <v>1194</v>
      </c>
      <c r="EF12" t="s">
        <v>1030</v>
      </c>
      <c r="EG12" t="s">
        <v>1195</v>
      </c>
      <c r="EH12" t="s">
        <v>1030</v>
      </c>
      <c r="EI12" t="s">
        <v>1196</v>
      </c>
      <c r="EJ12" t="s">
        <v>1030</v>
      </c>
      <c r="EK12" t="s">
        <v>1197</v>
      </c>
      <c r="EL12" t="s">
        <v>1030</v>
      </c>
      <c r="EM12" t="s">
        <v>1198</v>
      </c>
      <c r="EN12" t="s">
        <v>1030</v>
      </c>
      <c r="EO12" t="s">
        <v>1199</v>
      </c>
      <c r="EP12" t="s">
        <v>1030</v>
      </c>
      <c r="EQ12" t="s">
        <v>1200</v>
      </c>
      <c r="ER12" t="s">
        <v>1030</v>
      </c>
      <c r="ES12" t="s">
        <v>1201</v>
      </c>
      <c r="ET12" t="s">
        <v>1030</v>
      </c>
      <c r="EU12" t="s">
        <v>1202</v>
      </c>
      <c r="EV12" t="s">
        <v>1030</v>
      </c>
      <c r="EW12" t="s">
        <v>1203</v>
      </c>
      <c r="EX12" t="s">
        <v>1030</v>
      </c>
      <c r="EY12" t="s">
        <v>1204</v>
      </c>
      <c r="EZ12" t="s">
        <v>1030</v>
      </c>
      <c r="FA12" t="s">
        <v>1205</v>
      </c>
      <c r="FB12" t="s">
        <v>1030</v>
      </c>
      <c r="FC12" t="s">
        <v>1206</v>
      </c>
      <c r="FD12" t="s">
        <v>1030</v>
      </c>
      <c r="FE12" t="s">
        <v>1207</v>
      </c>
      <c r="FF12" t="s">
        <v>1030</v>
      </c>
      <c r="FG12" t="s">
        <v>1208</v>
      </c>
      <c r="FH12" t="s">
        <v>1030</v>
      </c>
      <c r="FI12" t="s">
        <v>1209</v>
      </c>
      <c r="FJ12" t="s">
        <v>1030</v>
      </c>
      <c r="FK12" t="s">
        <v>1210</v>
      </c>
      <c r="FL12" t="s">
        <v>1030</v>
      </c>
      <c r="FM12" t="s">
        <v>1211</v>
      </c>
      <c r="FN12" t="s">
        <v>1030</v>
      </c>
      <c r="FO12" t="s">
        <v>1212</v>
      </c>
      <c r="FP12" t="s">
        <v>1030</v>
      </c>
      <c r="FQ12" t="s">
        <v>1213</v>
      </c>
      <c r="FR12" t="s">
        <v>1030</v>
      </c>
      <c r="FS12" t="s">
        <v>1214</v>
      </c>
      <c r="FT12" t="s">
        <v>1030</v>
      </c>
      <c r="FU12" t="s">
        <v>1215</v>
      </c>
      <c r="FV12" t="s">
        <v>1030</v>
      </c>
      <c r="FW12" t="s">
        <v>1216</v>
      </c>
      <c r="FX12" t="s">
        <v>1030</v>
      </c>
      <c r="FY12" t="s">
        <v>1217</v>
      </c>
      <c r="FZ12" t="s">
        <v>1030</v>
      </c>
      <c r="GA12" t="s">
        <v>1218</v>
      </c>
      <c r="GB12" t="s">
        <v>1030</v>
      </c>
      <c r="GC12" t="s">
        <v>1219</v>
      </c>
      <c r="GD12" t="s">
        <v>1030</v>
      </c>
      <c r="GE12" t="s">
        <v>1220</v>
      </c>
      <c r="GF12" t="s">
        <v>1030</v>
      </c>
      <c r="GG12" t="s">
        <v>1221</v>
      </c>
      <c r="GH12" t="s">
        <v>1030</v>
      </c>
      <c r="GI12" t="s">
        <v>1222</v>
      </c>
      <c r="GJ12" t="s">
        <v>1030</v>
      </c>
      <c r="GK12" t="s">
        <v>1223</v>
      </c>
      <c r="GL12" t="s">
        <v>1030</v>
      </c>
      <c r="GM12" t="s">
        <v>1224</v>
      </c>
      <c r="GN12" t="s">
        <v>1030</v>
      </c>
      <c r="GO12" t="s">
        <v>1225</v>
      </c>
      <c r="GP12" t="s">
        <v>1030</v>
      </c>
      <c r="GQ12" t="s">
        <v>1226</v>
      </c>
      <c r="GR12" t="s">
        <v>1030</v>
      </c>
    </row>
    <row r="13" spans="1:200" x14ac:dyDescent="0.25">
      <c r="A13" t="s">
        <v>1227</v>
      </c>
      <c r="B13" t="s">
        <v>1026</v>
      </c>
      <c r="C13" t="s">
        <v>1228</v>
      </c>
      <c r="D13" t="s">
        <v>1026</v>
      </c>
      <c r="E13" t="s">
        <v>1229</v>
      </c>
      <c r="F13" t="s">
        <v>1026</v>
      </c>
      <c r="G13" t="s">
        <v>1230</v>
      </c>
      <c r="H13" t="s">
        <v>1026</v>
      </c>
      <c r="I13" t="s">
        <v>1231</v>
      </c>
      <c r="J13" t="s">
        <v>1026</v>
      </c>
      <c r="K13" t="s">
        <v>1232</v>
      </c>
      <c r="L13" t="s">
        <v>1026</v>
      </c>
      <c r="M13" t="s">
        <v>1233</v>
      </c>
      <c r="N13" t="s">
        <v>1026</v>
      </c>
      <c r="O13" t="s">
        <v>1234</v>
      </c>
      <c r="P13" t="s">
        <v>1026</v>
      </c>
      <c r="Q13" t="s">
        <v>1235</v>
      </c>
      <c r="R13" t="s">
        <v>1026</v>
      </c>
      <c r="S13" t="s">
        <v>1236</v>
      </c>
      <c r="T13" t="s">
        <v>1026</v>
      </c>
      <c r="U13" t="s">
        <v>1237</v>
      </c>
      <c r="V13" t="s">
        <v>1026</v>
      </c>
      <c r="W13" t="s">
        <v>1238</v>
      </c>
      <c r="X13" t="s">
        <v>1026</v>
      </c>
      <c r="Y13" t="s">
        <v>1239</v>
      </c>
      <c r="Z13" t="s">
        <v>1026</v>
      </c>
      <c r="AA13" t="s">
        <v>1240</v>
      </c>
      <c r="AB13" t="s">
        <v>1026</v>
      </c>
      <c r="AC13" t="s">
        <v>1241</v>
      </c>
      <c r="AD13" t="s">
        <v>1026</v>
      </c>
      <c r="AE13" t="s">
        <v>1242</v>
      </c>
      <c r="AF13" t="s">
        <v>1026</v>
      </c>
      <c r="AG13" t="s">
        <v>1243</v>
      </c>
      <c r="AH13" t="s">
        <v>1026</v>
      </c>
      <c r="AI13" t="s">
        <v>1244</v>
      </c>
      <c r="AJ13" t="s">
        <v>1026</v>
      </c>
      <c r="AK13" t="s">
        <v>1245</v>
      </c>
      <c r="AL13" t="s">
        <v>1026</v>
      </c>
      <c r="AM13" t="s">
        <v>1246</v>
      </c>
      <c r="AN13" t="s">
        <v>1026</v>
      </c>
      <c r="AO13" t="s">
        <v>1247</v>
      </c>
      <c r="AP13" t="s">
        <v>1026</v>
      </c>
      <c r="AQ13" t="s">
        <v>1248</v>
      </c>
      <c r="AR13" t="s">
        <v>1026</v>
      </c>
      <c r="AS13" t="s">
        <v>1249</v>
      </c>
      <c r="AT13" t="s">
        <v>1026</v>
      </c>
      <c r="AU13" t="s">
        <v>1250</v>
      </c>
      <c r="AV13" t="s">
        <v>1026</v>
      </c>
      <c r="AW13" t="s">
        <v>1251</v>
      </c>
      <c r="AX13" t="s">
        <v>1026</v>
      </c>
      <c r="AY13" t="s">
        <v>1252</v>
      </c>
      <c r="AZ13" t="s">
        <v>1026</v>
      </c>
      <c r="BA13" t="s">
        <v>1253</v>
      </c>
      <c r="BB13" t="s">
        <v>1026</v>
      </c>
      <c r="BC13" t="s">
        <v>1254</v>
      </c>
      <c r="BD13" t="s">
        <v>1026</v>
      </c>
      <c r="BE13" t="s">
        <v>1255</v>
      </c>
      <c r="BF13" t="s">
        <v>1026</v>
      </c>
      <c r="BG13" t="s">
        <v>1256</v>
      </c>
      <c r="BH13" t="s">
        <v>1026</v>
      </c>
      <c r="BI13" t="s">
        <v>1257</v>
      </c>
      <c r="BJ13" t="s">
        <v>1026</v>
      </c>
      <c r="BK13" t="s">
        <v>1258</v>
      </c>
      <c r="BL13" t="s">
        <v>1026</v>
      </c>
      <c r="BM13" t="s">
        <v>1259</v>
      </c>
      <c r="BN13" t="s">
        <v>1026</v>
      </c>
      <c r="BO13" t="s">
        <v>1260</v>
      </c>
      <c r="BP13" t="s">
        <v>1026</v>
      </c>
      <c r="BQ13" t="s">
        <v>1261</v>
      </c>
      <c r="BR13" t="s">
        <v>1026</v>
      </c>
      <c r="BS13" t="s">
        <v>1262</v>
      </c>
      <c r="BT13" t="s">
        <v>1030</v>
      </c>
      <c r="BU13" t="s">
        <v>1263</v>
      </c>
      <c r="BV13" t="s">
        <v>1026</v>
      </c>
      <c r="BW13" t="s">
        <v>1264</v>
      </c>
      <c r="BX13" t="s">
        <v>1026</v>
      </c>
      <c r="BY13" t="s">
        <v>1265</v>
      </c>
      <c r="BZ13" t="s">
        <v>1026</v>
      </c>
      <c r="CA13" t="s">
        <v>1266</v>
      </c>
      <c r="CB13" t="s">
        <v>1026</v>
      </c>
      <c r="CC13" t="s">
        <v>1267</v>
      </c>
      <c r="CD13" t="s">
        <v>1026</v>
      </c>
      <c r="CE13" t="s">
        <v>1268</v>
      </c>
      <c r="CF13" t="s">
        <v>1026</v>
      </c>
      <c r="CG13" t="s">
        <v>1269</v>
      </c>
      <c r="CH13" t="s">
        <v>1026</v>
      </c>
      <c r="CI13" t="s">
        <v>1270</v>
      </c>
      <c r="CJ13" t="s">
        <v>1026</v>
      </c>
      <c r="CK13" t="s">
        <v>1271</v>
      </c>
      <c r="CL13" t="s">
        <v>1026</v>
      </c>
      <c r="CM13" t="s">
        <v>1272</v>
      </c>
      <c r="CN13" t="s">
        <v>1026</v>
      </c>
      <c r="CO13" t="s">
        <v>1273</v>
      </c>
      <c r="CP13" t="s">
        <v>1026</v>
      </c>
      <c r="CQ13" t="s">
        <v>1274</v>
      </c>
      <c r="CR13" t="s">
        <v>1026</v>
      </c>
      <c r="CS13" t="s">
        <v>1275</v>
      </c>
      <c r="CT13" t="s">
        <v>1026</v>
      </c>
      <c r="CU13" t="s">
        <v>1276</v>
      </c>
      <c r="CV13" t="s">
        <v>1026</v>
      </c>
      <c r="CW13" t="s">
        <v>1277</v>
      </c>
      <c r="CX13" t="s">
        <v>1026</v>
      </c>
      <c r="CY13" t="s">
        <v>1278</v>
      </c>
      <c r="CZ13" t="s">
        <v>1026</v>
      </c>
      <c r="DA13" t="s">
        <v>1279</v>
      </c>
      <c r="DB13" t="s">
        <v>1026</v>
      </c>
      <c r="DC13" t="s">
        <v>1280</v>
      </c>
      <c r="DD13" t="s">
        <v>1026</v>
      </c>
      <c r="DE13" t="s">
        <v>1281</v>
      </c>
      <c r="DF13" t="s">
        <v>1026</v>
      </c>
      <c r="DG13" t="s">
        <v>1282</v>
      </c>
      <c r="DH13" t="s">
        <v>1026</v>
      </c>
      <c r="DI13" t="s">
        <v>1283</v>
      </c>
      <c r="DJ13" t="s">
        <v>1026</v>
      </c>
      <c r="DK13" t="s">
        <v>1284</v>
      </c>
      <c r="DL13" t="s">
        <v>1026</v>
      </c>
      <c r="DM13" t="s">
        <v>1285</v>
      </c>
      <c r="DN13" t="s">
        <v>1026</v>
      </c>
      <c r="DO13" t="s">
        <v>1286</v>
      </c>
      <c r="DP13" t="s">
        <v>1026</v>
      </c>
      <c r="DQ13" t="s">
        <v>1287</v>
      </c>
      <c r="DR13" t="s">
        <v>1026</v>
      </c>
      <c r="DS13" t="s">
        <v>1288</v>
      </c>
      <c r="DT13" t="s">
        <v>1026</v>
      </c>
      <c r="DU13" t="s">
        <v>1289</v>
      </c>
      <c r="DV13" t="s">
        <v>1026</v>
      </c>
      <c r="DW13" t="s">
        <v>1290</v>
      </c>
      <c r="DX13" t="s">
        <v>1026</v>
      </c>
      <c r="DY13" t="s">
        <v>1291</v>
      </c>
      <c r="DZ13" t="s">
        <v>1026</v>
      </c>
      <c r="EA13" t="s">
        <v>1292</v>
      </c>
      <c r="EB13" t="s">
        <v>1026</v>
      </c>
      <c r="EC13" t="s">
        <v>1293</v>
      </c>
      <c r="ED13" t="s">
        <v>1026</v>
      </c>
      <c r="EE13" t="s">
        <v>1294</v>
      </c>
      <c r="EF13" t="s">
        <v>1026</v>
      </c>
      <c r="EG13" t="s">
        <v>1295</v>
      </c>
      <c r="EH13" t="s">
        <v>1026</v>
      </c>
      <c r="EI13" t="s">
        <v>1296</v>
      </c>
      <c r="EJ13" t="s">
        <v>1026</v>
      </c>
      <c r="EK13" t="s">
        <v>1297</v>
      </c>
      <c r="EL13" t="s">
        <v>1026</v>
      </c>
      <c r="EM13" t="s">
        <v>1298</v>
      </c>
      <c r="EN13" t="s">
        <v>1026</v>
      </c>
      <c r="EO13" t="s">
        <v>1299</v>
      </c>
      <c r="EP13" t="s">
        <v>1026</v>
      </c>
      <c r="EQ13" t="s">
        <v>1300</v>
      </c>
      <c r="ER13" t="s">
        <v>1026</v>
      </c>
      <c r="ES13" t="s">
        <v>1301</v>
      </c>
      <c r="ET13" t="s">
        <v>1026</v>
      </c>
      <c r="EU13" t="s">
        <v>1302</v>
      </c>
      <c r="EV13" t="s">
        <v>1026</v>
      </c>
      <c r="EW13" t="s">
        <v>1303</v>
      </c>
      <c r="EX13" t="s">
        <v>1026</v>
      </c>
      <c r="EY13" t="s">
        <v>1304</v>
      </c>
      <c r="EZ13" t="s">
        <v>1026</v>
      </c>
      <c r="FA13" t="s">
        <v>1305</v>
      </c>
      <c r="FB13" t="s">
        <v>1026</v>
      </c>
      <c r="FC13" t="s">
        <v>1306</v>
      </c>
      <c r="FD13" t="s">
        <v>1026</v>
      </c>
      <c r="FE13" t="s">
        <v>1307</v>
      </c>
      <c r="FF13" t="s">
        <v>1026</v>
      </c>
      <c r="FG13" t="s">
        <v>1308</v>
      </c>
      <c r="FH13" t="s">
        <v>1026</v>
      </c>
      <c r="FI13" t="s">
        <v>1309</v>
      </c>
      <c r="FJ13" t="s">
        <v>1026</v>
      </c>
      <c r="FK13" t="s">
        <v>1310</v>
      </c>
      <c r="FL13" t="s">
        <v>1026</v>
      </c>
      <c r="FM13" t="s">
        <v>1311</v>
      </c>
      <c r="FN13" t="s">
        <v>1026</v>
      </c>
      <c r="FO13" t="s">
        <v>1312</v>
      </c>
      <c r="FP13" t="s">
        <v>1026</v>
      </c>
      <c r="FQ13" t="s">
        <v>1313</v>
      </c>
      <c r="FR13" t="s">
        <v>1026</v>
      </c>
      <c r="FS13" t="s">
        <v>1314</v>
      </c>
      <c r="FT13" t="s">
        <v>1026</v>
      </c>
      <c r="FU13" t="s">
        <v>1315</v>
      </c>
      <c r="FV13" t="s">
        <v>1026</v>
      </c>
      <c r="FW13" t="s">
        <v>1316</v>
      </c>
      <c r="FX13" t="s">
        <v>1026</v>
      </c>
      <c r="FY13" t="s">
        <v>1317</v>
      </c>
      <c r="FZ13" t="s">
        <v>1026</v>
      </c>
      <c r="GA13" t="s">
        <v>1318</v>
      </c>
      <c r="GB13" t="s">
        <v>1026</v>
      </c>
      <c r="GC13" t="s">
        <v>1319</v>
      </c>
      <c r="GD13" t="s">
        <v>1026</v>
      </c>
      <c r="GE13" t="s">
        <v>1320</v>
      </c>
      <c r="GF13" t="s">
        <v>1026</v>
      </c>
      <c r="GG13" t="s">
        <v>1321</v>
      </c>
      <c r="GH13" t="s">
        <v>1026</v>
      </c>
      <c r="GI13" t="s">
        <v>1322</v>
      </c>
      <c r="GJ13" t="s">
        <v>1026</v>
      </c>
      <c r="GK13" t="s">
        <v>1323</v>
      </c>
      <c r="GL13" t="s">
        <v>1026</v>
      </c>
      <c r="GM13" t="s">
        <v>1324</v>
      </c>
      <c r="GN13" t="s">
        <v>1026</v>
      </c>
      <c r="GO13" t="s">
        <v>1325</v>
      </c>
      <c r="GP13" t="s">
        <v>1026</v>
      </c>
      <c r="GQ13" t="s">
        <v>1326</v>
      </c>
      <c r="GR13" t="s">
        <v>1026</v>
      </c>
    </row>
    <row r="14" spans="1:200" x14ac:dyDescent="0.25">
      <c r="A14" t="s">
        <v>1327</v>
      </c>
      <c r="B14" t="s">
        <v>1030</v>
      </c>
      <c r="C14" t="s">
        <v>1328</v>
      </c>
      <c r="D14" t="s">
        <v>1030</v>
      </c>
      <c r="E14" t="s">
        <v>1329</v>
      </c>
      <c r="F14" t="s">
        <v>1030</v>
      </c>
      <c r="G14" t="s">
        <v>1330</v>
      </c>
      <c r="H14" t="s">
        <v>1030</v>
      </c>
      <c r="I14" t="s">
        <v>1331</v>
      </c>
      <c r="J14" t="s">
        <v>1030</v>
      </c>
      <c r="K14" t="s">
        <v>1332</v>
      </c>
      <c r="L14" t="s">
        <v>1030</v>
      </c>
      <c r="M14" t="s">
        <v>1333</v>
      </c>
      <c r="N14" t="s">
        <v>1030</v>
      </c>
      <c r="O14" t="s">
        <v>1334</v>
      </c>
      <c r="P14" t="s">
        <v>1030</v>
      </c>
      <c r="Q14" t="s">
        <v>1335</v>
      </c>
      <c r="R14" t="s">
        <v>1030</v>
      </c>
      <c r="S14" t="s">
        <v>1336</v>
      </c>
      <c r="T14" t="s">
        <v>1030</v>
      </c>
      <c r="U14" t="s">
        <v>1337</v>
      </c>
      <c r="V14" t="s">
        <v>1030</v>
      </c>
      <c r="W14" t="s">
        <v>1338</v>
      </c>
      <c r="X14" t="s">
        <v>1030</v>
      </c>
      <c r="Y14" t="s">
        <v>1339</v>
      </c>
      <c r="Z14" t="s">
        <v>1030</v>
      </c>
      <c r="AA14" t="s">
        <v>1340</v>
      </c>
      <c r="AB14" t="s">
        <v>1030</v>
      </c>
      <c r="AC14" t="s">
        <v>1341</v>
      </c>
      <c r="AD14" t="s">
        <v>1030</v>
      </c>
      <c r="AE14" t="s">
        <v>1342</v>
      </c>
      <c r="AF14" t="s">
        <v>1030</v>
      </c>
      <c r="AG14" t="s">
        <v>1343</v>
      </c>
      <c r="AH14" t="s">
        <v>1030</v>
      </c>
      <c r="AI14" t="s">
        <v>1344</v>
      </c>
      <c r="AJ14" t="s">
        <v>1030</v>
      </c>
      <c r="AK14" t="s">
        <v>1345</v>
      </c>
      <c r="AL14" t="s">
        <v>1030</v>
      </c>
      <c r="AM14" t="s">
        <v>1346</v>
      </c>
      <c r="AN14" t="s">
        <v>1030</v>
      </c>
      <c r="AO14" t="s">
        <v>1347</v>
      </c>
      <c r="AP14" t="s">
        <v>1030</v>
      </c>
      <c r="AQ14" t="s">
        <v>1348</v>
      </c>
      <c r="AR14" t="s">
        <v>1030</v>
      </c>
      <c r="AS14" t="s">
        <v>1349</v>
      </c>
      <c r="AT14" t="s">
        <v>1030</v>
      </c>
      <c r="AU14" t="s">
        <v>1350</v>
      </c>
      <c r="AV14" t="s">
        <v>1030</v>
      </c>
      <c r="AW14" t="s">
        <v>1351</v>
      </c>
      <c r="AX14" t="s">
        <v>1030</v>
      </c>
      <c r="AY14" t="s">
        <v>1352</v>
      </c>
      <c r="AZ14" t="s">
        <v>1030</v>
      </c>
      <c r="BA14" t="s">
        <v>1353</v>
      </c>
      <c r="BB14" t="s">
        <v>1030</v>
      </c>
      <c r="BC14" t="s">
        <v>1354</v>
      </c>
      <c r="BD14" t="s">
        <v>1030</v>
      </c>
      <c r="BE14" t="s">
        <v>1355</v>
      </c>
      <c r="BF14" t="s">
        <v>1030</v>
      </c>
      <c r="BG14" t="s">
        <v>1356</v>
      </c>
      <c r="BH14" t="s">
        <v>1030</v>
      </c>
      <c r="BI14" t="s">
        <v>1357</v>
      </c>
      <c r="BJ14" t="s">
        <v>1030</v>
      </c>
      <c r="BK14" t="s">
        <v>1358</v>
      </c>
      <c r="BL14" t="s">
        <v>1030</v>
      </c>
      <c r="BM14" t="s">
        <v>1359</v>
      </c>
      <c r="BN14" t="s">
        <v>1030</v>
      </c>
      <c r="BO14" t="s">
        <v>1360</v>
      </c>
      <c r="BP14" t="s">
        <v>1030</v>
      </c>
      <c r="BQ14" t="s">
        <v>1361</v>
      </c>
      <c r="BR14" t="s">
        <v>1030</v>
      </c>
      <c r="BS14" t="s">
        <v>1362</v>
      </c>
      <c r="BT14" t="s">
        <v>1030</v>
      </c>
      <c r="BU14" t="s">
        <v>1363</v>
      </c>
      <c r="BV14" t="s">
        <v>1030</v>
      </c>
      <c r="BW14" t="s">
        <v>1364</v>
      </c>
      <c r="BX14" t="s">
        <v>1030</v>
      </c>
      <c r="BY14" t="s">
        <v>1365</v>
      </c>
      <c r="BZ14" t="s">
        <v>1030</v>
      </c>
      <c r="CA14" t="s">
        <v>1366</v>
      </c>
      <c r="CB14" t="s">
        <v>1030</v>
      </c>
      <c r="CC14" t="s">
        <v>1367</v>
      </c>
      <c r="CD14" t="s">
        <v>1030</v>
      </c>
      <c r="CE14" t="s">
        <v>1368</v>
      </c>
      <c r="CF14" t="s">
        <v>1030</v>
      </c>
      <c r="CG14" t="s">
        <v>1369</v>
      </c>
      <c r="CH14" t="s">
        <v>1030</v>
      </c>
      <c r="CI14" t="s">
        <v>1370</v>
      </c>
      <c r="CJ14" t="s">
        <v>1030</v>
      </c>
      <c r="CK14" t="s">
        <v>1371</v>
      </c>
      <c r="CL14" t="s">
        <v>1030</v>
      </c>
      <c r="CM14" t="s">
        <v>1372</v>
      </c>
      <c r="CN14" t="s">
        <v>1030</v>
      </c>
      <c r="CO14" t="s">
        <v>1373</v>
      </c>
      <c r="CP14" t="s">
        <v>1030</v>
      </c>
      <c r="CQ14" t="s">
        <v>1374</v>
      </c>
      <c r="CR14" t="s">
        <v>1030</v>
      </c>
      <c r="CS14" t="s">
        <v>1375</v>
      </c>
      <c r="CT14" t="s">
        <v>1030</v>
      </c>
      <c r="CU14" t="s">
        <v>1376</v>
      </c>
      <c r="CV14" t="s">
        <v>1030</v>
      </c>
      <c r="CW14" t="s">
        <v>1377</v>
      </c>
      <c r="CX14" t="s">
        <v>1030</v>
      </c>
      <c r="CY14" t="s">
        <v>1378</v>
      </c>
      <c r="CZ14" t="s">
        <v>1030</v>
      </c>
      <c r="DA14" t="s">
        <v>1379</v>
      </c>
      <c r="DB14" t="s">
        <v>1030</v>
      </c>
      <c r="DC14" t="s">
        <v>1380</v>
      </c>
      <c r="DD14" t="s">
        <v>1030</v>
      </c>
      <c r="DE14" t="s">
        <v>1381</v>
      </c>
      <c r="DF14" t="s">
        <v>1030</v>
      </c>
      <c r="DG14" t="s">
        <v>1382</v>
      </c>
      <c r="DH14" t="s">
        <v>1030</v>
      </c>
      <c r="DI14" t="s">
        <v>1383</v>
      </c>
      <c r="DJ14" t="s">
        <v>1030</v>
      </c>
      <c r="DK14" t="s">
        <v>1384</v>
      </c>
      <c r="DL14" t="s">
        <v>1030</v>
      </c>
      <c r="DM14" t="s">
        <v>1385</v>
      </c>
      <c r="DN14" t="s">
        <v>1030</v>
      </c>
      <c r="DO14" t="s">
        <v>1386</v>
      </c>
      <c r="DP14" t="s">
        <v>1030</v>
      </c>
      <c r="DQ14" t="s">
        <v>1387</v>
      </c>
      <c r="DR14" t="s">
        <v>1030</v>
      </c>
      <c r="DS14" t="s">
        <v>1388</v>
      </c>
      <c r="DT14" t="s">
        <v>1030</v>
      </c>
      <c r="DU14" t="s">
        <v>1389</v>
      </c>
      <c r="DV14" t="s">
        <v>1030</v>
      </c>
      <c r="DW14" t="s">
        <v>1390</v>
      </c>
      <c r="DX14" t="s">
        <v>1030</v>
      </c>
      <c r="DY14" t="s">
        <v>1391</v>
      </c>
      <c r="DZ14" t="s">
        <v>1030</v>
      </c>
      <c r="EA14" t="s">
        <v>1392</v>
      </c>
      <c r="EB14" t="s">
        <v>1030</v>
      </c>
      <c r="EC14" t="s">
        <v>1393</v>
      </c>
      <c r="ED14" t="s">
        <v>1030</v>
      </c>
      <c r="EE14" t="s">
        <v>1394</v>
      </c>
      <c r="EF14" t="s">
        <v>1030</v>
      </c>
      <c r="EG14" t="s">
        <v>1395</v>
      </c>
      <c r="EH14" t="s">
        <v>1030</v>
      </c>
      <c r="EI14" t="s">
        <v>1396</v>
      </c>
      <c r="EJ14" t="s">
        <v>1030</v>
      </c>
      <c r="EK14" t="s">
        <v>1397</v>
      </c>
      <c r="EL14" t="s">
        <v>1030</v>
      </c>
      <c r="EM14" t="s">
        <v>1398</v>
      </c>
      <c r="EN14" t="s">
        <v>1030</v>
      </c>
      <c r="EO14" t="s">
        <v>1399</v>
      </c>
      <c r="EP14" t="s">
        <v>1030</v>
      </c>
      <c r="EQ14" t="s">
        <v>1400</v>
      </c>
      <c r="ER14" t="s">
        <v>1030</v>
      </c>
      <c r="ES14" t="s">
        <v>1401</v>
      </c>
      <c r="ET14" t="s">
        <v>1030</v>
      </c>
      <c r="EU14" t="s">
        <v>1402</v>
      </c>
      <c r="EV14" t="s">
        <v>1030</v>
      </c>
      <c r="EW14" t="s">
        <v>1403</v>
      </c>
      <c r="EX14" t="s">
        <v>1030</v>
      </c>
      <c r="EY14" t="s">
        <v>1404</v>
      </c>
      <c r="EZ14" t="s">
        <v>1030</v>
      </c>
      <c r="FA14" t="s">
        <v>1405</v>
      </c>
      <c r="FB14" t="s">
        <v>1030</v>
      </c>
      <c r="FC14" t="s">
        <v>1406</v>
      </c>
      <c r="FD14" t="s">
        <v>1030</v>
      </c>
      <c r="FE14" t="s">
        <v>1407</v>
      </c>
      <c r="FF14" t="s">
        <v>1030</v>
      </c>
      <c r="FG14" t="s">
        <v>1408</v>
      </c>
      <c r="FH14" t="s">
        <v>1030</v>
      </c>
      <c r="FI14" t="s">
        <v>1409</v>
      </c>
      <c r="FJ14" t="s">
        <v>1030</v>
      </c>
      <c r="FK14" t="s">
        <v>1410</v>
      </c>
      <c r="FL14" t="s">
        <v>1030</v>
      </c>
      <c r="FM14" t="s">
        <v>1411</v>
      </c>
      <c r="FN14" t="s">
        <v>1030</v>
      </c>
      <c r="FO14" t="s">
        <v>1412</v>
      </c>
      <c r="FP14" t="s">
        <v>1030</v>
      </c>
      <c r="FQ14" t="s">
        <v>1413</v>
      </c>
      <c r="FR14" t="s">
        <v>1030</v>
      </c>
      <c r="FS14" t="s">
        <v>1414</v>
      </c>
      <c r="FT14" t="s">
        <v>1030</v>
      </c>
      <c r="FU14" t="s">
        <v>1415</v>
      </c>
      <c r="FV14" t="s">
        <v>1030</v>
      </c>
      <c r="FW14" t="s">
        <v>1416</v>
      </c>
      <c r="FX14" t="s">
        <v>1030</v>
      </c>
      <c r="FY14" t="s">
        <v>1417</v>
      </c>
      <c r="FZ14" t="s">
        <v>1030</v>
      </c>
      <c r="GA14" t="s">
        <v>1418</v>
      </c>
      <c r="GB14" t="s">
        <v>1030</v>
      </c>
      <c r="GC14" t="s">
        <v>1419</v>
      </c>
      <c r="GD14" t="s">
        <v>1030</v>
      </c>
      <c r="GE14" t="s">
        <v>1420</v>
      </c>
      <c r="GF14" t="s">
        <v>1030</v>
      </c>
      <c r="GG14" t="s">
        <v>1421</v>
      </c>
      <c r="GH14" t="s">
        <v>1030</v>
      </c>
      <c r="GI14" t="s">
        <v>1422</v>
      </c>
      <c r="GJ14" t="s">
        <v>1030</v>
      </c>
      <c r="GK14" t="s">
        <v>1423</v>
      </c>
      <c r="GL14" t="s">
        <v>1030</v>
      </c>
      <c r="GM14" t="s">
        <v>1424</v>
      </c>
      <c r="GN14" t="s">
        <v>1030</v>
      </c>
      <c r="GO14" t="s">
        <v>1425</v>
      </c>
      <c r="GP14" t="s">
        <v>1030</v>
      </c>
      <c r="GQ14" t="s">
        <v>1426</v>
      </c>
      <c r="GR14" t="s">
        <v>1030</v>
      </c>
    </row>
    <row r="15" spans="1:200" x14ac:dyDescent="0.25">
      <c r="A15" t="s">
        <v>1427</v>
      </c>
      <c r="B15" t="s">
        <v>1030</v>
      </c>
      <c r="C15" t="s">
        <v>1428</v>
      </c>
      <c r="D15" t="s">
        <v>1030</v>
      </c>
      <c r="E15" t="s">
        <v>1429</v>
      </c>
      <c r="F15" t="s">
        <v>1030</v>
      </c>
      <c r="G15" t="s">
        <v>1430</v>
      </c>
      <c r="H15" t="s">
        <v>1030</v>
      </c>
      <c r="I15" t="s">
        <v>1431</v>
      </c>
      <c r="J15" t="s">
        <v>1030</v>
      </c>
      <c r="K15" t="s">
        <v>1432</v>
      </c>
      <c r="L15" t="s">
        <v>1030</v>
      </c>
      <c r="M15" t="s">
        <v>1433</v>
      </c>
      <c r="N15" t="s">
        <v>1030</v>
      </c>
      <c r="O15" t="s">
        <v>1434</v>
      </c>
      <c r="P15" t="s">
        <v>1030</v>
      </c>
      <c r="Q15" t="s">
        <v>1435</v>
      </c>
      <c r="R15" t="s">
        <v>1030</v>
      </c>
      <c r="S15" t="s">
        <v>1436</v>
      </c>
      <c r="T15" t="s">
        <v>1030</v>
      </c>
      <c r="U15" t="s">
        <v>1437</v>
      </c>
      <c r="V15" t="s">
        <v>1030</v>
      </c>
      <c r="W15" t="s">
        <v>1438</v>
      </c>
      <c r="X15" t="s">
        <v>1030</v>
      </c>
      <c r="Y15" t="s">
        <v>1439</v>
      </c>
      <c r="Z15" t="s">
        <v>1030</v>
      </c>
      <c r="AA15" t="s">
        <v>1440</v>
      </c>
      <c r="AB15" t="s">
        <v>1030</v>
      </c>
      <c r="AC15" t="s">
        <v>1441</v>
      </c>
      <c r="AD15" t="s">
        <v>1030</v>
      </c>
      <c r="AE15" t="s">
        <v>1442</v>
      </c>
      <c r="AF15" t="s">
        <v>1030</v>
      </c>
      <c r="AG15" t="s">
        <v>1443</v>
      </c>
      <c r="AH15" t="s">
        <v>1030</v>
      </c>
      <c r="AI15" t="s">
        <v>1444</v>
      </c>
      <c r="AJ15" t="s">
        <v>1030</v>
      </c>
      <c r="AK15" t="s">
        <v>1445</v>
      </c>
      <c r="AL15" t="s">
        <v>1030</v>
      </c>
      <c r="AM15" t="s">
        <v>1446</v>
      </c>
      <c r="AN15" t="s">
        <v>1030</v>
      </c>
      <c r="AO15" t="s">
        <v>1447</v>
      </c>
      <c r="AP15" t="s">
        <v>1030</v>
      </c>
      <c r="AQ15" t="s">
        <v>1448</v>
      </c>
      <c r="AR15" t="s">
        <v>1030</v>
      </c>
      <c r="AS15" t="s">
        <v>1449</v>
      </c>
      <c r="AT15" t="s">
        <v>1030</v>
      </c>
      <c r="AU15" t="s">
        <v>1450</v>
      </c>
      <c r="AV15" t="s">
        <v>1030</v>
      </c>
      <c r="AW15" t="s">
        <v>1451</v>
      </c>
      <c r="AX15" t="s">
        <v>1030</v>
      </c>
      <c r="AY15" t="s">
        <v>1452</v>
      </c>
      <c r="AZ15" t="s">
        <v>1030</v>
      </c>
      <c r="BA15" t="s">
        <v>1453</v>
      </c>
      <c r="BB15" t="s">
        <v>1030</v>
      </c>
      <c r="BC15" t="s">
        <v>1454</v>
      </c>
      <c r="BD15" t="s">
        <v>1030</v>
      </c>
      <c r="BE15" t="s">
        <v>1455</v>
      </c>
      <c r="BF15" t="s">
        <v>1030</v>
      </c>
      <c r="BG15" t="s">
        <v>1456</v>
      </c>
      <c r="BH15" t="s">
        <v>1030</v>
      </c>
      <c r="BI15" t="s">
        <v>1457</v>
      </c>
      <c r="BJ15" t="s">
        <v>1030</v>
      </c>
      <c r="BK15" t="s">
        <v>1458</v>
      </c>
      <c r="BL15" t="s">
        <v>1030</v>
      </c>
      <c r="BM15" t="s">
        <v>1459</v>
      </c>
      <c r="BN15" t="s">
        <v>1030</v>
      </c>
      <c r="BO15" t="s">
        <v>1460</v>
      </c>
      <c r="BP15" t="s">
        <v>1030</v>
      </c>
      <c r="BQ15" t="s">
        <v>1461</v>
      </c>
      <c r="BR15" t="s">
        <v>1030</v>
      </c>
      <c r="BS15" t="s">
        <v>1462</v>
      </c>
      <c r="BT15" t="s">
        <v>1030</v>
      </c>
      <c r="BU15" t="s">
        <v>1463</v>
      </c>
      <c r="BV15" t="s">
        <v>1030</v>
      </c>
      <c r="BW15" t="s">
        <v>1464</v>
      </c>
      <c r="BX15" t="s">
        <v>1030</v>
      </c>
      <c r="BY15" t="s">
        <v>1465</v>
      </c>
      <c r="BZ15" t="s">
        <v>1030</v>
      </c>
      <c r="CA15" t="s">
        <v>1466</v>
      </c>
      <c r="CB15" t="s">
        <v>1030</v>
      </c>
      <c r="CC15" t="s">
        <v>1467</v>
      </c>
      <c r="CD15" t="s">
        <v>1030</v>
      </c>
      <c r="CE15" t="s">
        <v>1468</v>
      </c>
      <c r="CF15" t="s">
        <v>1030</v>
      </c>
      <c r="CG15" t="s">
        <v>1469</v>
      </c>
      <c r="CH15" t="s">
        <v>1030</v>
      </c>
      <c r="CI15" t="s">
        <v>1470</v>
      </c>
      <c r="CJ15" t="s">
        <v>1030</v>
      </c>
      <c r="CK15" t="s">
        <v>1471</v>
      </c>
      <c r="CL15" t="s">
        <v>1030</v>
      </c>
      <c r="CM15" t="s">
        <v>1472</v>
      </c>
      <c r="CN15" t="s">
        <v>1030</v>
      </c>
      <c r="CO15" t="s">
        <v>1473</v>
      </c>
      <c r="CP15" t="s">
        <v>1030</v>
      </c>
      <c r="CQ15" t="s">
        <v>1474</v>
      </c>
      <c r="CR15" t="s">
        <v>1030</v>
      </c>
      <c r="CS15" t="s">
        <v>1475</v>
      </c>
      <c r="CT15" t="s">
        <v>1030</v>
      </c>
      <c r="CU15" t="s">
        <v>1476</v>
      </c>
      <c r="CV15" t="s">
        <v>1030</v>
      </c>
      <c r="CW15" t="s">
        <v>1477</v>
      </c>
      <c r="CX15" t="s">
        <v>1030</v>
      </c>
      <c r="CY15" t="s">
        <v>1478</v>
      </c>
      <c r="CZ15" t="s">
        <v>1030</v>
      </c>
      <c r="DA15" t="s">
        <v>1479</v>
      </c>
      <c r="DB15" t="s">
        <v>1030</v>
      </c>
      <c r="DC15" t="s">
        <v>1480</v>
      </c>
      <c r="DD15" t="s">
        <v>1030</v>
      </c>
      <c r="DE15" t="s">
        <v>1481</v>
      </c>
      <c r="DF15" t="s">
        <v>1030</v>
      </c>
      <c r="DG15" t="s">
        <v>1482</v>
      </c>
      <c r="DH15" t="s">
        <v>1030</v>
      </c>
      <c r="DI15" t="s">
        <v>1483</v>
      </c>
      <c r="DJ15" t="s">
        <v>1030</v>
      </c>
      <c r="DK15" t="s">
        <v>1484</v>
      </c>
      <c r="DL15" t="s">
        <v>1030</v>
      </c>
      <c r="DM15" t="s">
        <v>1485</v>
      </c>
      <c r="DN15" t="s">
        <v>1030</v>
      </c>
      <c r="DO15" t="s">
        <v>1486</v>
      </c>
      <c r="DP15" t="s">
        <v>1030</v>
      </c>
      <c r="DQ15" t="s">
        <v>1487</v>
      </c>
      <c r="DR15" t="s">
        <v>1030</v>
      </c>
      <c r="DS15" t="s">
        <v>1488</v>
      </c>
      <c r="DT15" t="s">
        <v>1030</v>
      </c>
      <c r="DU15" t="s">
        <v>1489</v>
      </c>
      <c r="DV15" t="s">
        <v>1030</v>
      </c>
      <c r="DW15" t="s">
        <v>1490</v>
      </c>
      <c r="DX15" t="s">
        <v>1030</v>
      </c>
      <c r="DY15" t="s">
        <v>1491</v>
      </c>
      <c r="DZ15" t="s">
        <v>1030</v>
      </c>
      <c r="EA15" t="s">
        <v>1492</v>
      </c>
      <c r="EB15" t="s">
        <v>1030</v>
      </c>
      <c r="EC15" t="s">
        <v>1493</v>
      </c>
      <c r="ED15" t="s">
        <v>1030</v>
      </c>
      <c r="EE15" t="s">
        <v>1494</v>
      </c>
      <c r="EF15" t="s">
        <v>1030</v>
      </c>
      <c r="EG15" t="s">
        <v>1495</v>
      </c>
      <c r="EH15" t="s">
        <v>1030</v>
      </c>
      <c r="EI15" t="s">
        <v>1496</v>
      </c>
      <c r="EJ15" t="s">
        <v>1030</v>
      </c>
      <c r="EK15" t="s">
        <v>1497</v>
      </c>
      <c r="EL15" t="s">
        <v>1030</v>
      </c>
      <c r="EM15" t="s">
        <v>1498</v>
      </c>
      <c r="EN15" t="s">
        <v>1030</v>
      </c>
      <c r="EO15" t="s">
        <v>1499</v>
      </c>
      <c r="EP15" t="s">
        <v>1030</v>
      </c>
      <c r="EQ15" t="s">
        <v>1500</v>
      </c>
      <c r="ER15" t="s">
        <v>1030</v>
      </c>
      <c r="ES15" t="s">
        <v>1501</v>
      </c>
      <c r="ET15" t="s">
        <v>1030</v>
      </c>
      <c r="EU15" t="s">
        <v>1502</v>
      </c>
      <c r="EV15" t="s">
        <v>1030</v>
      </c>
      <c r="EW15" t="s">
        <v>1503</v>
      </c>
      <c r="EX15" t="s">
        <v>1030</v>
      </c>
      <c r="EY15" t="s">
        <v>1504</v>
      </c>
      <c r="EZ15" t="s">
        <v>1030</v>
      </c>
      <c r="FA15" t="s">
        <v>1505</v>
      </c>
      <c r="FB15" t="s">
        <v>1030</v>
      </c>
      <c r="FC15" t="s">
        <v>1506</v>
      </c>
      <c r="FD15" t="s">
        <v>1030</v>
      </c>
      <c r="FE15" t="s">
        <v>1507</v>
      </c>
      <c r="FF15" t="s">
        <v>1030</v>
      </c>
      <c r="FG15" t="s">
        <v>1508</v>
      </c>
      <c r="FH15" t="s">
        <v>1030</v>
      </c>
      <c r="FI15" t="s">
        <v>1509</v>
      </c>
      <c r="FJ15" t="s">
        <v>1030</v>
      </c>
      <c r="FK15" t="s">
        <v>1510</v>
      </c>
      <c r="FL15" t="s">
        <v>1030</v>
      </c>
      <c r="FM15" t="s">
        <v>1511</v>
      </c>
      <c r="FN15" t="s">
        <v>1030</v>
      </c>
      <c r="FO15" t="s">
        <v>1512</v>
      </c>
      <c r="FP15" t="s">
        <v>1030</v>
      </c>
      <c r="FQ15" t="s">
        <v>1513</v>
      </c>
      <c r="FR15" t="s">
        <v>1030</v>
      </c>
      <c r="FS15" t="s">
        <v>1514</v>
      </c>
      <c r="FT15" t="s">
        <v>1030</v>
      </c>
      <c r="FU15" t="s">
        <v>1515</v>
      </c>
      <c r="FV15" t="s">
        <v>1030</v>
      </c>
      <c r="FW15" t="s">
        <v>1516</v>
      </c>
      <c r="FX15" t="s">
        <v>1030</v>
      </c>
      <c r="FY15" t="s">
        <v>1517</v>
      </c>
      <c r="FZ15" t="s">
        <v>1030</v>
      </c>
      <c r="GA15" t="s">
        <v>1518</v>
      </c>
      <c r="GB15" t="s">
        <v>1030</v>
      </c>
      <c r="GC15" t="s">
        <v>1519</v>
      </c>
      <c r="GD15" t="s">
        <v>1030</v>
      </c>
      <c r="GE15" t="s">
        <v>1520</v>
      </c>
      <c r="GF15" t="s">
        <v>1030</v>
      </c>
      <c r="GG15" t="s">
        <v>1521</v>
      </c>
      <c r="GH15" t="s">
        <v>1030</v>
      </c>
      <c r="GI15" t="s">
        <v>1522</v>
      </c>
      <c r="GJ15" t="s">
        <v>1030</v>
      </c>
      <c r="GK15" t="s">
        <v>1523</v>
      </c>
      <c r="GL15" t="s">
        <v>1030</v>
      </c>
      <c r="GM15" t="s">
        <v>1524</v>
      </c>
      <c r="GN15" t="s">
        <v>1030</v>
      </c>
      <c r="GO15" t="s">
        <v>1525</v>
      </c>
      <c r="GP15" t="s">
        <v>1030</v>
      </c>
      <c r="GQ15" t="s">
        <v>1526</v>
      </c>
      <c r="GR15" t="s">
        <v>1030</v>
      </c>
    </row>
    <row r="16" spans="1:200" x14ac:dyDescent="0.25">
      <c r="A16" t="s">
        <v>1527</v>
      </c>
      <c r="B16" t="s">
        <v>1026</v>
      </c>
      <c r="C16" t="s">
        <v>1528</v>
      </c>
      <c r="D16" t="s">
        <v>1026</v>
      </c>
      <c r="E16" t="s">
        <v>1529</v>
      </c>
      <c r="F16" t="s">
        <v>1026</v>
      </c>
      <c r="G16" t="s">
        <v>1530</v>
      </c>
      <c r="H16" t="s">
        <v>1026</v>
      </c>
      <c r="I16" t="s">
        <v>1531</v>
      </c>
      <c r="J16" t="s">
        <v>1026</v>
      </c>
      <c r="K16" t="s">
        <v>1532</v>
      </c>
      <c r="L16" t="s">
        <v>1026</v>
      </c>
      <c r="M16" t="s">
        <v>1533</v>
      </c>
      <c r="N16" t="s">
        <v>1026</v>
      </c>
      <c r="O16" t="s">
        <v>1534</v>
      </c>
      <c r="P16" t="s">
        <v>1026</v>
      </c>
      <c r="Q16" t="s">
        <v>1535</v>
      </c>
      <c r="R16" t="s">
        <v>1026</v>
      </c>
      <c r="S16" t="s">
        <v>1536</v>
      </c>
      <c r="T16" t="s">
        <v>1026</v>
      </c>
      <c r="U16" t="s">
        <v>1537</v>
      </c>
      <c r="V16" t="s">
        <v>1026</v>
      </c>
      <c r="W16" t="s">
        <v>1538</v>
      </c>
      <c r="X16" t="s">
        <v>1026</v>
      </c>
      <c r="Y16" t="s">
        <v>1539</v>
      </c>
      <c r="Z16" t="s">
        <v>1026</v>
      </c>
      <c r="AA16" t="s">
        <v>1540</v>
      </c>
      <c r="AB16" t="s">
        <v>1026</v>
      </c>
      <c r="AC16" t="s">
        <v>1541</v>
      </c>
      <c r="AD16" t="s">
        <v>1026</v>
      </c>
      <c r="AE16" t="s">
        <v>1542</v>
      </c>
      <c r="AF16" t="s">
        <v>1026</v>
      </c>
      <c r="AG16" t="s">
        <v>1543</v>
      </c>
      <c r="AH16" t="s">
        <v>1026</v>
      </c>
      <c r="AI16" t="s">
        <v>1544</v>
      </c>
      <c r="AJ16" t="s">
        <v>1026</v>
      </c>
      <c r="AK16" t="s">
        <v>1545</v>
      </c>
      <c r="AL16" t="s">
        <v>1026</v>
      </c>
      <c r="AM16" t="s">
        <v>1546</v>
      </c>
      <c r="AN16" t="s">
        <v>1026</v>
      </c>
      <c r="AO16" t="s">
        <v>1547</v>
      </c>
      <c r="AP16" t="s">
        <v>1026</v>
      </c>
      <c r="AQ16" t="s">
        <v>1548</v>
      </c>
      <c r="AR16" t="s">
        <v>1026</v>
      </c>
      <c r="AS16" t="s">
        <v>1549</v>
      </c>
      <c r="AT16" t="s">
        <v>1026</v>
      </c>
      <c r="AU16" t="s">
        <v>1550</v>
      </c>
      <c r="AV16" t="s">
        <v>1026</v>
      </c>
      <c r="AW16" t="s">
        <v>1551</v>
      </c>
      <c r="AX16" t="s">
        <v>1026</v>
      </c>
      <c r="AY16" t="s">
        <v>1552</v>
      </c>
      <c r="AZ16" t="s">
        <v>1026</v>
      </c>
      <c r="BA16" t="s">
        <v>1553</v>
      </c>
      <c r="BB16" t="s">
        <v>1026</v>
      </c>
      <c r="BC16" t="s">
        <v>1554</v>
      </c>
      <c r="BD16" t="s">
        <v>1026</v>
      </c>
      <c r="BE16" t="s">
        <v>1555</v>
      </c>
      <c r="BF16" t="s">
        <v>1026</v>
      </c>
      <c r="BG16" t="s">
        <v>1556</v>
      </c>
      <c r="BH16" t="s">
        <v>1026</v>
      </c>
      <c r="BI16" t="s">
        <v>1557</v>
      </c>
      <c r="BJ16" t="s">
        <v>1026</v>
      </c>
      <c r="BK16" t="s">
        <v>1558</v>
      </c>
      <c r="BL16" t="s">
        <v>1026</v>
      </c>
      <c r="BM16" t="s">
        <v>1559</v>
      </c>
      <c r="BN16" t="s">
        <v>1026</v>
      </c>
      <c r="BO16" t="s">
        <v>1560</v>
      </c>
      <c r="BP16" t="s">
        <v>1026</v>
      </c>
      <c r="BQ16" t="s">
        <v>1561</v>
      </c>
      <c r="BR16" t="s">
        <v>1026</v>
      </c>
      <c r="BS16" t="s">
        <v>1562</v>
      </c>
      <c r="BT16" t="s">
        <v>1026</v>
      </c>
      <c r="BU16" t="s">
        <v>1563</v>
      </c>
      <c r="BV16" t="s">
        <v>1026</v>
      </c>
      <c r="BW16" t="s">
        <v>1564</v>
      </c>
      <c r="BX16" t="s">
        <v>1026</v>
      </c>
      <c r="BY16" t="s">
        <v>1565</v>
      </c>
      <c r="BZ16" t="s">
        <v>1026</v>
      </c>
      <c r="CA16" t="s">
        <v>1566</v>
      </c>
      <c r="CB16" t="s">
        <v>1026</v>
      </c>
      <c r="CC16" t="s">
        <v>1567</v>
      </c>
      <c r="CD16" t="s">
        <v>1026</v>
      </c>
      <c r="CE16" t="s">
        <v>1568</v>
      </c>
      <c r="CF16" t="s">
        <v>1026</v>
      </c>
      <c r="CG16" t="s">
        <v>1569</v>
      </c>
      <c r="CH16" t="s">
        <v>1026</v>
      </c>
      <c r="CI16" t="s">
        <v>1570</v>
      </c>
      <c r="CJ16" t="s">
        <v>1026</v>
      </c>
      <c r="CK16" t="s">
        <v>1571</v>
      </c>
      <c r="CL16" t="s">
        <v>1026</v>
      </c>
      <c r="CM16" t="s">
        <v>1572</v>
      </c>
      <c r="CN16" t="s">
        <v>1026</v>
      </c>
      <c r="CO16" t="s">
        <v>1573</v>
      </c>
      <c r="CP16" t="s">
        <v>1026</v>
      </c>
      <c r="CQ16" t="s">
        <v>1574</v>
      </c>
      <c r="CR16" t="s">
        <v>1026</v>
      </c>
      <c r="CS16" t="s">
        <v>1575</v>
      </c>
      <c r="CT16" t="s">
        <v>1026</v>
      </c>
      <c r="CU16" t="s">
        <v>1576</v>
      </c>
      <c r="CV16" t="s">
        <v>1026</v>
      </c>
      <c r="CW16" t="s">
        <v>1577</v>
      </c>
      <c r="CX16" t="s">
        <v>1026</v>
      </c>
      <c r="CY16" t="s">
        <v>1578</v>
      </c>
      <c r="CZ16" t="s">
        <v>1026</v>
      </c>
      <c r="DA16" t="s">
        <v>1579</v>
      </c>
      <c r="DB16" t="s">
        <v>1026</v>
      </c>
      <c r="DC16" t="s">
        <v>1580</v>
      </c>
      <c r="DD16" t="s">
        <v>1026</v>
      </c>
      <c r="DE16" t="s">
        <v>1581</v>
      </c>
      <c r="DF16" t="s">
        <v>1026</v>
      </c>
      <c r="DG16" t="s">
        <v>1582</v>
      </c>
      <c r="DH16" t="s">
        <v>1026</v>
      </c>
      <c r="DI16" t="s">
        <v>1583</v>
      </c>
      <c r="DJ16" t="s">
        <v>1026</v>
      </c>
      <c r="DK16" t="s">
        <v>1584</v>
      </c>
      <c r="DL16" t="s">
        <v>1026</v>
      </c>
      <c r="DM16" t="s">
        <v>1585</v>
      </c>
      <c r="DN16" t="s">
        <v>1026</v>
      </c>
      <c r="DO16" t="s">
        <v>1586</v>
      </c>
      <c r="DP16" t="s">
        <v>1026</v>
      </c>
      <c r="DQ16" t="s">
        <v>1587</v>
      </c>
      <c r="DR16" t="s">
        <v>1026</v>
      </c>
      <c r="DS16" t="s">
        <v>1588</v>
      </c>
      <c r="DT16" t="s">
        <v>1026</v>
      </c>
      <c r="DU16" t="s">
        <v>1589</v>
      </c>
      <c r="DV16" t="s">
        <v>1026</v>
      </c>
      <c r="DW16" t="s">
        <v>1590</v>
      </c>
      <c r="DX16" t="s">
        <v>1026</v>
      </c>
      <c r="DY16" t="s">
        <v>1591</v>
      </c>
      <c r="DZ16" t="s">
        <v>1026</v>
      </c>
      <c r="EA16" t="s">
        <v>1592</v>
      </c>
      <c r="EB16" t="s">
        <v>1026</v>
      </c>
      <c r="EC16" t="s">
        <v>1593</v>
      </c>
      <c r="ED16" t="s">
        <v>1026</v>
      </c>
      <c r="EE16" t="s">
        <v>1594</v>
      </c>
      <c r="EF16" t="s">
        <v>1026</v>
      </c>
      <c r="EG16" t="s">
        <v>1595</v>
      </c>
      <c r="EH16" t="s">
        <v>1026</v>
      </c>
      <c r="EI16" t="s">
        <v>1596</v>
      </c>
      <c r="EJ16" t="s">
        <v>1026</v>
      </c>
      <c r="EK16" t="s">
        <v>1597</v>
      </c>
      <c r="EL16" t="s">
        <v>1026</v>
      </c>
      <c r="EM16" t="s">
        <v>1598</v>
      </c>
      <c r="EN16" t="s">
        <v>1026</v>
      </c>
      <c r="EO16" t="s">
        <v>1599</v>
      </c>
      <c r="EP16" t="s">
        <v>1026</v>
      </c>
      <c r="EQ16" t="s">
        <v>1600</v>
      </c>
      <c r="ER16" t="s">
        <v>1026</v>
      </c>
      <c r="ES16" t="s">
        <v>1601</v>
      </c>
      <c r="ET16" t="s">
        <v>1026</v>
      </c>
      <c r="EU16" t="s">
        <v>1602</v>
      </c>
      <c r="EV16" t="s">
        <v>1026</v>
      </c>
      <c r="EW16" t="s">
        <v>1603</v>
      </c>
      <c r="EX16" t="s">
        <v>1026</v>
      </c>
      <c r="EY16" t="s">
        <v>1604</v>
      </c>
      <c r="EZ16" t="s">
        <v>1026</v>
      </c>
      <c r="FA16" t="s">
        <v>1605</v>
      </c>
      <c r="FB16" t="s">
        <v>1026</v>
      </c>
      <c r="FC16" t="s">
        <v>1606</v>
      </c>
      <c r="FD16" t="s">
        <v>1026</v>
      </c>
      <c r="FE16" t="s">
        <v>1607</v>
      </c>
      <c r="FF16" t="s">
        <v>1026</v>
      </c>
      <c r="FG16" t="s">
        <v>1608</v>
      </c>
      <c r="FH16" t="s">
        <v>1026</v>
      </c>
      <c r="FI16" t="s">
        <v>1609</v>
      </c>
      <c r="FJ16" t="s">
        <v>1026</v>
      </c>
      <c r="FK16" t="s">
        <v>1610</v>
      </c>
      <c r="FL16" t="s">
        <v>1026</v>
      </c>
      <c r="FM16" t="s">
        <v>1611</v>
      </c>
      <c r="FN16" t="s">
        <v>1026</v>
      </c>
      <c r="FO16" t="s">
        <v>1612</v>
      </c>
      <c r="FP16" t="s">
        <v>1026</v>
      </c>
      <c r="FQ16" t="s">
        <v>1613</v>
      </c>
      <c r="FR16" t="s">
        <v>1026</v>
      </c>
      <c r="FS16" t="s">
        <v>1614</v>
      </c>
      <c r="FT16" t="s">
        <v>1026</v>
      </c>
      <c r="FU16" t="s">
        <v>1615</v>
      </c>
      <c r="FV16" t="s">
        <v>1026</v>
      </c>
      <c r="FW16" t="s">
        <v>1616</v>
      </c>
      <c r="FX16" t="s">
        <v>1026</v>
      </c>
      <c r="FY16" t="s">
        <v>1617</v>
      </c>
      <c r="FZ16" t="s">
        <v>1026</v>
      </c>
      <c r="GA16" t="s">
        <v>1618</v>
      </c>
      <c r="GB16" t="s">
        <v>1030</v>
      </c>
      <c r="GC16" t="s">
        <v>1619</v>
      </c>
      <c r="GD16" t="s">
        <v>1026</v>
      </c>
      <c r="GE16" t="s">
        <v>1620</v>
      </c>
      <c r="GF16" t="s">
        <v>1026</v>
      </c>
      <c r="GG16" t="s">
        <v>1621</v>
      </c>
      <c r="GH16" t="s">
        <v>1026</v>
      </c>
      <c r="GI16" t="s">
        <v>1622</v>
      </c>
      <c r="GJ16" t="s">
        <v>1026</v>
      </c>
      <c r="GK16" t="s">
        <v>1623</v>
      </c>
      <c r="GL16" t="s">
        <v>1026</v>
      </c>
      <c r="GM16" t="s">
        <v>1624</v>
      </c>
      <c r="GN16" t="s">
        <v>1026</v>
      </c>
      <c r="GO16" t="s">
        <v>1625</v>
      </c>
      <c r="GP16" t="s">
        <v>1026</v>
      </c>
      <c r="GQ16" t="s">
        <v>1626</v>
      </c>
      <c r="GR16" t="s">
        <v>1026</v>
      </c>
    </row>
    <row r="17" spans="1:200" x14ac:dyDescent="0.25">
      <c r="A17" t="s">
        <v>1627</v>
      </c>
      <c r="B17" t="s">
        <v>1026</v>
      </c>
      <c r="C17" t="s">
        <v>1628</v>
      </c>
      <c r="D17" t="s">
        <v>1026</v>
      </c>
      <c r="E17" t="s">
        <v>1629</v>
      </c>
      <c r="F17" t="s">
        <v>1026</v>
      </c>
      <c r="G17" t="s">
        <v>1630</v>
      </c>
      <c r="H17" t="s">
        <v>1026</v>
      </c>
      <c r="I17" t="s">
        <v>1631</v>
      </c>
      <c r="J17" t="s">
        <v>1026</v>
      </c>
      <c r="K17" t="s">
        <v>1632</v>
      </c>
      <c r="L17" t="s">
        <v>1026</v>
      </c>
      <c r="M17" t="s">
        <v>1633</v>
      </c>
      <c r="N17" t="s">
        <v>1026</v>
      </c>
      <c r="O17" t="s">
        <v>1634</v>
      </c>
      <c r="P17" t="s">
        <v>1026</v>
      </c>
      <c r="Q17" t="s">
        <v>1635</v>
      </c>
      <c r="R17" t="s">
        <v>1026</v>
      </c>
      <c r="S17" t="s">
        <v>1636</v>
      </c>
      <c r="T17" t="s">
        <v>1026</v>
      </c>
      <c r="U17" t="s">
        <v>1637</v>
      </c>
      <c r="V17" t="s">
        <v>1026</v>
      </c>
      <c r="W17" t="s">
        <v>1638</v>
      </c>
      <c r="X17" t="s">
        <v>1026</v>
      </c>
      <c r="Y17" t="s">
        <v>1639</v>
      </c>
      <c r="Z17" t="s">
        <v>1026</v>
      </c>
      <c r="AA17" t="s">
        <v>1640</v>
      </c>
      <c r="AB17" t="s">
        <v>1026</v>
      </c>
      <c r="AC17" t="s">
        <v>1641</v>
      </c>
      <c r="AD17" t="s">
        <v>1030</v>
      </c>
      <c r="AE17" t="s">
        <v>1642</v>
      </c>
      <c r="AF17" t="s">
        <v>1026</v>
      </c>
      <c r="AG17" t="s">
        <v>1643</v>
      </c>
      <c r="AH17" t="s">
        <v>1026</v>
      </c>
      <c r="AI17" t="s">
        <v>1644</v>
      </c>
      <c r="AJ17" t="s">
        <v>1026</v>
      </c>
      <c r="AK17" t="s">
        <v>1645</v>
      </c>
      <c r="AL17" t="s">
        <v>1026</v>
      </c>
      <c r="AM17" t="s">
        <v>1646</v>
      </c>
      <c r="AN17" t="s">
        <v>1026</v>
      </c>
      <c r="AO17" t="s">
        <v>1647</v>
      </c>
      <c r="AP17" t="s">
        <v>1026</v>
      </c>
      <c r="AQ17" t="s">
        <v>1648</v>
      </c>
      <c r="AR17" t="s">
        <v>1026</v>
      </c>
      <c r="AS17" t="s">
        <v>1649</v>
      </c>
      <c r="AT17" t="s">
        <v>1026</v>
      </c>
      <c r="AU17" t="s">
        <v>1650</v>
      </c>
      <c r="AV17" t="s">
        <v>1026</v>
      </c>
      <c r="AW17" t="s">
        <v>1651</v>
      </c>
      <c r="AX17" t="s">
        <v>1026</v>
      </c>
      <c r="AY17" t="s">
        <v>1652</v>
      </c>
      <c r="AZ17" t="s">
        <v>1026</v>
      </c>
      <c r="BA17" t="s">
        <v>1653</v>
      </c>
      <c r="BB17" t="s">
        <v>1026</v>
      </c>
      <c r="BC17" t="s">
        <v>1654</v>
      </c>
      <c r="BD17" t="s">
        <v>1026</v>
      </c>
      <c r="BE17" t="s">
        <v>1655</v>
      </c>
      <c r="BF17" t="s">
        <v>1026</v>
      </c>
      <c r="BG17" t="s">
        <v>1656</v>
      </c>
      <c r="BH17" t="s">
        <v>1026</v>
      </c>
      <c r="BI17" t="s">
        <v>1657</v>
      </c>
      <c r="BJ17" t="s">
        <v>1026</v>
      </c>
      <c r="BK17" t="s">
        <v>1658</v>
      </c>
      <c r="BL17" t="s">
        <v>1026</v>
      </c>
      <c r="BM17" t="s">
        <v>1659</v>
      </c>
      <c r="BN17" t="s">
        <v>1026</v>
      </c>
      <c r="BO17" t="s">
        <v>1660</v>
      </c>
      <c r="BP17" t="s">
        <v>1026</v>
      </c>
      <c r="BQ17" t="s">
        <v>1661</v>
      </c>
      <c r="BR17" t="s">
        <v>1026</v>
      </c>
      <c r="BS17" t="s">
        <v>1662</v>
      </c>
      <c r="BT17" t="s">
        <v>1026</v>
      </c>
      <c r="BU17" t="s">
        <v>1663</v>
      </c>
      <c r="BV17" t="s">
        <v>1026</v>
      </c>
      <c r="BW17" t="s">
        <v>1664</v>
      </c>
      <c r="BX17" t="s">
        <v>1026</v>
      </c>
      <c r="BY17" t="s">
        <v>1665</v>
      </c>
      <c r="BZ17" t="s">
        <v>1026</v>
      </c>
      <c r="CA17" t="s">
        <v>1666</v>
      </c>
      <c r="CB17" t="s">
        <v>1026</v>
      </c>
      <c r="CC17" t="s">
        <v>1667</v>
      </c>
      <c r="CD17" t="s">
        <v>1026</v>
      </c>
      <c r="CE17" t="s">
        <v>1668</v>
      </c>
      <c r="CF17" t="s">
        <v>1026</v>
      </c>
      <c r="CG17" t="s">
        <v>1669</v>
      </c>
      <c r="CH17" t="s">
        <v>1026</v>
      </c>
      <c r="CI17" t="s">
        <v>1670</v>
      </c>
      <c r="CJ17" t="s">
        <v>1026</v>
      </c>
      <c r="CK17" t="s">
        <v>1671</v>
      </c>
      <c r="CL17" t="s">
        <v>1026</v>
      </c>
      <c r="CM17" t="s">
        <v>1672</v>
      </c>
      <c r="CN17" t="s">
        <v>1026</v>
      </c>
      <c r="CO17" t="s">
        <v>1673</v>
      </c>
      <c r="CP17" t="s">
        <v>1026</v>
      </c>
      <c r="CQ17" t="s">
        <v>1674</v>
      </c>
      <c r="CR17" t="s">
        <v>1026</v>
      </c>
      <c r="CS17" t="s">
        <v>1675</v>
      </c>
      <c r="CT17" t="s">
        <v>1026</v>
      </c>
      <c r="CU17" t="s">
        <v>1676</v>
      </c>
      <c r="CV17" t="s">
        <v>1026</v>
      </c>
      <c r="CW17" t="s">
        <v>1677</v>
      </c>
      <c r="CX17" t="s">
        <v>1026</v>
      </c>
      <c r="CY17" t="s">
        <v>1678</v>
      </c>
      <c r="CZ17" t="s">
        <v>1026</v>
      </c>
      <c r="DA17" t="s">
        <v>1679</v>
      </c>
      <c r="DB17" t="s">
        <v>1026</v>
      </c>
      <c r="DC17" t="s">
        <v>1680</v>
      </c>
      <c r="DD17" t="s">
        <v>1026</v>
      </c>
      <c r="DE17" t="s">
        <v>1681</v>
      </c>
      <c r="DF17" t="s">
        <v>1026</v>
      </c>
      <c r="DG17" t="s">
        <v>1682</v>
      </c>
      <c r="DH17" t="s">
        <v>1026</v>
      </c>
      <c r="DI17" t="s">
        <v>1683</v>
      </c>
      <c r="DJ17" t="s">
        <v>1026</v>
      </c>
      <c r="DK17" t="s">
        <v>1684</v>
      </c>
      <c r="DL17" t="s">
        <v>1026</v>
      </c>
      <c r="DM17" t="s">
        <v>1685</v>
      </c>
      <c r="DN17" t="s">
        <v>1026</v>
      </c>
      <c r="DO17" t="s">
        <v>1686</v>
      </c>
      <c r="DP17" t="s">
        <v>1026</v>
      </c>
      <c r="DQ17" t="s">
        <v>1687</v>
      </c>
      <c r="DR17" t="s">
        <v>1026</v>
      </c>
      <c r="DS17" t="s">
        <v>1688</v>
      </c>
      <c r="DT17" t="s">
        <v>1026</v>
      </c>
      <c r="DU17" t="s">
        <v>1689</v>
      </c>
      <c r="DV17" t="s">
        <v>1026</v>
      </c>
      <c r="DW17" t="s">
        <v>1690</v>
      </c>
      <c r="DX17" t="s">
        <v>1026</v>
      </c>
      <c r="DY17" t="s">
        <v>1691</v>
      </c>
      <c r="DZ17" t="s">
        <v>1026</v>
      </c>
      <c r="EA17" t="s">
        <v>1692</v>
      </c>
      <c r="EB17" t="s">
        <v>1026</v>
      </c>
      <c r="EC17" t="s">
        <v>1693</v>
      </c>
      <c r="ED17" t="s">
        <v>1026</v>
      </c>
      <c r="EE17" t="s">
        <v>1694</v>
      </c>
      <c r="EF17" t="s">
        <v>1026</v>
      </c>
      <c r="EG17" t="s">
        <v>1695</v>
      </c>
      <c r="EH17" t="s">
        <v>1026</v>
      </c>
      <c r="EI17" t="s">
        <v>1696</v>
      </c>
      <c r="EJ17" t="s">
        <v>1026</v>
      </c>
      <c r="EK17" t="s">
        <v>1697</v>
      </c>
      <c r="EL17" t="s">
        <v>1026</v>
      </c>
      <c r="EM17" t="s">
        <v>1698</v>
      </c>
      <c r="EN17" t="s">
        <v>1026</v>
      </c>
      <c r="EO17" t="s">
        <v>1699</v>
      </c>
      <c r="EP17" t="s">
        <v>1026</v>
      </c>
      <c r="EQ17" t="s">
        <v>1700</v>
      </c>
      <c r="ER17" t="s">
        <v>1026</v>
      </c>
      <c r="ES17" t="s">
        <v>1701</v>
      </c>
      <c r="ET17" t="s">
        <v>1026</v>
      </c>
      <c r="EU17" t="s">
        <v>1702</v>
      </c>
      <c r="EV17" t="s">
        <v>1026</v>
      </c>
      <c r="EW17" t="s">
        <v>1703</v>
      </c>
      <c r="EX17" t="s">
        <v>1026</v>
      </c>
      <c r="EY17" t="s">
        <v>1704</v>
      </c>
      <c r="EZ17" t="s">
        <v>1026</v>
      </c>
      <c r="FA17" t="s">
        <v>1705</v>
      </c>
      <c r="FB17" t="s">
        <v>1026</v>
      </c>
      <c r="FC17" t="s">
        <v>1706</v>
      </c>
      <c r="FD17" t="s">
        <v>1026</v>
      </c>
      <c r="FE17" t="s">
        <v>1707</v>
      </c>
      <c r="FF17" t="s">
        <v>1026</v>
      </c>
      <c r="FG17" t="s">
        <v>1708</v>
      </c>
      <c r="FH17" t="s">
        <v>1026</v>
      </c>
      <c r="FI17" t="s">
        <v>1709</v>
      </c>
      <c r="FJ17" t="s">
        <v>1026</v>
      </c>
      <c r="FK17" t="s">
        <v>1710</v>
      </c>
      <c r="FL17" t="s">
        <v>1026</v>
      </c>
      <c r="FM17" t="s">
        <v>1711</v>
      </c>
      <c r="FN17" t="s">
        <v>1026</v>
      </c>
      <c r="FO17" t="s">
        <v>1712</v>
      </c>
      <c r="FP17" t="s">
        <v>1030</v>
      </c>
      <c r="FQ17" t="s">
        <v>1713</v>
      </c>
      <c r="FR17" t="s">
        <v>1026</v>
      </c>
      <c r="FS17" t="s">
        <v>1714</v>
      </c>
      <c r="FT17" t="s">
        <v>1026</v>
      </c>
      <c r="FU17" t="s">
        <v>1715</v>
      </c>
      <c r="FV17" t="s">
        <v>1026</v>
      </c>
      <c r="FW17" t="s">
        <v>1716</v>
      </c>
      <c r="FX17" t="s">
        <v>1026</v>
      </c>
      <c r="FY17" t="s">
        <v>1717</v>
      </c>
      <c r="FZ17" t="s">
        <v>1026</v>
      </c>
      <c r="GA17" t="s">
        <v>1718</v>
      </c>
      <c r="GB17" t="s">
        <v>1026</v>
      </c>
      <c r="GC17" t="s">
        <v>1719</v>
      </c>
      <c r="GD17" t="s">
        <v>1026</v>
      </c>
      <c r="GE17" t="s">
        <v>1720</v>
      </c>
      <c r="GF17" t="s">
        <v>1026</v>
      </c>
      <c r="GG17" t="s">
        <v>1721</v>
      </c>
      <c r="GH17" t="s">
        <v>1026</v>
      </c>
      <c r="GI17" t="s">
        <v>1722</v>
      </c>
      <c r="GJ17" t="s">
        <v>1026</v>
      </c>
      <c r="GK17" t="s">
        <v>1723</v>
      </c>
      <c r="GL17" t="s">
        <v>1026</v>
      </c>
      <c r="GM17" t="s">
        <v>1724</v>
      </c>
      <c r="GN17" t="s">
        <v>1026</v>
      </c>
      <c r="GO17" t="s">
        <v>1725</v>
      </c>
      <c r="GP17" t="s">
        <v>1026</v>
      </c>
      <c r="GQ17" t="s">
        <v>1726</v>
      </c>
      <c r="GR17" t="s">
        <v>1026</v>
      </c>
    </row>
    <row r="18" spans="1:200" x14ac:dyDescent="0.25">
      <c r="A18" t="s">
        <v>1727</v>
      </c>
      <c r="B18" t="s">
        <v>1030</v>
      </c>
      <c r="C18" t="s">
        <v>1728</v>
      </c>
      <c r="D18" t="s">
        <v>1030</v>
      </c>
      <c r="E18" t="s">
        <v>1729</v>
      </c>
      <c r="F18" t="s">
        <v>1030</v>
      </c>
      <c r="G18" t="s">
        <v>1730</v>
      </c>
      <c r="H18" t="s">
        <v>1030</v>
      </c>
      <c r="I18" t="s">
        <v>1731</v>
      </c>
      <c r="J18" t="s">
        <v>1030</v>
      </c>
      <c r="K18" t="s">
        <v>1732</v>
      </c>
      <c r="L18" t="s">
        <v>1030</v>
      </c>
      <c r="M18" t="s">
        <v>1733</v>
      </c>
      <c r="N18" t="s">
        <v>1030</v>
      </c>
      <c r="O18" t="s">
        <v>1734</v>
      </c>
      <c r="P18" t="s">
        <v>1030</v>
      </c>
      <c r="Q18" t="s">
        <v>1735</v>
      </c>
      <c r="R18" t="s">
        <v>1030</v>
      </c>
      <c r="S18" t="s">
        <v>1736</v>
      </c>
      <c r="T18" t="s">
        <v>1030</v>
      </c>
      <c r="U18" t="s">
        <v>1737</v>
      </c>
      <c r="V18" t="s">
        <v>1030</v>
      </c>
      <c r="W18" t="s">
        <v>1738</v>
      </c>
      <c r="X18" t="s">
        <v>1030</v>
      </c>
      <c r="Y18" t="s">
        <v>1739</v>
      </c>
      <c r="Z18" t="s">
        <v>1030</v>
      </c>
      <c r="AA18" t="s">
        <v>1740</v>
      </c>
      <c r="AB18" t="s">
        <v>1030</v>
      </c>
      <c r="AC18" t="s">
        <v>1741</v>
      </c>
      <c r="AD18" t="s">
        <v>1030</v>
      </c>
      <c r="AE18" t="s">
        <v>1742</v>
      </c>
      <c r="AF18" t="s">
        <v>1030</v>
      </c>
      <c r="AG18" t="s">
        <v>1743</v>
      </c>
      <c r="AH18" t="s">
        <v>1030</v>
      </c>
      <c r="AI18" t="s">
        <v>1744</v>
      </c>
      <c r="AJ18" t="s">
        <v>1030</v>
      </c>
      <c r="AK18" t="s">
        <v>1745</v>
      </c>
      <c r="AL18" t="s">
        <v>1030</v>
      </c>
      <c r="AM18" t="s">
        <v>1746</v>
      </c>
      <c r="AN18" t="s">
        <v>1030</v>
      </c>
      <c r="AO18" t="s">
        <v>1747</v>
      </c>
      <c r="AP18" t="s">
        <v>1030</v>
      </c>
      <c r="AQ18" t="s">
        <v>1748</v>
      </c>
      <c r="AR18" t="s">
        <v>1030</v>
      </c>
      <c r="AS18" t="s">
        <v>1749</v>
      </c>
      <c r="AT18" t="s">
        <v>1030</v>
      </c>
      <c r="AU18" t="s">
        <v>1750</v>
      </c>
      <c r="AV18" t="s">
        <v>1030</v>
      </c>
      <c r="AW18" t="s">
        <v>1751</v>
      </c>
      <c r="AX18" t="s">
        <v>1030</v>
      </c>
      <c r="AY18" t="s">
        <v>1752</v>
      </c>
      <c r="AZ18" t="s">
        <v>1030</v>
      </c>
      <c r="BA18" t="s">
        <v>1753</v>
      </c>
      <c r="BB18" t="s">
        <v>1030</v>
      </c>
      <c r="BC18" t="s">
        <v>1754</v>
      </c>
      <c r="BD18" t="s">
        <v>1030</v>
      </c>
      <c r="BE18" t="s">
        <v>1755</v>
      </c>
      <c r="BF18" t="s">
        <v>1030</v>
      </c>
      <c r="BG18" t="s">
        <v>1756</v>
      </c>
      <c r="BH18" t="s">
        <v>1030</v>
      </c>
      <c r="BI18" t="s">
        <v>1757</v>
      </c>
      <c r="BJ18" t="s">
        <v>1030</v>
      </c>
      <c r="BK18" t="s">
        <v>1758</v>
      </c>
      <c r="BL18" t="s">
        <v>1030</v>
      </c>
      <c r="BM18" t="s">
        <v>1759</v>
      </c>
      <c r="BN18" t="s">
        <v>1030</v>
      </c>
      <c r="BO18" t="s">
        <v>1760</v>
      </c>
      <c r="BP18" t="s">
        <v>1030</v>
      </c>
      <c r="BQ18" t="s">
        <v>1761</v>
      </c>
      <c r="BR18" t="s">
        <v>1030</v>
      </c>
      <c r="BS18" t="s">
        <v>1762</v>
      </c>
      <c r="BT18" t="s">
        <v>1030</v>
      </c>
      <c r="BU18" t="s">
        <v>1763</v>
      </c>
      <c r="BV18" t="s">
        <v>1030</v>
      </c>
      <c r="BW18" t="s">
        <v>1764</v>
      </c>
      <c r="BX18" t="s">
        <v>1030</v>
      </c>
      <c r="BY18" t="s">
        <v>1765</v>
      </c>
      <c r="BZ18" t="s">
        <v>1030</v>
      </c>
      <c r="CA18" t="s">
        <v>1766</v>
      </c>
      <c r="CB18" t="s">
        <v>1030</v>
      </c>
      <c r="CC18" t="s">
        <v>1767</v>
      </c>
      <c r="CD18" t="s">
        <v>1030</v>
      </c>
      <c r="CE18" t="s">
        <v>1768</v>
      </c>
      <c r="CF18" t="s">
        <v>1030</v>
      </c>
      <c r="CG18" t="s">
        <v>1769</v>
      </c>
      <c r="CH18" t="s">
        <v>1030</v>
      </c>
      <c r="CI18" t="s">
        <v>1770</v>
      </c>
      <c r="CJ18" t="s">
        <v>1030</v>
      </c>
      <c r="CK18" t="s">
        <v>1771</v>
      </c>
      <c r="CL18" t="s">
        <v>1030</v>
      </c>
      <c r="CM18" t="s">
        <v>1772</v>
      </c>
      <c r="CN18" t="s">
        <v>1030</v>
      </c>
      <c r="CO18" t="s">
        <v>1773</v>
      </c>
      <c r="CP18" t="s">
        <v>1030</v>
      </c>
      <c r="CQ18" t="s">
        <v>1774</v>
      </c>
      <c r="CR18" t="s">
        <v>1030</v>
      </c>
      <c r="CS18" t="s">
        <v>1775</v>
      </c>
      <c r="CT18" t="s">
        <v>1030</v>
      </c>
      <c r="CU18" t="s">
        <v>1776</v>
      </c>
      <c r="CV18" t="s">
        <v>1030</v>
      </c>
      <c r="CW18" t="s">
        <v>1777</v>
      </c>
      <c r="CX18" t="s">
        <v>1030</v>
      </c>
      <c r="CY18" t="s">
        <v>1778</v>
      </c>
      <c r="CZ18" t="s">
        <v>1030</v>
      </c>
      <c r="DA18" t="s">
        <v>1779</v>
      </c>
      <c r="DB18" t="s">
        <v>1030</v>
      </c>
      <c r="DC18" t="s">
        <v>1780</v>
      </c>
      <c r="DD18" t="s">
        <v>1030</v>
      </c>
      <c r="DE18" t="s">
        <v>1781</v>
      </c>
      <c r="DF18" t="s">
        <v>1030</v>
      </c>
      <c r="DG18" t="s">
        <v>1782</v>
      </c>
      <c r="DH18" t="s">
        <v>1030</v>
      </c>
      <c r="DI18" t="s">
        <v>1783</v>
      </c>
      <c r="DJ18" t="s">
        <v>1030</v>
      </c>
      <c r="DK18" t="s">
        <v>1784</v>
      </c>
      <c r="DL18" t="s">
        <v>1030</v>
      </c>
      <c r="DM18" t="s">
        <v>1785</v>
      </c>
      <c r="DN18" t="s">
        <v>1030</v>
      </c>
      <c r="DO18" t="s">
        <v>1786</v>
      </c>
      <c r="DP18" t="s">
        <v>1030</v>
      </c>
      <c r="DQ18" t="s">
        <v>1787</v>
      </c>
      <c r="DR18" t="s">
        <v>1030</v>
      </c>
      <c r="DS18" t="s">
        <v>1788</v>
      </c>
      <c r="DT18" t="s">
        <v>1030</v>
      </c>
      <c r="DU18" t="s">
        <v>1789</v>
      </c>
      <c r="DV18" t="s">
        <v>1030</v>
      </c>
      <c r="DW18" t="s">
        <v>1790</v>
      </c>
      <c r="DX18" t="s">
        <v>1030</v>
      </c>
      <c r="DY18" t="s">
        <v>1791</v>
      </c>
      <c r="DZ18" t="s">
        <v>1030</v>
      </c>
      <c r="EA18" t="s">
        <v>1792</v>
      </c>
      <c r="EB18" t="s">
        <v>1030</v>
      </c>
      <c r="EC18" t="s">
        <v>1793</v>
      </c>
      <c r="ED18" t="s">
        <v>1030</v>
      </c>
      <c r="EE18" t="s">
        <v>1794</v>
      </c>
      <c r="EF18" t="s">
        <v>1030</v>
      </c>
      <c r="EG18" t="s">
        <v>1795</v>
      </c>
      <c r="EH18" t="s">
        <v>1030</v>
      </c>
      <c r="EI18" t="s">
        <v>1796</v>
      </c>
      <c r="EJ18" t="s">
        <v>1030</v>
      </c>
      <c r="EK18" t="s">
        <v>1797</v>
      </c>
      <c r="EL18" t="s">
        <v>1030</v>
      </c>
      <c r="EM18" t="s">
        <v>1798</v>
      </c>
      <c r="EN18" t="s">
        <v>1030</v>
      </c>
      <c r="EO18" t="s">
        <v>1799</v>
      </c>
      <c r="EP18" t="s">
        <v>1030</v>
      </c>
      <c r="EQ18" t="s">
        <v>1800</v>
      </c>
      <c r="ER18" t="s">
        <v>1030</v>
      </c>
      <c r="ES18" t="s">
        <v>1801</v>
      </c>
      <c r="ET18" t="s">
        <v>1030</v>
      </c>
      <c r="EU18" t="s">
        <v>1802</v>
      </c>
      <c r="EV18" t="s">
        <v>1030</v>
      </c>
      <c r="EW18" t="s">
        <v>1803</v>
      </c>
      <c r="EX18" t="s">
        <v>1030</v>
      </c>
      <c r="EY18" t="s">
        <v>1804</v>
      </c>
      <c r="EZ18" t="s">
        <v>1030</v>
      </c>
      <c r="FA18" t="s">
        <v>1805</v>
      </c>
      <c r="FB18" t="s">
        <v>1030</v>
      </c>
      <c r="FC18" t="s">
        <v>1806</v>
      </c>
      <c r="FD18" t="s">
        <v>1030</v>
      </c>
      <c r="FE18" t="s">
        <v>1807</v>
      </c>
      <c r="FF18" t="s">
        <v>1030</v>
      </c>
      <c r="FG18" t="s">
        <v>1808</v>
      </c>
      <c r="FH18" t="s">
        <v>1030</v>
      </c>
      <c r="FI18" t="s">
        <v>1809</v>
      </c>
      <c r="FJ18" t="s">
        <v>1030</v>
      </c>
      <c r="FK18" t="s">
        <v>1810</v>
      </c>
      <c r="FL18" t="s">
        <v>1030</v>
      </c>
      <c r="FM18" t="s">
        <v>1811</v>
      </c>
      <c r="FN18" t="s">
        <v>1030</v>
      </c>
      <c r="FO18" t="s">
        <v>1812</v>
      </c>
      <c r="FP18" t="s">
        <v>1030</v>
      </c>
      <c r="FQ18" t="s">
        <v>1813</v>
      </c>
      <c r="FR18" t="s">
        <v>1030</v>
      </c>
      <c r="FS18" t="s">
        <v>1814</v>
      </c>
      <c r="FT18" t="s">
        <v>1030</v>
      </c>
      <c r="FU18" t="s">
        <v>1815</v>
      </c>
      <c r="FV18" t="s">
        <v>1030</v>
      </c>
      <c r="FW18" t="s">
        <v>1816</v>
      </c>
      <c r="FX18" t="s">
        <v>1030</v>
      </c>
      <c r="FY18" t="s">
        <v>1817</v>
      </c>
      <c r="FZ18" t="s">
        <v>1030</v>
      </c>
      <c r="GA18" t="s">
        <v>1818</v>
      </c>
      <c r="GB18" t="s">
        <v>1030</v>
      </c>
      <c r="GC18" t="s">
        <v>1819</v>
      </c>
      <c r="GD18" t="s">
        <v>1030</v>
      </c>
      <c r="GE18" t="s">
        <v>1820</v>
      </c>
      <c r="GF18" t="s">
        <v>1030</v>
      </c>
      <c r="GG18" t="s">
        <v>1821</v>
      </c>
      <c r="GH18" t="s">
        <v>1030</v>
      </c>
      <c r="GI18" t="s">
        <v>1822</v>
      </c>
      <c r="GJ18" t="s">
        <v>1030</v>
      </c>
      <c r="GK18" t="s">
        <v>1823</v>
      </c>
      <c r="GL18" t="s">
        <v>1030</v>
      </c>
      <c r="GM18" t="s">
        <v>1824</v>
      </c>
      <c r="GN18" t="s">
        <v>1030</v>
      </c>
      <c r="GO18" t="s">
        <v>1825</v>
      </c>
      <c r="GP18" t="s">
        <v>1030</v>
      </c>
      <c r="GQ18" t="s">
        <v>1826</v>
      </c>
      <c r="GR18" t="s">
        <v>1030</v>
      </c>
    </row>
    <row r="19" spans="1:200" x14ac:dyDescent="0.25">
      <c r="A19" t="s">
        <v>1827</v>
      </c>
      <c r="B19" t="s">
        <v>1026</v>
      </c>
      <c r="C19" t="s">
        <v>1828</v>
      </c>
      <c r="D19" t="s">
        <v>1026</v>
      </c>
      <c r="E19" t="s">
        <v>1829</v>
      </c>
      <c r="F19" t="s">
        <v>1026</v>
      </c>
      <c r="G19" t="s">
        <v>1830</v>
      </c>
      <c r="H19" t="s">
        <v>1026</v>
      </c>
      <c r="I19" t="s">
        <v>1831</v>
      </c>
      <c r="J19" t="s">
        <v>1026</v>
      </c>
      <c r="K19" t="s">
        <v>1832</v>
      </c>
      <c r="L19" t="s">
        <v>1026</v>
      </c>
      <c r="M19" t="s">
        <v>1833</v>
      </c>
      <c r="N19" t="s">
        <v>1026</v>
      </c>
      <c r="O19" t="s">
        <v>1834</v>
      </c>
      <c r="P19" t="s">
        <v>1026</v>
      </c>
      <c r="Q19" t="s">
        <v>1835</v>
      </c>
      <c r="R19" t="s">
        <v>1026</v>
      </c>
      <c r="S19" t="s">
        <v>1836</v>
      </c>
      <c r="T19" t="s">
        <v>1026</v>
      </c>
      <c r="U19" t="s">
        <v>1837</v>
      </c>
      <c r="V19" t="s">
        <v>1026</v>
      </c>
      <c r="W19" t="s">
        <v>1838</v>
      </c>
      <c r="X19" t="s">
        <v>1026</v>
      </c>
      <c r="Y19" t="s">
        <v>1839</v>
      </c>
      <c r="Z19" t="s">
        <v>1026</v>
      </c>
      <c r="AA19" t="s">
        <v>1840</v>
      </c>
      <c r="AB19" t="s">
        <v>1026</v>
      </c>
      <c r="AC19" t="s">
        <v>1841</v>
      </c>
      <c r="AD19" t="s">
        <v>1026</v>
      </c>
      <c r="AE19" t="s">
        <v>1842</v>
      </c>
      <c r="AF19" t="s">
        <v>1026</v>
      </c>
      <c r="AG19" t="s">
        <v>1843</v>
      </c>
      <c r="AH19" t="s">
        <v>1026</v>
      </c>
      <c r="AI19" t="s">
        <v>1844</v>
      </c>
      <c r="AJ19" t="s">
        <v>1026</v>
      </c>
      <c r="AK19" t="s">
        <v>1845</v>
      </c>
      <c r="AL19" t="s">
        <v>1026</v>
      </c>
      <c r="AM19" t="s">
        <v>1846</v>
      </c>
      <c r="AN19" t="s">
        <v>1026</v>
      </c>
      <c r="AO19" t="s">
        <v>1847</v>
      </c>
      <c r="AP19" t="s">
        <v>1026</v>
      </c>
      <c r="AQ19" t="s">
        <v>1848</v>
      </c>
      <c r="AR19" t="s">
        <v>1026</v>
      </c>
      <c r="AS19" t="s">
        <v>1849</v>
      </c>
      <c r="AT19" t="s">
        <v>1026</v>
      </c>
      <c r="AU19" t="s">
        <v>1850</v>
      </c>
      <c r="AV19" t="s">
        <v>1026</v>
      </c>
      <c r="AW19" t="s">
        <v>1851</v>
      </c>
      <c r="AX19" t="s">
        <v>1026</v>
      </c>
      <c r="AY19" t="s">
        <v>1852</v>
      </c>
      <c r="AZ19" t="s">
        <v>1026</v>
      </c>
      <c r="BA19" t="s">
        <v>1853</v>
      </c>
      <c r="BB19" t="s">
        <v>1026</v>
      </c>
      <c r="BC19" t="s">
        <v>1854</v>
      </c>
      <c r="BD19" t="s">
        <v>1026</v>
      </c>
      <c r="BE19" t="s">
        <v>1855</v>
      </c>
      <c r="BF19" t="s">
        <v>1026</v>
      </c>
      <c r="BG19" t="s">
        <v>1856</v>
      </c>
      <c r="BH19" t="s">
        <v>1026</v>
      </c>
      <c r="BI19" t="s">
        <v>1857</v>
      </c>
      <c r="BJ19" t="s">
        <v>1026</v>
      </c>
      <c r="BK19" t="s">
        <v>1858</v>
      </c>
      <c r="BL19" t="s">
        <v>1026</v>
      </c>
      <c r="BM19" t="s">
        <v>1859</v>
      </c>
      <c r="BN19" t="s">
        <v>1026</v>
      </c>
      <c r="BO19" t="s">
        <v>1860</v>
      </c>
      <c r="BP19" t="s">
        <v>1026</v>
      </c>
      <c r="BQ19" t="s">
        <v>1861</v>
      </c>
      <c r="BR19" t="s">
        <v>1026</v>
      </c>
      <c r="BS19" t="s">
        <v>1862</v>
      </c>
      <c r="BT19" t="s">
        <v>1026</v>
      </c>
      <c r="BU19" t="s">
        <v>1863</v>
      </c>
      <c r="BV19" t="s">
        <v>1026</v>
      </c>
      <c r="BW19" t="s">
        <v>1864</v>
      </c>
      <c r="BX19" t="s">
        <v>1026</v>
      </c>
      <c r="BY19" t="s">
        <v>1865</v>
      </c>
      <c r="BZ19" t="s">
        <v>1026</v>
      </c>
      <c r="CA19" t="s">
        <v>1866</v>
      </c>
      <c r="CB19" t="s">
        <v>1026</v>
      </c>
      <c r="CC19" t="s">
        <v>1867</v>
      </c>
      <c r="CD19" t="s">
        <v>1026</v>
      </c>
      <c r="CE19" t="s">
        <v>1868</v>
      </c>
      <c r="CF19" t="s">
        <v>1026</v>
      </c>
      <c r="CG19" t="s">
        <v>1869</v>
      </c>
      <c r="CH19" t="s">
        <v>1026</v>
      </c>
      <c r="CI19" t="s">
        <v>1870</v>
      </c>
      <c r="CJ19" t="s">
        <v>1026</v>
      </c>
      <c r="CK19" t="s">
        <v>1871</v>
      </c>
      <c r="CL19" t="s">
        <v>1026</v>
      </c>
      <c r="CM19" t="s">
        <v>1872</v>
      </c>
      <c r="CN19" t="s">
        <v>1030</v>
      </c>
      <c r="CO19" t="s">
        <v>1873</v>
      </c>
      <c r="CP19" t="s">
        <v>1026</v>
      </c>
      <c r="CQ19" t="s">
        <v>1874</v>
      </c>
      <c r="CR19" t="s">
        <v>1026</v>
      </c>
      <c r="CS19" t="s">
        <v>1875</v>
      </c>
      <c r="CT19" t="s">
        <v>1026</v>
      </c>
      <c r="CU19" t="s">
        <v>1876</v>
      </c>
      <c r="CV19" t="s">
        <v>1026</v>
      </c>
      <c r="CW19" t="s">
        <v>1877</v>
      </c>
      <c r="CX19" t="s">
        <v>1026</v>
      </c>
      <c r="CY19" t="s">
        <v>1878</v>
      </c>
      <c r="CZ19" t="s">
        <v>1026</v>
      </c>
      <c r="DA19" t="s">
        <v>1879</v>
      </c>
      <c r="DB19" t="s">
        <v>1026</v>
      </c>
      <c r="DC19" t="s">
        <v>1880</v>
      </c>
      <c r="DD19" t="s">
        <v>1026</v>
      </c>
      <c r="DE19" t="s">
        <v>1881</v>
      </c>
      <c r="DF19" t="s">
        <v>1026</v>
      </c>
      <c r="DG19" t="s">
        <v>1882</v>
      </c>
      <c r="DH19" t="s">
        <v>1026</v>
      </c>
      <c r="DI19" t="s">
        <v>1883</v>
      </c>
      <c r="DJ19" t="s">
        <v>1026</v>
      </c>
      <c r="DK19" t="s">
        <v>1884</v>
      </c>
      <c r="DL19" t="s">
        <v>1026</v>
      </c>
      <c r="DM19" t="s">
        <v>1885</v>
      </c>
      <c r="DN19" t="s">
        <v>1026</v>
      </c>
      <c r="DO19" t="s">
        <v>1886</v>
      </c>
      <c r="DP19" t="s">
        <v>1026</v>
      </c>
      <c r="DQ19" t="s">
        <v>1887</v>
      </c>
      <c r="DR19" t="s">
        <v>1030</v>
      </c>
      <c r="DS19" t="s">
        <v>1888</v>
      </c>
      <c r="DT19" t="s">
        <v>1026</v>
      </c>
      <c r="DU19" t="s">
        <v>1889</v>
      </c>
      <c r="DV19" t="s">
        <v>1026</v>
      </c>
      <c r="DW19" t="s">
        <v>1890</v>
      </c>
      <c r="DX19" t="s">
        <v>1026</v>
      </c>
      <c r="DY19" t="s">
        <v>1891</v>
      </c>
      <c r="DZ19" t="s">
        <v>1026</v>
      </c>
      <c r="EA19" t="s">
        <v>1892</v>
      </c>
      <c r="EB19" t="s">
        <v>1026</v>
      </c>
      <c r="EC19" t="s">
        <v>1893</v>
      </c>
      <c r="ED19" t="s">
        <v>1026</v>
      </c>
      <c r="EE19" t="s">
        <v>1894</v>
      </c>
      <c r="EF19" t="s">
        <v>1026</v>
      </c>
      <c r="EG19" t="s">
        <v>1895</v>
      </c>
      <c r="EH19" t="s">
        <v>1026</v>
      </c>
      <c r="EI19" t="s">
        <v>1896</v>
      </c>
      <c r="EJ19" t="s">
        <v>1026</v>
      </c>
      <c r="EK19" t="s">
        <v>1897</v>
      </c>
      <c r="EL19" t="s">
        <v>1026</v>
      </c>
      <c r="EM19" t="s">
        <v>1898</v>
      </c>
      <c r="EN19" t="s">
        <v>1026</v>
      </c>
      <c r="EO19" t="s">
        <v>1899</v>
      </c>
      <c r="EP19" t="s">
        <v>1026</v>
      </c>
      <c r="EQ19" t="s">
        <v>1900</v>
      </c>
      <c r="ER19" t="s">
        <v>1026</v>
      </c>
      <c r="ES19" t="s">
        <v>1901</v>
      </c>
      <c r="ET19" t="s">
        <v>1026</v>
      </c>
      <c r="EU19" t="s">
        <v>1902</v>
      </c>
      <c r="EV19" t="s">
        <v>1026</v>
      </c>
      <c r="EW19" t="s">
        <v>1903</v>
      </c>
      <c r="EX19" t="s">
        <v>1026</v>
      </c>
      <c r="EY19" t="s">
        <v>1904</v>
      </c>
      <c r="EZ19" t="s">
        <v>1026</v>
      </c>
      <c r="FA19" t="s">
        <v>1905</v>
      </c>
      <c r="FB19" t="s">
        <v>1026</v>
      </c>
      <c r="FC19" t="s">
        <v>1906</v>
      </c>
      <c r="FD19" t="s">
        <v>1026</v>
      </c>
      <c r="FE19" t="s">
        <v>1907</v>
      </c>
      <c r="FF19" t="s">
        <v>1026</v>
      </c>
      <c r="FG19" t="s">
        <v>1908</v>
      </c>
      <c r="FH19" t="s">
        <v>1026</v>
      </c>
      <c r="FI19" t="s">
        <v>1909</v>
      </c>
      <c r="FJ19" t="s">
        <v>1026</v>
      </c>
      <c r="FK19" t="s">
        <v>1910</v>
      </c>
      <c r="FL19" t="s">
        <v>1026</v>
      </c>
      <c r="FM19" t="s">
        <v>1911</v>
      </c>
      <c r="FN19" t="s">
        <v>1026</v>
      </c>
      <c r="FO19" t="s">
        <v>1912</v>
      </c>
      <c r="FP19" t="s">
        <v>1026</v>
      </c>
      <c r="FQ19" t="s">
        <v>1913</v>
      </c>
      <c r="FR19" t="s">
        <v>1026</v>
      </c>
      <c r="FS19" t="s">
        <v>1914</v>
      </c>
      <c r="FT19" t="s">
        <v>1026</v>
      </c>
      <c r="FU19" t="s">
        <v>1915</v>
      </c>
      <c r="FV19" t="s">
        <v>1026</v>
      </c>
      <c r="FW19" t="s">
        <v>1916</v>
      </c>
      <c r="FX19" t="s">
        <v>1026</v>
      </c>
      <c r="FY19" t="s">
        <v>1917</v>
      </c>
      <c r="FZ19" t="s">
        <v>1026</v>
      </c>
      <c r="GA19" t="s">
        <v>1918</v>
      </c>
      <c r="GB19" t="s">
        <v>1026</v>
      </c>
      <c r="GC19" t="s">
        <v>1919</v>
      </c>
      <c r="GD19" t="s">
        <v>1026</v>
      </c>
      <c r="GE19" t="s">
        <v>1920</v>
      </c>
      <c r="GF19" t="s">
        <v>1026</v>
      </c>
      <c r="GG19" t="s">
        <v>1921</v>
      </c>
      <c r="GH19" t="s">
        <v>1026</v>
      </c>
      <c r="GI19" t="s">
        <v>1922</v>
      </c>
      <c r="GJ19" t="s">
        <v>1026</v>
      </c>
      <c r="GK19" t="s">
        <v>1923</v>
      </c>
      <c r="GL19" t="s">
        <v>1026</v>
      </c>
      <c r="GM19" t="s">
        <v>1924</v>
      </c>
      <c r="GN19" t="s">
        <v>1026</v>
      </c>
      <c r="GO19" t="s">
        <v>1925</v>
      </c>
      <c r="GP19" t="s">
        <v>1026</v>
      </c>
      <c r="GQ19" t="s">
        <v>1926</v>
      </c>
      <c r="GR19" t="s">
        <v>1026</v>
      </c>
    </row>
    <row r="20" spans="1:200" x14ac:dyDescent="0.25">
      <c r="A20" t="s">
        <v>1927</v>
      </c>
      <c r="B20" t="s">
        <v>1030</v>
      </c>
      <c r="C20" t="s">
        <v>1928</v>
      </c>
      <c r="D20" t="s">
        <v>1030</v>
      </c>
      <c r="E20" t="s">
        <v>1929</v>
      </c>
      <c r="F20" t="s">
        <v>1030</v>
      </c>
      <c r="G20" t="s">
        <v>1930</v>
      </c>
      <c r="H20" t="s">
        <v>1030</v>
      </c>
      <c r="I20" t="s">
        <v>1931</v>
      </c>
      <c r="J20" t="s">
        <v>1030</v>
      </c>
      <c r="K20" t="s">
        <v>1932</v>
      </c>
      <c r="L20" t="s">
        <v>1030</v>
      </c>
      <c r="M20" t="s">
        <v>1933</v>
      </c>
      <c r="N20" t="s">
        <v>1030</v>
      </c>
      <c r="O20" t="s">
        <v>1934</v>
      </c>
      <c r="P20" t="s">
        <v>1030</v>
      </c>
      <c r="Q20" t="s">
        <v>1935</v>
      </c>
      <c r="R20" t="s">
        <v>1030</v>
      </c>
      <c r="S20" t="s">
        <v>1936</v>
      </c>
      <c r="T20" t="s">
        <v>1030</v>
      </c>
      <c r="U20" t="s">
        <v>1937</v>
      </c>
      <c r="V20" t="s">
        <v>1030</v>
      </c>
      <c r="W20" t="s">
        <v>1938</v>
      </c>
      <c r="X20" t="s">
        <v>1030</v>
      </c>
      <c r="Y20" t="s">
        <v>1939</v>
      </c>
      <c r="Z20" t="s">
        <v>1030</v>
      </c>
      <c r="AA20" t="s">
        <v>1940</v>
      </c>
      <c r="AB20" t="s">
        <v>1030</v>
      </c>
      <c r="AC20" t="s">
        <v>1941</v>
      </c>
      <c r="AD20" t="s">
        <v>1030</v>
      </c>
      <c r="AE20" t="s">
        <v>1942</v>
      </c>
      <c r="AF20" t="s">
        <v>1030</v>
      </c>
      <c r="AG20" t="s">
        <v>1943</v>
      </c>
      <c r="AH20" t="s">
        <v>1030</v>
      </c>
      <c r="AI20" t="s">
        <v>1944</v>
      </c>
      <c r="AJ20" t="s">
        <v>1030</v>
      </c>
      <c r="AK20" t="s">
        <v>1945</v>
      </c>
      <c r="AL20" t="s">
        <v>1030</v>
      </c>
      <c r="AM20" t="s">
        <v>1946</v>
      </c>
      <c r="AN20" t="s">
        <v>1030</v>
      </c>
      <c r="AO20" t="s">
        <v>1947</v>
      </c>
      <c r="AP20" t="s">
        <v>1030</v>
      </c>
      <c r="AQ20" t="s">
        <v>1948</v>
      </c>
      <c r="AR20" t="s">
        <v>1030</v>
      </c>
      <c r="AS20" t="s">
        <v>1949</v>
      </c>
      <c r="AT20" t="s">
        <v>1030</v>
      </c>
      <c r="AU20" t="s">
        <v>1950</v>
      </c>
      <c r="AV20" t="s">
        <v>1030</v>
      </c>
      <c r="AW20" t="s">
        <v>1951</v>
      </c>
      <c r="AX20" t="s">
        <v>1030</v>
      </c>
      <c r="AY20" t="s">
        <v>1952</v>
      </c>
      <c r="AZ20" t="s">
        <v>1030</v>
      </c>
      <c r="BA20" t="s">
        <v>1953</v>
      </c>
      <c r="BB20" t="s">
        <v>1030</v>
      </c>
      <c r="BC20" t="s">
        <v>1954</v>
      </c>
      <c r="BD20" t="s">
        <v>1030</v>
      </c>
      <c r="BE20" t="s">
        <v>1955</v>
      </c>
      <c r="BF20" t="s">
        <v>1030</v>
      </c>
      <c r="BG20" t="s">
        <v>1956</v>
      </c>
      <c r="BH20" t="s">
        <v>1030</v>
      </c>
      <c r="BI20" t="s">
        <v>1957</v>
      </c>
      <c r="BJ20" t="s">
        <v>1030</v>
      </c>
      <c r="BK20" t="s">
        <v>1958</v>
      </c>
      <c r="BL20" t="s">
        <v>1030</v>
      </c>
      <c r="BM20" t="s">
        <v>1959</v>
      </c>
      <c r="BN20" t="s">
        <v>1030</v>
      </c>
      <c r="BO20" t="s">
        <v>1960</v>
      </c>
      <c r="BP20" t="s">
        <v>1030</v>
      </c>
      <c r="BQ20" t="s">
        <v>1961</v>
      </c>
      <c r="BR20" t="s">
        <v>1030</v>
      </c>
      <c r="BS20" t="s">
        <v>1962</v>
      </c>
      <c r="BT20" t="s">
        <v>1030</v>
      </c>
      <c r="BU20" t="s">
        <v>1963</v>
      </c>
      <c r="BV20" t="s">
        <v>1030</v>
      </c>
      <c r="BW20" t="s">
        <v>1964</v>
      </c>
      <c r="BX20" t="s">
        <v>1030</v>
      </c>
      <c r="BY20" t="s">
        <v>1965</v>
      </c>
      <c r="BZ20" t="s">
        <v>1030</v>
      </c>
      <c r="CA20" t="s">
        <v>1966</v>
      </c>
      <c r="CB20" t="s">
        <v>1030</v>
      </c>
      <c r="CC20" t="s">
        <v>1967</v>
      </c>
      <c r="CD20" t="s">
        <v>1030</v>
      </c>
      <c r="CE20" t="s">
        <v>1968</v>
      </c>
      <c r="CF20" t="s">
        <v>1030</v>
      </c>
      <c r="CG20" t="s">
        <v>1969</v>
      </c>
      <c r="CH20" t="s">
        <v>1030</v>
      </c>
      <c r="CI20" t="s">
        <v>1970</v>
      </c>
      <c r="CJ20" t="s">
        <v>1030</v>
      </c>
      <c r="CK20" t="s">
        <v>1971</v>
      </c>
      <c r="CL20" t="s">
        <v>1030</v>
      </c>
      <c r="CM20" t="s">
        <v>1972</v>
      </c>
      <c r="CN20" t="s">
        <v>1030</v>
      </c>
      <c r="CO20" t="s">
        <v>1973</v>
      </c>
      <c r="CP20" t="s">
        <v>1030</v>
      </c>
      <c r="CQ20" t="s">
        <v>1974</v>
      </c>
      <c r="CR20" t="s">
        <v>1030</v>
      </c>
      <c r="CS20" t="s">
        <v>1975</v>
      </c>
      <c r="CT20" t="s">
        <v>1030</v>
      </c>
      <c r="CU20" t="s">
        <v>1976</v>
      </c>
      <c r="CV20" t="s">
        <v>1030</v>
      </c>
      <c r="CW20" t="s">
        <v>1977</v>
      </c>
      <c r="CX20" t="s">
        <v>1030</v>
      </c>
      <c r="CY20" t="s">
        <v>1978</v>
      </c>
      <c r="CZ20" t="s">
        <v>1030</v>
      </c>
      <c r="DA20" t="s">
        <v>1979</v>
      </c>
      <c r="DB20" t="s">
        <v>1030</v>
      </c>
      <c r="DC20" t="s">
        <v>1980</v>
      </c>
      <c r="DD20" t="s">
        <v>1030</v>
      </c>
      <c r="DE20" t="s">
        <v>1981</v>
      </c>
      <c r="DF20" t="s">
        <v>1030</v>
      </c>
      <c r="DG20" t="s">
        <v>1982</v>
      </c>
      <c r="DH20" t="s">
        <v>1030</v>
      </c>
      <c r="DI20" t="s">
        <v>1983</v>
      </c>
      <c r="DJ20" t="s">
        <v>1030</v>
      </c>
      <c r="DK20" t="s">
        <v>1984</v>
      </c>
      <c r="DL20" t="s">
        <v>1030</v>
      </c>
      <c r="DM20" t="s">
        <v>1985</v>
      </c>
      <c r="DN20" t="s">
        <v>1030</v>
      </c>
      <c r="DO20" t="s">
        <v>1986</v>
      </c>
      <c r="DP20" t="s">
        <v>1030</v>
      </c>
      <c r="DQ20" t="s">
        <v>1987</v>
      </c>
      <c r="DR20" t="s">
        <v>1030</v>
      </c>
      <c r="DS20" t="s">
        <v>1988</v>
      </c>
      <c r="DT20" t="s">
        <v>1030</v>
      </c>
      <c r="DU20" t="s">
        <v>1989</v>
      </c>
      <c r="DV20" t="s">
        <v>1030</v>
      </c>
      <c r="DW20" t="s">
        <v>1990</v>
      </c>
      <c r="DX20" t="s">
        <v>1030</v>
      </c>
      <c r="DY20" t="s">
        <v>1991</v>
      </c>
      <c r="DZ20" t="s">
        <v>1030</v>
      </c>
      <c r="EA20" t="s">
        <v>1992</v>
      </c>
      <c r="EB20" t="s">
        <v>1030</v>
      </c>
      <c r="EC20" t="s">
        <v>1993</v>
      </c>
      <c r="ED20" t="s">
        <v>1030</v>
      </c>
      <c r="EE20" t="s">
        <v>1994</v>
      </c>
      <c r="EF20" t="s">
        <v>1030</v>
      </c>
      <c r="EG20" t="s">
        <v>1995</v>
      </c>
      <c r="EH20" t="s">
        <v>1030</v>
      </c>
      <c r="EI20" t="s">
        <v>1996</v>
      </c>
      <c r="EJ20" t="s">
        <v>1030</v>
      </c>
      <c r="EK20" t="s">
        <v>1997</v>
      </c>
      <c r="EL20" t="s">
        <v>1030</v>
      </c>
      <c r="EM20" t="s">
        <v>1998</v>
      </c>
      <c r="EN20" t="s">
        <v>1030</v>
      </c>
      <c r="EO20" t="s">
        <v>1999</v>
      </c>
      <c r="EP20" t="s">
        <v>1030</v>
      </c>
      <c r="EQ20" t="s">
        <v>2000</v>
      </c>
      <c r="ER20" t="s">
        <v>1030</v>
      </c>
      <c r="ES20" t="s">
        <v>2001</v>
      </c>
      <c r="ET20" t="s">
        <v>1030</v>
      </c>
      <c r="EU20" t="s">
        <v>2002</v>
      </c>
      <c r="EV20" t="s">
        <v>1030</v>
      </c>
      <c r="EW20" t="s">
        <v>2003</v>
      </c>
      <c r="EX20" t="s">
        <v>1030</v>
      </c>
      <c r="EY20" t="s">
        <v>2004</v>
      </c>
      <c r="EZ20" t="s">
        <v>1030</v>
      </c>
      <c r="FA20" t="s">
        <v>2005</v>
      </c>
      <c r="FB20" t="s">
        <v>1030</v>
      </c>
      <c r="FC20" t="s">
        <v>2006</v>
      </c>
      <c r="FD20" t="s">
        <v>1030</v>
      </c>
      <c r="FE20" t="s">
        <v>2007</v>
      </c>
      <c r="FF20" t="s">
        <v>1030</v>
      </c>
      <c r="FG20" t="s">
        <v>2008</v>
      </c>
      <c r="FH20" t="s">
        <v>1030</v>
      </c>
      <c r="FI20" t="s">
        <v>2009</v>
      </c>
      <c r="FJ20" t="s">
        <v>1030</v>
      </c>
      <c r="FK20" t="s">
        <v>2010</v>
      </c>
      <c r="FL20" t="s">
        <v>1030</v>
      </c>
      <c r="FM20" t="s">
        <v>2011</v>
      </c>
      <c r="FN20" t="s">
        <v>1030</v>
      </c>
      <c r="FO20" t="s">
        <v>2012</v>
      </c>
      <c r="FP20" t="s">
        <v>1030</v>
      </c>
      <c r="FQ20" t="s">
        <v>2013</v>
      </c>
      <c r="FR20" t="s">
        <v>1030</v>
      </c>
      <c r="FS20" t="s">
        <v>2014</v>
      </c>
      <c r="FT20" t="s">
        <v>1030</v>
      </c>
      <c r="FU20" t="s">
        <v>2015</v>
      </c>
      <c r="FV20" t="s">
        <v>1030</v>
      </c>
      <c r="FW20" t="s">
        <v>2016</v>
      </c>
      <c r="FX20" t="s">
        <v>1030</v>
      </c>
      <c r="FY20" t="s">
        <v>2017</v>
      </c>
      <c r="FZ20" t="s">
        <v>1030</v>
      </c>
      <c r="GA20" t="s">
        <v>2018</v>
      </c>
      <c r="GB20" t="s">
        <v>1030</v>
      </c>
      <c r="GC20" t="s">
        <v>2019</v>
      </c>
      <c r="GD20" t="s">
        <v>1030</v>
      </c>
      <c r="GE20" t="s">
        <v>2020</v>
      </c>
      <c r="GF20" t="s">
        <v>1030</v>
      </c>
      <c r="GG20" t="s">
        <v>2021</v>
      </c>
      <c r="GH20" t="s">
        <v>1030</v>
      </c>
      <c r="GI20" t="s">
        <v>2022</v>
      </c>
      <c r="GJ20" t="s">
        <v>1030</v>
      </c>
      <c r="GK20" t="s">
        <v>2023</v>
      </c>
      <c r="GL20" t="s">
        <v>1030</v>
      </c>
      <c r="GM20" t="s">
        <v>2024</v>
      </c>
      <c r="GN20" t="s">
        <v>1030</v>
      </c>
      <c r="GO20" t="s">
        <v>2025</v>
      </c>
      <c r="GP20" t="s">
        <v>1030</v>
      </c>
      <c r="GQ20" t="s">
        <v>2026</v>
      </c>
      <c r="GR20" t="s">
        <v>1030</v>
      </c>
    </row>
    <row r="21" spans="1:200" x14ac:dyDescent="0.25">
      <c r="A21" t="s">
        <v>2027</v>
      </c>
      <c r="B21" t="s">
        <v>1030</v>
      </c>
      <c r="C21" t="s">
        <v>2028</v>
      </c>
      <c r="D21" t="s">
        <v>1030</v>
      </c>
      <c r="E21" t="s">
        <v>2029</v>
      </c>
      <c r="F21" t="s">
        <v>1030</v>
      </c>
      <c r="G21" t="s">
        <v>2030</v>
      </c>
      <c r="H21" t="s">
        <v>1030</v>
      </c>
      <c r="I21" t="s">
        <v>2031</v>
      </c>
      <c r="J21" t="s">
        <v>1030</v>
      </c>
      <c r="K21" t="s">
        <v>2032</v>
      </c>
      <c r="L21" t="s">
        <v>1030</v>
      </c>
      <c r="M21" t="s">
        <v>2033</v>
      </c>
      <c r="N21" t="s">
        <v>1030</v>
      </c>
      <c r="O21" t="s">
        <v>2034</v>
      </c>
      <c r="P21" t="s">
        <v>1030</v>
      </c>
      <c r="Q21" t="s">
        <v>2035</v>
      </c>
      <c r="R21" t="s">
        <v>1030</v>
      </c>
      <c r="S21" t="s">
        <v>2036</v>
      </c>
      <c r="T21" t="s">
        <v>1030</v>
      </c>
      <c r="U21" t="s">
        <v>2037</v>
      </c>
      <c r="V21" t="s">
        <v>1030</v>
      </c>
      <c r="W21" t="s">
        <v>2038</v>
      </c>
      <c r="X21" t="s">
        <v>1030</v>
      </c>
      <c r="Y21" t="s">
        <v>2039</v>
      </c>
      <c r="Z21" t="s">
        <v>1030</v>
      </c>
      <c r="AA21" t="s">
        <v>2040</v>
      </c>
      <c r="AB21" t="s">
        <v>1030</v>
      </c>
      <c r="AC21" t="s">
        <v>2041</v>
      </c>
      <c r="AD21" t="s">
        <v>1030</v>
      </c>
      <c r="AE21" t="s">
        <v>2042</v>
      </c>
      <c r="AF21" t="s">
        <v>1030</v>
      </c>
      <c r="AG21" t="s">
        <v>2043</v>
      </c>
      <c r="AH21" t="s">
        <v>1030</v>
      </c>
      <c r="AI21" t="s">
        <v>2044</v>
      </c>
      <c r="AJ21" t="s">
        <v>1030</v>
      </c>
      <c r="AK21" t="s">
        <v>2045</v>
      </c>
      <c r="AL21" t="s">
        <v>1030</v>
      </c>
      <c r="AM21" t="s">
        <v>2046</v>
      </c>
      <c r="AN21" t="s">
        <v>1030</v>
      </c>
      <c r="AO21" t="s">
        <v>2047</v>
      </c>
      <c r="AP21" t="s">
        <v>1030</v>
      </c>
      <c r="AQ21" t="s">
        <v>2048</v>
      </c>
      <c r="AR21" t="s">
        <v>1030</v>
      </c>
      <c r="AS21" t="s">
        <v>2049</v>
      </c>
      <c r="AT21" t="s">
        <v>1030</v>
      </c>
      <c r="AU21" t="s">
        <v>2050</v>
      </c>
      <c r="AV21" t="s">
        <v>1030</v>
      </c>
      <c r="AW21" t="s">
        <v>2051</v>
      </c>
      <c r="AX21" t="s">
        <v>1030</v>
      </c>
      <c r="AY21" t="s">
        <v>2052</v>
      </c>
      <c r="AZ21" t="s">
        <v>1030</v>
      </c>
      <c r="BA21" t="s">
        <v>2053</v>
      </c>
      <c r="BB21" t="s">
        <v>1030</v>
      </c>
      <c r="BC21" t="s">
        <v>2054</v>
      </c>
      <c r="BD21" t="s">
        <v>1030</v>
      </c>
      <c r="BE21" t="s">
        <v>2055</v>
      </c>
      <c r="BF21" t="s">
        <v>1030</v>
      </c>
      <c r="BG21" t="s">
        <v>2056</v>
      </c>
      <c r="BH21" t="s">
        <v>1030</v>
      </c>
      <c r="BI21" t="s">
        <v>2057</v>
      </c>
      <c r="BJ21" t="s">
        <v>1030</v>
      </c>
      <c r="BK21" t="s">
        <v>2058</v>
      </c>
      <c r="BL21" t="s">
        <v>1030</v>
      </c>
      <c r="BM21" t="s">
        <v>2059</v>
      </c>
      <c r="BN21" t="s">
        <v>1030</v>
      </c>
      <c r="BO21" t="s">
        <v>2060</v>
      </c>
      <c r="BP21" t="s">
        <v>1030</v>
      </c>
      <c r="BQ21" t="s">
        <v>2061</v>
      </c>
      <c r="BR21" t="s">
        <v>1030</v>
      </c>
      <c r="BS21" t="s">
        <v>2062</v>
      </c>
      <c r="BT21" t="s">
        <v>1030</v>
      </c>
      <c r="BU21" t="s">
        <v>2063</v>
      </c>
      <c r="BV21" t="s">
        <v>1030</v>
      </c>
      <c r="BW21" t="s">
        <v>2064</v>
      </c>
      <c r="BX21" t="s">
        <v>1030</v>
      </c>
      <c r="BY21" t="s">
        <v>2065</v>
      </c>
      <c r="BZ21" t="s">
        <v>1030</v>
      </c>
      <c r="CA21" t="s">
        <v>2066</v>
      </c>
      <c r="CB21" t="s">
        <v>1030</v>
      </c>
      <c r="CC21" t="s">
        <v>2067</v>
      </c>
      <c r="CD21" t="s">
        <v>1030</v>
      </c>
      <c r="CE21" t="s">
        <v>2068</v>
      </c>
      <c r="CF21" t="s">
        <v>1030</v>
      </c>
      <c r="CG21" t="s">
        <v>2069</v>
      </c>
      <c r="CH21" t="s">
        <v>1030</v>
      </c>
      <c r="CI21" t="s">
        <v>2070</v>
      </c>
      <c r="CJ21" t="s">
        <v>1030</v>
      </c>
      <c r="CK21" t="s">
        <v>2071</v>
      </c>
      <c r="CL21" t="s">
        <v>1030</v>
      </c>
      <c r="CM21" t="s">
        <v>2072</v>
      </c>
      <c r="CN21" t="s">
        <v>1030</v>
      </c>
      <c r="CO21" t="s">
        <v>2073</v>
      </c>
      <c r="CP21" t="s">
        <v>1030</v>
      </c>
      <c r="CQ21" t="s">
        <v>2074</v>
      </c>
      <c r="CR21" t="s">
        <v>1030</v>
      </c>
      <c r="CS21" t="s">
        <v>2075</v>
      </c>
      <c r="CT21" t="s">
        <v>1030</v>
      </c>
      <c r="CU21" t="s">
        <v>2076</v>
      </c>
      <c r="CV21" t="s">
        <v>1030</v>
      </c>
      <c r="CW21" t="s">
        <v>2077</v>
      </c>
      <c r="CX21" t="s">
        <v>1030</v>
      </c>
      <c r="CY21" t="s">
        <v>2078</v>
      </c>
      <c r="CZ21" t="s">
        <v>1030</v>
      </c>
      <c r="DA21" t="s">
        <v>2079</v>
      </c>
      <c r="DB21" t="s">
        <v>1030</v>
      </c>
      <c r="DC21" t="s">
        <v>2080</v>
      </c>
      <c r="DD21" t="s">
        <v>1030</v>
      </c>
      <c r="DE21" t="s">
        <v>2081</v>
      </c>
      <c r="DF21" t="s">
        <v>1030</v>
      </c>
      <c r="DG21" t="s">
        <v>2082</v>
      </c>
      <c r="DH21" t="s">
        <v>1030</v>
      </c>
      <c r="DI21" t="s">
        <v>2083</v>
      </c>
      <c r="DJ21" t="s">
        <v>1030</v>
      </c>
      <c r="DK21" t="s">
        <v>2084</v>
      </c>
      <c r="DL21" t="s">
        <v>1030</v>
      </c>
      <c r="DM21" t="s">
        <v>2085</v>
      </c>
      <c r="DN21" t="s">
        <v>1030</v>
      </c>
      <c r="DO21" t="s">
        <v>2086</v>
      </c>
      <c r="DP21" t="s">
        <v>1030</v>
      </c>
      <c r="DQ21" t="s">
        <v>2087</v>
      </c>
      <c r="DR21" t="s">
        <v>1030</v>
      </c>
      <c r="DS21" t="s">
        <v>2088</v>
      </c>
      <c r="DT21" t="s">
        <v>1030</v>
      </c>
      <c r="DU21" t="s">
        <v>2089</v>
      </c>
      <c r="DV21" t="s">
        <v>1030</v>
      </c>
      <c r="DW21" t="s">
        <v>2090</v>
      </c>
      <c r="DX21" t="s">
        <v>1030</v>
      </c>
      <c r="DY21" t="s">
        <v>2091</v>
      </c>
      <c r="DZ21" t="s">
        <v>1030</v>
      </c>
      <c r="EA21" t="s">
        <v>2092</v>
      </c>
      <c r="EB21" t="s">
        <v>1030</v>
      </c>
      <c r="EC21" t="s">
        <v>2093</v>
      </c>
      <c r="ED21" t="s">
        <v>1030</v>
      </c>
      <c r="EE21" t="s">
        <v>2094</v>
      </c>
      <c r="EF21" t="s">
        <v>1030</v>
      </c>
      <c r="EG21" t="s">
        <v>2095</v>
      </c>
      <c r="EH21" t="s">
        <v>1030</v>
      </c>
      <c r="EI21" t="s">
        <v>2096</v>
      </c>
      <c r="EJ21" t="s">
        <v>1030</v>
      </c>
      <c r="EK21" t="s">
        <v>2097</v>
      </c>
      <c r="EL21" t="s">
        <v>1030</v>
      </c>
      <c r="EM21" t="s">
        <v>2098</v>
      </c>
      <c r="EN21" t="s">
        <v>1030</v>
      </c>
      <c r="EO21" t="s">
        <v>2099</v>
      </c>
      <c r="EP21" t="s">
        <v>1030</v>
      </c>
      <c r="EQ21" t="s">
        <v>2100</v>
      </c>
      <c r="ER21" t="s">
        <v>1030</v>
      </c>
      <c r="ES21" t="s">
        <v>2101</v>
      </c>
      <c r="ET21" t="s">
        <v>1030</v>
      </c>
      <c r="EU21" t="s">
        <v>2102</v>
      </c>
      <c r="EV21" t="s">
        <v>1030</v>
      </c>
      <c r="EW21" t="s">
        <v>2103</v>
      </c>
      <c r="EX21" t="s">
        <v>1030</v>
      </c>
      <c r="EY21" t="s">
        <v>2104</v>
      </c>
      <c r="EZ21" t="s">
        <v>1030</v>
      </c>
      <c r="FA21" t="s">
        <v>2105</v>
      </c>
      <c r="FB21" t="s">
        <v>1030</v>
      </c>
      <c r="FC21" t="s">
        <v>2106</v>
      </c>
      <c r="FD21" t="s">
        <v>1030</v>
      </c>
      <c r="FE21" t="s">
        <v>2107</v>
      </c>
      <c r="FF21" t="s">
        <v>1030</v>
      </c>
      <c r="FG21" t="s">
        <v>2108</v>
      </c>
      <c r="FH21" t="s">
        <v>1030</v>
      </c>
      <c r="FI21" t="s">
        <v>2109</v>
      </c>
      <c r="FJ21" t="s">
        <v>1030</v>
      </c>
      <c r="FK21" t="s">
        <v>2110</v>
      </c>
      <c r="FL21" t="s">
        <v>1030</v>
      </c>
      <c r="FM21" t="s">
        <v>2111</v>
      </c>
      <c r="FN21" t="s">
        <v>1030</v>
      </c>
      <c r="FO21" t="s">
        <v>2112</v>
      </c>
      <c r="FP21" t="s">
        <v>1030</v>
      </c>
      <c r="FQ21" t="s">
        <v>2113</v>
      </c>
      <c r="FR21" t="s">
        <v>1030</v>
      </c>
      <c r="FS21" t="s">
        <v>2114</v>
      </c>
      <c r="FT21" t="s">
        <v>1030</v>
      </c>
      <c r="FU21" t="s">
        <v>2115</v>
      </c>
      <c r="FV21" t="s">
        <v>1030</v>
      </c>
      <c r="FW21" t="s">
        <v>2116</v>
      </c>
      <c r="FX21" t="s">
        <v>1030</v>
      </c>
      <c r="FY21" t="s">
        <v>2117</v>
      </c>
      <c r="FZ21" t="s">
        <v>1030</v>
      </c>
      <c r="GA21" t="s">
        <v>2118</v>
      </c>
      <c r="GB21" t="s">
        <v>1030</v>
      </c>
      <c r="GC21" t="s">
        <v>2119</v>
      </c>
      <c r="GD21" t="s">
        <v>1030</v>
      </c>
      <c r="GE21" t="s">
        <v>2120</v>
      </c>
      <c r="GF21" t="s">
        <v>1030</v>
      </c>
      <c r="GG21" t="s">
        <v>2121</v>
      </c>
      <c r="GH21" t="s">
        <v>1030</v>
      </c>
      <c r="GI21" t="s">
        <v>2122</v>
      </c>
      <c r="GJ21" t="s">
        <v>1030</v>
      </c>
      <c r="GK21" t="s">
        <v>2123</v>
      </c>
      <c r="GL21" t="s">
        <v>1030</v>
      </c>
      <c r="GM21" t="s">
        <v>2124</v>
      </c>
      <c r="GN21" t="s">
        <v>1030</v>
      </c>
      <c r="GO21" t="s">
        <v>2125</v>
      </c>
      <c r="GP21" t="s">
        <v>1030</v>
      </c>
      <c r="GQ21" t="s">
        <v>2126</v>
      </c>
      <c r="GR21" t="s">
        <v>1030</v>
      </c>
    </row>
    <row r="22" spans="1:200" x14ac:dyDescent="0.25">
      <c r="A22" t="s">
        <v>2127</v>
      </c>
      <c r="B22" t="s">
        <v>1026</v>
      </c>
      <c r="C22" t="s">
        <v>2128</v>
      </c>
      <c r="D22" t="s">
        <v>1026</v>
      </c>
      <c r="E22" t="s">
        <v>2129</v>
      </c>
      <c r="F22" t="s">
        <v>1026</v>
      </c>
      <c r="G22" t="s">
        <v>2130</v>
      </c>
      <c r="H22" t="s">
        <v>1026</v>
      </c>
      <c r="I22" t="s">
        <v>2131</v>
      </c>
      <c r="J22" t="s">
        <v>1026</v>
      </c>
      <c r="K22" t="s">
        <v>2132</v>
      </c>
      <c r="L22" t="s">
        <v>1026</v>
      </c>
      <c r="M22" t="s">
        <v>2133</v>
      </c>
      <c r="N22" t="s">
        <v>1026</v>
      </c>
      <c r="O22" t="s">
        <v>2134</v>
      </c>
      <c r="P22" t="s">
        <v>1026</v>
      </c>
      <c r="Q22" t="s">
        <v>2135</v>
      </c>
      <c r="R22" t="s">
        <v>1026</v>
      </c>
      <c r="S22" t="s">
        <v>2136</v>
      </c>
      <c r="T22" t="s">
        <v>1030</v>
      </c>
      <c r="U22" t="s">
        <v>2137</v>
      </c>
      <c r="V22" t="s">
        <v>1026</v>
      </c>
      <c r="W22" t="s">
        <v>2138</v>
      </c>
      <c r="X22" t="s">
        <v>1026</v>
      </c>
      <c r="Y22" t="s">
        <v>2139</v>
      </c>
      <c r="Z22" t="s">
        <v>1026</v>
      </c>
      <c r="AA22" t="s">
        <v>2140</v>
      </c>
      <c r="AB22" t="s">
        <v>1026</v>
      </c>
      <c r="AC22" t="s">
        <v>2141</v>
      </c>
      <c r="AD22" t="s">
        <v>1026</v>
      </c>
      <c r="AE22" t="s">
        <v>2142</v>
      </c>
      <c r="AF22" t="s">
        <v>1026</v>
      </c>
      <c r="AG22" t="s">
        <v>2143</v>
      </c>
      <c r="AH22" t="s">
        <v>1026</v>
      </c>
      <c r="AI22" t="s">
        <v>2144</v>
      </c>
      <c r="AJ22" t="s">
        <v>1026</v>
      </c>
      <c r="AK22" t="s">
        <v>2145</v>
      </c>
      <c r="AL22" t="s">
        <v>1026</v>
      </c>
      <c r="AM22" t="s">
        <v>2146</v>
      </c>
      <c r="AN22" t="s">
        <v>1026</v>
      </c>
      <c r="AO22" t="s">
        <v>2147</v>
      </c>
      <c r="AP22" t="s">
        <v>1026</v>
      </c>
      <c r="AQ22" t="s">
        <v>2148</v>
      </c>
      <c r="AR22" t="s">
        <v>1026</v>
      </c>
      <c r="AS22" t="s">
        <v>2149</v>
      </c>
      <c r="AT22" t="s">
        <v>1026</v>
      </c>
      <c r="AU22" t="s">
        <v>2150</v>
      </c>
      <c r="AV22" t="s">
        <v>1026</v>
      </c>
      <c r="AW22" t="s">
        <v>2151</v>
      </c>
      <c r="AX22" t="s">
        <v>1026</v>
      </c>
      <c r="AY22" t="s">
        <v>2152</v>
      </c>
      <c r="AZ22" t="s">
        <v>1026</v>
      </c>
      <c r="BA22" t="s">
        <v>2153</v>
      </c>
      <c r="BB22" t="s">
        <v>1026</v>
      </c>
      <c r="BC22" t="s">
        <v>2154</v>
      </c>
      <c r="BD22" t="s">
        <v>1026</v>
      </c>
      <c r="BE22" t="s">
        <v>2155</v>
      </c>
      <c r="BF22" t="s">
        <v>1026</v>
      </c>
      <c r="BG22" t="s">
        <v>2156</v>
      </c>
      <c r="BH22" t="s">
        <v>1026</v>
      </c>
      <c r="BI22" t="s">
        <v>2157</v>
      </c>
      <c r="BJ22" t="s">
        <v>1026</v>
      </c>
      <c r="BK22" t="s">
        <v>2158</v>
      </c>
      <c r="BL22" t="s">
        <v>1026</v>
      </c>
      <c r="BM22" t="s">
        <v>2159</v>
      </c>
      <c r="BN22" t="s">
        <v>1026</v>
      </c>
      <c r="BO22" t="s">
        <v>2160</v>
      </c>
      <c r="BP22" t="s">
        <v>1026</v>
      </c>
      <c r="BQ22" t="s">
        <v>2161</v>
      </c>
      <c r="BR22" t="s">
        <v>1026</v>
      </c>
      <c r="BS22" t="s">
        <v>2162</v>
      </c>
      <c r="BT22" t="s">
        <v>1026</v>
      </c>
      <c r="BU22" t="s">
        <v>2163</v>
      </c>
      <c r="BV22" t="s">
        <v>1026</v>
      </c>
      <c r="BW22" t="s">
        <v>2164</v>
      </c>
      <c r="BX22" t="s">
        <v>1026</v>
      </c>
      <c r="BY22" t="s">
        <v>2165</v>
      </c>
      <c r="BZ22" t="s">
        <v>1026</v>
      </c>
      <c r="CA22" t="s">
        <v>2166</v>
      </c>
      <c r="CB22" t="s">
        <v>1026</v>
      </c>
      <c r="CC22" t="s">
        <v>2167</v>
      </c>
      <c r="CD22" t="s">
        <v>1026</v>
      </c>
      <c r="CE22" t="s">
        <v>2168</v>
      </c>
      <c r="CF22" t="s">
        <v>1026</v>
      </c>
      <c r="CG22" t="s">
        <v>2169</v>
      </c>
      <c r="CH22" t="s">
        <v>1026</v>
      </c>
      <c r="CI22" t="s">
        <v>2170</v>
      </c>
      <c r="CJ22" t="s">
        <v>1026</v>
      </c>
      <c r="CK22" t="s">
        <v>2171</v>
      </c>
      <c r="CL22" t="s">
        <v>1026</v>
      </c>
      <c r="CM22" t="s">
        <v>2172</v>
      </c>
      <c r="CN22" t="s">
        <v>1026</v>
      </c>
      <c r="CO22" t="s">
        <v>2173</v>
      </c>
      <c r="CP22" t="s">
        <v>1026</v>
      </c>
      <c r="CQ22" t="s">
        <v>2174</v>
      </c>
      <c r="CR22" t="s">
        <v>1026</v>
      </c>
      <c r="CS22" t="s">
        <v>2175</v>
      </c>
      <c r="CT22" t="s">
        <v>1026</v>
      </c>
      <c r="CU22" t="s">
        <v>2176</v>
      </c>
      <c r="CV22" t="s">
        <v>1026</v>
      </c>
      <c r="CW22" t="s">
        <v>2177</v>
      </c>
      <c r="CX22" t="s">
        <v>1026</v>
      </c>
      <c r="CY22" t="s">
        <v>2178</v>
      </c>
      <c r="CZ22" t="s">
        <v>1026</v>
      </c>
      <c r="DA22" t="s">
        <v>2179</v>
      </c>
      <c r="DB22" t="s">
        <v>1026</v>
      </c>
      <c r="DC22" t="s">
        <v>2180</v>
      </c>
      <c r="DD22" t="s">
        <v>1026</v>
      </c>
      <c r="DE22" t="s">
        <v>2181</v>
      </c>
      <c r="DF22" t="s">
        <v>1026</v>
      </c>
      <c r="DG22" t="s">
        <v>2182</v>
      </c>
      <c r="DH22" t="s">
        <v>1026</v>
      </c>
      <c r="DI22" t="s">
        <v>2183</v>
      </c>
      <c r="DJ22" t="s">
        <v>1026</v>
      </c>
      <c r="DK22" t="s">
        <v>2184</v>
      </c>
      <c r="DL22" t="s">
        <v>1026</v>
      </c>
      <c r="DM22" t="s">
        <v>2185</v>
      </c>
      <c r="DN22" t="s">
        <v>1026</v>
      </c>
      <c r="DO22" t="s">
        <v>2186</v>
      </c>
      <c r="DP22" t="s">
        <v>1026</v>
      </c>
      <c r="DQ22" t="s">
        <v>2187</v>
      </c>
      <c r="DR22" t="s">
        <v>1026</v>
      </c>
      <c r="DS22" t="s">
        <v>2188</v>
      </c>
      <c r="DT22" t="s">
        <v>1026</v>
      </c>
      <c r="DU22" t="s">
        <v>2189</v>
      </c>
      <c r="DV22" t="s">
        <v>1026</v>
      </c>
      <c r="DW22" t="s">
        <v>2190</v>
      </c>
      <c r="DX22" t="s">
        <v>1026</v>
      </c>
      <c r="DY22" t="s">
        <v>2191</v>
      </c>
      <c r="DZ22" t="s">
        <v>1026</v>
      </c>
      <c r="EA22" t="s">
        <v>2192</v>
      </c>
      <c r="EB22" t="s">
        <v>1026</v>
      </c>
      <c r="EC22" t="s">
        <v>2193</v>
      </c>
      <c r="ED22" t="s">
        <v>1026</v>
      </c>
      <c r="EE22" t="s">
        <v>2194</v>
      </c>
      <c r="EF22" t="s">
        <v>1026</v>
      </c>
      <c r="EG22" t="s">
        <v>2195</v>
      </c>
      <c r="EH22" t="s">
        <v>1026</v>
      </c>
      <c r="EI22" t="s">
        <v>2196</v>
      </c>
      <c r="EJ22" t="s">
        <v>1026</v>
      </c>
      <c r="EK22" t="s">
        <v>2197</v>
      </c>
      <c r="EL22" t="s">
        <v>1026</v>
      </c>
      <c r="EM22" t="s">
        <v>2198</v>
      </c>
      <c r="EN22" t="s">
        <v>1026</v>
      </c>
      <c r="EO22" t="s">
        <v>2199</v>
      </c>
      <c r="EP22" t="s">
        <v>1026</v>
      </c>
      <c r="EQ22" t="s">
        <v>2200</v>
      </c>
      <c r="ER22" t="s">
        <v>1026</v>
      </c>
      <c r="ES22" t="s">
        <v>2201</v>
      </c>
      <c r="ET22" t="s">
        <v>1026</v>
      </c>
      <c r="EU22" t="s">
        <v>2202</v>
      </c>
      <c r="EV22" t="s">
        <v>1026</v>
      </c>
      <c r="EW22" t="s">
        <v>2203</v>
      </c>
      <c r="EX22" t="s">
        <v>1026</v>
      </c>
      <c r="EY22" t="s">
        <v>2204</v>
      </c>
      <c r="EZ22" t="s">
        <v>1026</v>
      </c>
      <c r="FA22" t="s">
        <v>2205</v>
      </c>
      <c r="FB22" t="s">
        <v>1026</v>
      </c>
      <c r="FC22" t="s">
        <v>2206</v>
      </c>
      <c r="FD22" t="s">
        <v>1026</v>
      </c>
      <c r="FE22" t="s">
        <v>2207</v>
      </c>
      <c r="FF22" t="s">
        <v>1026</v>
      </c>
      <c r="FG22" t="s">
        <v>2208</v>
      </c>
      <c r="FH22" t="s">
        <v>1026</v>
      </c>
      <c r="FI22" t="s">
        <v>2209</v>
      </c>
      <c r="FJ22" t="s">
        <v>1026</v>
      </c>
      <c r="FK22" t="s">
        <v>2210</v>
      </c>
      <c r="FL22" t="s">
        <v>1026</v>
      </c>
      <c r="FM22" t="s">
        <v>2211</v>
      </c>
      <c r="FN22" t="s">
        <v>1026</v>
      </c>
      <c r="FO22" t="s">
        <v>2212</v>
      </c>
      <c r="FP22" t="s">
        <v>1026</v>
      </c>
      <c r="FQ22" t="s">
        <v>2213</v>
      </c>
      <c r="FR22" t="s">
        <v>1030</v>
      </c>
      <c r="FS22" t="s">
        <v>2214</v>
      </c>
      <c r="FT22" t="s">
        <v>1026</v>
      </c>
      <c r="FU22" t="s">
        <v>2215</v>
      </c>
      <c r="FV22" t="s">
        <v>1026</v>
      </c>
      <c r="FW22" t="s">
        <v>2216</v>
      </c>
      <c r="FX22" t="s">
        <v>1026</v>
      </c>
      <c r="FY22" t="s">
        <v>2217</v>
      </c>
      <c r="FZ22" t="s">
        <v>1026</v>
      </c>
      <c r="GA22" t="s">
        <v>2218</v>
      </c>
      <c r="GB22" t="s">
        <v>1026</v>
      </c>
      <c r="GC22" t="s">
        <v>2219</v>
      </c>
      <c r="GD22" t="s">
        <v>1026</v>
      </c>
      <c r="GE22" t="s">
        <v>2220</v>
      </c>
      <c r="GF22" t="s">
        <v>1026</v>
      </c>
      <c r="GG22" t="s">
        <v>2221</v>
      </c>
      <c r="GH22" t="s">
        <v>1026</v>
      </c>
      <c r="GI22" t="s">
        <v>2222</v>
      </c>
      <c r="GJ22" t="s">
        <v>1026</v>
      </c>
      <c r="GK22" t="s">
        <v>2223</v>
      </c>
      <c r="GL22" t="s">
        <v>1026</v>
      </c>
      <c r="GM22" t="s">
        <v>2224</v>
      </c>
      <c r="GN22" t="s">
        <v>1026</v>
      </c>
      <c r="GO22" t="s">
        <v>2225</v>
      </c>
      <c r="GP22" t="s">
        <v>1026</v>
      </c>
      <c r="GQ22" t="s">
        <v>2226</v>
      </c>
      <c r="GR22" t="s">
        <v>1026</v>
      </c>
    </row>
    <row r="23" spans="1:200" x14ac:dyDescent="0.25">
      <c r="A23" t="s">
        <v>2227</v>
      </c>
      <c r="B23">
        <v>35</v>
      </c>
      <c r="C23" t="s">
        <v>2228</v>
      </c>
      <c r="D23">
        <v>34</v>
      </c>
      <c r="E23" t="s">
        <v>2229</v>
      </c>
      <c r="F23">
        <v>31.5</v>
      </c>
      <c r="G23" t="s">
        <v>2230</v>
      </c>
      <c r="H23">
        <v>28.5</v>
      </c>
      <c r="I23" t="s">
        <v>2231</v>
      </c>
      <c r="J23">
        <v>35.5</v>
      </c>
      <c r="K23" t="s">
        <v>2232</v>
      </c>
      <c r="L23">
        <v>31.5</v>
      </c>
      <c r="M23" t="s">
        <v>2233</v>
      </c>
      <c r="N23">
        <v>35</v>
      </c>
      <c r="O23" t="s">
        <v>2234</v>
      </c>
      <c r="P23">
        <v>32.5</v>
      </c>
      <c r="Q23" t="s">
        <v>2235</v>
      </c>
      <c r="R23">
        <v>33.5</v>
      </c>
      <c r="S23" t="s">
        <v>2236</v>
      </c>
      <c r="T23">
        <v>31.5</v>
      </c>
      <c r="U23" t="s">
        <v>2237</v>
      </c>
      <c r="V23">
        <v>31.5</v>
      </c>
      <c r="W23" t="s">
        <v>2238</v>
      </c>
      <c r="X23">
        <v>33</v>
      </c>
      <c r="Y23" t="s">
        <v>2239</v>
      </c>
      <c r="Z23">
        <v>28</v>
      </c>
      <c r="AA23" t="s">
        <v>2240</v>
      </c>
      <c r="AB23">
        <v>24.5</v>
      </c>
      <c r="AC23" t="s">
        <v>2241</v>
      </c>
      <c r="AD23">
        <v>28.5</v>
      </c>
      <c r="AE23" t="s">
        <v>2242</v>
      </c>
      <c r="AF23">
        <v>33</v>
      </c>
      <c r="AG23" t="s">
        <v>2243</v>
      </c>
      <c r="AH23">
        <v>31.5</v>
      </c>
      <c r="AI23" t="s">
        <v>2244</v>
      </c>
      <c r="AJ23">
        <v>36</v>
      </c>
      <c r="AK23" t="s">
        <v>2245</v>
      </c>
      <c r="AL23">
        <v>34</v>
      </c>
      <c r="AM23" t="s">
        <v>2246</v>
      </c>
      <c r="AN23">
        <v>35.5</v>
      </c>
      <c r="AO23" t="s">
        <v>2247</v>
      </c>
      <c r="AP23">
        <v>33</v>
      </c>
      <c r="AQ23" t="s">
        <v>2248</v>
      </c>
      <c r="AR23">
        <v>30</v>
      </c>
      <c r="AS23" t="s">
        <v>2249</v>
      </c>
      <c r="AT23">
        <v>31.5</v>
      </c>
      <c r="AU23" t="s">
        <v>2250</v>
      </c>
      <c r="AV23">
        <v>26</v>
      </c>
      <c r="AW23" t="s">
        <v>2251</v>
      </c>
      <c r="AX23">
        <v>34</v>
      </c>
      <c r="AY23" t="s">
        <v>2252</v>
      </c>
      <c r="AZ23">
        <v>34</v>
      </c>
      <c r="BA23" t="s">
        <v>2253</v>
      </c>
      <c r="BB23">
        <v>28.5</v>
      </c>
      <c r="BC23" t="s">
        <v>2254</v>
      </c>
      <c r="BD23">
        <v>36</v>
      </c>
      <c r="BE23" t="s">
        <v>2255</v>
      </c>
      <c r="BF23">
        <v>27.5</v>
      </c>
      <c r="BG23" t="s">
        <v>2256</v>
      </c>
      <c r="BH23">
        <v>32</v>
      </c>
      <c r="BI23" t="s">
        <v>2257</v>
      </c>
      <c r="BJ23">
        <v>24.5</v>
      </c>
      <c r="BK23" t="s">
        <v>2258</v>
      </c>
      <c r="BL23">
        <v>32</v>
      </c>
      <c r="BM23" t="s">
        <v>2259</v>
      </c>
      <c r="BN23">
        <v>26.5</v>
      </c>
      <c r="BO23" t="s">
        <v>2260</v>
      </c>
      <c r="BP23">
        <v>31</v>
      </c>
      <c r="BQ23" t="s">
        <v>2261</v>
      </c>
      <c r="BR23">
        <v>31.5</v>
      </c>
      <c r="BS23" t="s">
        <v>2262</v>
      </c>
      <c r="BT23">
        <v>29</v>
      </c>
      <c r="BU23" t="s">
        <v>2263</v>
      </c>
      <c r="BV23">
        <v>33</v>
      </c>
      <c r="BW23" t="s">
        <v>2264</v>
      </c>
      <c r="BX23">
        <v>22.5</v>
      </c>
      <c r="BY23" t="s">
        <v>2265</v>
      </c>
      <c r="BZ23">
        <v>33</v>
      </c>
      <c r="CA23" t="s">
        <v>2266</v>
      </c>
      <c r="CB23">
        <v>29.5</v>
      </c>
      <c r="CC23" t="s">
        <v>2267</v>
      </c>
      <c r="CD23">
        <v>32.5</v>
      </c>
      <c r="CE23" t="s">
        <v>2268</v>
      </c>
      <c r="CF23">
        <v>22.5</v>
      </c>
      <c r="CG23" t="s">
        <v>2269</v>
      </c>
      <c r="CH23">
        <v>31.5</v>
      </c>
      <c r="CI23" t="s">
        <v>2270</v>
      </c>
      <c r="CJ23">
        <v>31.5</v>
      </c>
      <c r="CK23" t="s">
        <v>2271</v>
      </c>
      <c r="CL23">
        <v>35.5</v>
      </c>
      <c r="CM23" t="s">
        <v>2272</v>
      </c>
      <c r="CN23">
        <v>24</v>
      </c>
      <c r="CO23" t="s">
        <v>2273</v>
      </c>
      <c r="CP23">
        <v>30.5</v>
      </c>
      <c r="CQ23" t="s">
        <v>2274</v>
      </c>
      <c r="CR23">
        <v>32</v>
      </c>
      <c r="CS23" t="s">
        <v>2275</v>
      </c>
      <c r="CT23">
        <v>28</v>
      </c>
      <c r="CU23" t="s">
        <v>2276</v>
      </c>
      <c r="CV23">
        <v>33</v>
      </c>
      <c r="CW23" t="s">
        <v>2277</v>
      </c>
      <c r="CX23">
        <v>31.5</v>
      </c>
      <c r="CY23" t="s">
        <v>2278</v>
      </c>
      <c r="CZ23">
        <v>27</v>
      </c>
      <c r="DA23" t="s">
        <v>2279</v>
      </c>
      <c r="DB23">
        <v>30</v>
      </c>
      <c r="DC23" t="s">
        <v>2280</v>
      </c>
      <c r="DD23">
        <v>29</v>
      </c>
      <c r="DE23" t="s">
        <v>2281</v>
      </c>
      <c r="DF23">
        <v>32</v>
      </c>
      <c r="DG23" t="s">
        <v>2282</v>
      </c>
      <c r="DH23">
        <v>20.5</v>
      </c>
      <c r="DI23" t="s">
        <v>2283</v>
      </c>
      <c r="DJ23">
        <v>20.5</v>
      </c>
      <c r="DK23" t="s">
        <v>2284</v>
      </c>
      <c r="DL23">
        <v>24.5</v>
      </c>
      <c r="DM23" t="s">
        <v>2285</v>
      </c>
      <c r="DN23">
        <v>31</v>
      </c>
      <c r="DO23" t="s">
        <v>2286</v>
      </c>
      <c r="DP23">
        <v>28.5</v>
      </c>
      <c r="DQ23" t="s">
        <v>2287</v>
      </c>
      <c r="DR23">
        <v>32.5</v>
      </c>
      <c r="DS23" t="s">
        <v>2288</v>
      </c>
      <c r="DT23">
        <v>30</v>
      </c>
      <c r="DU23" t="s">
        <v>2289</v>
      </c>
      <c r="DV23">
        <v>33.5</v>
      </c>
      <c r="DW23" t="s">
        <v>2290</v>
      </c>
      <c r="DX23">
        <v>25.5</v>
      </c>
      <c r="DY23" t="s">
        <v>2291</v>
      </c>
      <c r="DZ23">
        <v>30</v>
      </c>
      <c r="EA23" t="s">
        <v>2292</v>
      </c>
      <c r="EB23">
        <v>28.5</v>
      </c>
      <c r="EC23" t="s">
        <v>2293</v>
      </c>
      <c r="ED23">
        <v>20.5</v>
      </c>
      <c r="EE23" t="s">
        <v>2294</v>
      </c>
      <c r="EF23">
        <v>32</v>
      </c>
      <c r="EG23" t="s">
        <v>2295</v>
      </c>
      <c r="EH23">
        <v>21</v>
      </c>
      <c r="EI23" t="s">
        <v>2296</v>
      </c>
      <c r="EJ23">
        <v>34.5</v>
      </c>
      <c r="EK23" t="s">
        <v>2297</v>
      </c>
      <c r="EL23">
        <v>28.5</v>
      </c>
      <c r="EM23" t="s">
        <v>2298</v>
      </c>
      <c r="EN23">
        <v>30</v>
      </c>
      <c r="EO23" t="s">
        <v>2299</v>
      </c>
      <c r="EP23">
        <v>32.5</v>
      </c>
      <c r="EQ23" t="s">
        <v>2300</v>
      </c>
      <c r="ER23">
        <v>24.5</v>
      </c>
      <c r="ES23" t="s">
        <v>2301</v>
      </c>
      <c r="ET23">
        <v>21</v>
      </c>
      <c r="EU23" t="s">
        <v>2302</v>
      </c>
      <c r="EV23">
        <v>26.5</v>
      </c>
      <c r="EW23" t="s">
        <v>2303</v>
      </c>
      <c r="EX23">
        <v>29</v>
      </c>
      <c r="EY23" t="s">
        <v>2304</v>
      </c>
      <c r="EZ23">
        <v>32</v>
      </c>
      <c r="FA23" t="s">
        <v>2305</v>
      </c>
      <c r="FB23">
        <v>24</v>
      </c>
      <c r="FC23" t="s">
        <v>2306</v>
      </c>
      <c r="FD23">
        <v>28</v>
      </c>
      <c r="FE23" t="s">
        <v>2307</v>
      </c>
      <c r="FF23">
        <v>23.5</v>
      </c>
      <c r="FG23" t="s">
        <v>2308</v>
      </c>
      <c r="FH23">
        <v>24.5</v>
      </c>
      <c r="FI23" t="s">
        <v>2309</v>
      </c>
      <c r="FJ23">
        <v>27</v>
      </c>
      <c r="FK23" t="s">
        <v>2310</v>
      </c>
      <c r="FL23">
        <v>29</v>
      </c>
      <c r="FM23" t="s">
        <v>2311</v>
      </c>
      <c r="FN23">
        <v>23</v>
      </c>
      <c r="FO23" t="s">
        <v>2312</v>
      </c>
      <c r="FP23">
        <v>29.5</v>
      </c>
      <c r="FQ23" t="s">
        <v>2313</v>
      </c>
      <c r="FR23">
        <v>25</v>
      </c>
      <c r="FS23" t="s">
        <v>2314</v>
      </c>
      <c r="FT23">
        <v>18.5</v>
      </c>
      <c r="FU23" t="s">
        <v>2315</v>
      </c>
      <c r="FV23">
        <v>26.5</v>
      </c>
      <c r="FW23" t="s">
        <v>2316</v>
      </c>
      <c r="FX23">
        <v>26</v>
      </c>
      <c r="FY23" t="s">
        <v>2317</v>
      </c>
      <c r="FZ23">
        <v>12.5</v>
      </c>
      <c r="GA23" t="s">
        <v>2318</v>
      </c>
      <c r="GB23">
        <v>27</v>
      </c>
      <c r="GC23" t="s">
        <v>2319</v>
      </c>
      <c r="GD23">
        <v>34</v>
      </c>
      <c r="GE23" t="s">
        <v>2320</v>
      </c>
      <c r="GF23">
        <v>26.5</v>
      </c>
      <c r="GG23" t="s">
        <v>2321</v>
      </c>
      <c r="GH23">
        <v>28</v>
      </c>
      <c r="GI23" t="s">
        <v>2322</v>
      </c>
      <c r="GJ23">
        <v>16</v>
      </c>
      <c r="GK23" t="s">
        <v>2323</v>
      </c>
      <c r="GL23">
        <v>31.5</v>
      </c>
      <c r="GM23" t="s">
        <v>2324</v>
      </c>
      <c r="GN23">
        <v>18</v>
      </c>
      <c r="GO23" t="s">
        <v>2325</v>
      </c>
      <c r="GP23">
        <v>26.5</v>
      </c>
      <c r="GQ23" t="s">
        <v>2326</v>
      </c>
      <c r="GR23">
        <v>15</v>
      </c>
    </row>
    <row r="24" spans="1:200" x14ac:dyDescent="0.25">
      <c r="A24" t="s">
        <v>2327</v>
      </c>
      <c r="B24">
        <v>1</v>
      </c>
      <c r="C24" t="s">
        <v>2328</v>
      </c>
      <c r="D24">
        <v>2</v>
      </c>
      <c r="E24" t="s">
        <v>2329</v>
      </c>
      <c r="F24">
        <v>4</v>
      </c>
      <c r="G24" t="s">
        <v>2330</v>
      </c>
      <c r="H24">
        <v>4</v>
      </c>
      <c r="I24" t="s">
        <v>2331</v>
      </c>
      <c r="J24">
        <v>0.5</v>
      </c>
      <c r="K24" t="s">
        <v>2332</v>
      </c>
      <c r="L24">
        <v>4.5</v>
      </c>
      <c r="M24" t="s">
        <v>2333</v>
      </c>
      <c r="N24">
        <v>0.5</v>
      </c>
      <c r="O24" t="s">
        <v>2334</v>
      </c>
      <c r="P24">
        <v>3</v>
      </c>
      <c r="Q24" t="s">
        <v>2335</v>
      </c>
      <c r="R24">
        <v>2.5</v>
      </c>
      <c r="S24" t="s">
        <v>2336</v>
      </c>
      <c r="T24">
        <v>3</v>
      </c>
      <c r="U24" t="s">
        <v>2337</v>
      </c>
      <c r="V24">
        <v>3.5</v>
      </c>
      <c r="W24" t="s">
        <v>2338</v>
      </c>
      <c r="X24">
        <v>2</v>
      </c>
      <c r="Y24" t="s">
        <v>2339</v>
      </c>
      <c r="Z24">
        <v>5.5</v>
      </c>
      <c r="AA24" t="s">
        <v>2340</v>
      </c>
      <c r="AB24">
        <v>5.5</v>
      </c>
      <c r="AC24" t="s">
        <v>2341</v>
      </c>
      <c r="AD24">
        <v>7</v>
      </c>
      <c r="AE24" t="s">
        <v>2342</v>
      </c>
      <c r="AF24">
        <v>3</v>
      </c>
      <c r="AG24" t="s">
        <v>2343</v>
      </c>
      <c r="AH24">
        <v>2.5</v>
      </c>
      <c r="AI24" t="s">
        <v>2344</v>
      </c>
      <c r="AJ24">
        <v>0</v>
      </c>
      <c r="AK24" t="s">
        <v>2345</v>
      </c>
      <c r="AL24">
        <v>2</v>
      </c>
      <c r="AM24" t="s">
        <v>2346</v>
      </c>
      <c r="AN24">
        <v>0.5</v>
      </c>
      <c r="AO24" t="s">
        <v>2347</v>
      </c>
      <c r="AP24">
        <v>3</v>
      </c>
      <c r="AQ24" t="s">
        <v>2348</v>
      </c>
      <c r="AR24">
        <v>6</v>
      </c>
      <c r="AS24" t="s">
        <v>2349</v>
      </c>
      <c r="AT24">
        <v>4.5</v>
      </c>
      <c r="AU24" t="s">
        <v>2350</v>
      </c>
      <c r="AV24">
        <v>7</v>
      </c>
      <c r="AW24" t="s">
        <v>2351</v>
      </c>
      <c r="AX24">
        <v>2</v>
      </c>
      <c r="AY24" t="s">
        <v>2352</v>
      </c>
      <c r="AZ24">
        <v>2</v>
      </c>
      <c r="BA24" t="s">
        <v>2353</v>
      </c>
      <c r="BB24">
        <v>3.5</v>
      </c>
      <c r="BC24" t="s">
        <v>2354</v>
      </c>
      <c r="BD24">
        <v>0</v>
      </c>
      <c r="BE24" t="s">
        <v>2355</v>
      </c>
      <c r="BF24">
        <v>4</v>
      </c>
      <c r="BG24" t="s">
        <v>2356</v>
      </c>
      <c r="BH24">
        <v>3.5</v>
      </c>
      <c r="BI24" t="s">
        <v>2357</v>
      </c>
      <c r="BJ24">
        <v>1.5</v>
      </c>
      <c r="BK24" t="s">
        <v>2358</v>
      </c>
      <c r="BL24">
        <v>4</v>
      </c>
      <c r="BM24" t="s">
        <v>2359</v>
      </c>
      <c r="BN24">
        <v>6.5</v>
      </c>
      <c r="BO24" t="s">
        <v>2360</v>
      </c>
      <c r="BP24">
        <v>5</v>
      </c>
      <c r="BQ24" t="s">
        <v>2361</v>
      </c>
      <c r="BR24">
        <v>2.5</v>
      </c>
      <c r="BS24" t="s">
        <v>2362</v>
      </c>
      <c r="BT24">
        <v>4</v>
      </c>
      <c r="BU24" t="s">
        <v>2363</v>
      </c>
      <c r="BV24">
        <v>2.5</v>
      </c>
      <c r="BW24" t="s">
        <v>2364</v>
      </c>
      <c r="BX24">
        <v>1.5</v>
      </c>
      <c r="BY24" t="s">
        <v>2365</v>
      </c>
      <c r="BZ24">
        <v>2.5</v>
      </c>
      <c r="CA24" t="s">
        <v>2366</v>
      </c>
      <c r="CB24">
        <v>6.5</v>
      </c>
      <c r="CC24" t="s">
        <v>2367</v>
      </c>
      <c r="CD24">
        <v>3.5</v>
      </c>
      <c r="CE24" t="s">
        <v>2368</v>
      </c>
      <c r="CF24">
        <v>6.5</v>
      </c>
      <c r="CG24" t="s">
        <v>2369</v>
      </c>
      <c r="CH24">
        <v>4</v>
      </c>
      <c r="CI24" t="s">
        <v>2370</v>
      </c>
      <c r="CJ24">
        <v>3</v>
      </c>
      <c r="CK24" t="s">
        <v>2371</v>
      </c>
      <c r="CL24">
        <v>0.5</v>
      </c>
      <c r="CM24" t="s">
        <v>2372</v>
      </c>
      <c r="CN24">
        <v>6</v>
      </c>
      <c r="CO24" t="s">
        <v>2373</v>
      </c>
      <c r="CP24">
        <v>4.5</v>
      </c>
      <c r="CQ24" t="s">
        <v>2374</v>
      </c>
      <c r="CR24">
        <v>4</v>
      </c>
      <c r="CS24" t="s">
        <v>2375</v>
      </c>
      <c r="CT24">
        <v>6</v>
      </c>
      <c r="CU24" t="s">
        <v>2376</v>
      </c>
      <c r="CV24">
        <v>3</v>
      </c>
      <c r="CW24" t="s">
        <v>2377</v>
      </c>
      <c r="CX24">
        <v>2.5</v>
      </c>
      <c r="CY24" t="s">
        <v>2378</v>
      </c>
      <c r="CZ24">
        <v>7.5</v>
      </c>
      <c r="DA24" t="s">
        <v>2379</v>
      </c>
      <c r="DB24">
        <v>5</v>
      </c>
      <c r="DC24" t="s">
        <v>2380</v>
      </c>
      <c r="DD24">
        <v>5.5</v>
      </c>
      <c r="DE24" t="s">
        <v>2381</v>
      </c>
      <c r="DF24">
        <v>4</v>
      </c>
      <c r="DG24" t="s">
        <v>2382</v>
      </c>
      <c r="DH24">
        <v>3.5</v>
      </c>
      <c r="DI24" t="s">
        <v>2383</v>
      </c>
      <c r="DJ24">
        <v>6.5</v>
      </c>
      <c r="DK24" t="s">
        <v>2384</v>
      </c>
      <c r="DL24">
        <v>5</v>
      </c>
      <c r="DM24" t="s">
        <v>2385</v>
      </c>
      <c r="DN24">
        <v>4</v>
      </c>
      <c r="DO24" t="s">
        <v>2386</v>
      </c>
      <c r="DP24">
        <v>6</v>
      </c>
      <c r="DQ24" t="s">
        <v>2387</v>
      </c>
      <c r="DR24">
        <v>2</v>
      </c>
      <c r="DS24" t="s">
        <v>2388</v>
      </c>
      <c r="DT24">
        <v>5</v>
      </c>
      <c r="DU24" t="s">
        <v>2389</v>
      </c>
      <c r="DV24">
        <v>2.5</v>
      </c>
      <c r="DW24" t="s">
        <v>2390</v>
      </c>
      <c r="DX24">
        <v>5.5</v>
      </c>
      <c r="DY24" t="s">
        <v>2391</v>
      </c>
      <c r="DZ24">
        <v>4</v>
      </c>
      <c r="EA24" t="s">
        <v>2392</v>
      </c>
      <c r="EB24">
        <v>4</v>
      </c>
      <c r="EC24" t="s">
        <v>2393</v>
      </c>
      <c r="ED24">
        <v>6</v>
      </c>
      <c r="EE24" t="s">
        <v>2394</v>
      </c>
      <c r="EF24">
        <v>4</v>
      </c>
      <c r="EG24" t="s">
        <v>2395</v>
      </c>
      <c r="EH24">
        <v>7</v>
      </c>
      <c r="EI24" t="s">
        <v>2396</v>
      </c>
      <c r="EJ24">
        <v>1</v>
      </c>
      <c r="EK24" t="s">
        <v>2397</v>
      </c>
      <c r="EL24">
        <v>6</v>
      </c>
      <c r="EM24" t="s">
        <v>2398</v>
      </c>
      <c r="EN24">
        <v>4</v>
      </c>
      <c r="EO24" t="s">
        <v>2399</v>
      </c>
      <c r="EP24">
        <v>3</v>
      </c>
      <c r="EQ24" t="s">
        <v>2400</v>
      </c>
      <c r="ER24">
        <v>4.5</v>
      </c>
      <c r="ES24" t="s">
        <v>2401</v>
      </c>
      <c r="ET24">
        <v>2.5</v>
      </c>
      <c r="EU24" t="s">
        <v>2402</v>
      </c>
      <c r="EV24">
        <v>6.5</v>
      </c>
      <c r="EW24" t="s">
        <v>2403</v>
      </c>
      <c r="EX24">
        <v>6.5</v>
      </c>
      <c r="EY24" t="s">
        <v>2404</v>
      </c>
      <c r="EZ24">
        <v>3</v>
      </c>
      <c r="FA24" t="s">
        <v>2405</v>
      </c>
      <c r="FB24">
        <v>10</v>
      </c>
      <c r="FC24" t="s">
        <v>2406</v>
      </c>
      <c r="FD24">
        <v>6</v>
      </c>
      <c r="FE24" t="s">
        <v>2407</v>
      </c>
      <c r="FF24">
        <v>8.5</v>
      </c>
      <c r="FG24" t="s">
        <v>2408</v>
      </c>
      <c r="FH24">
        <v>6</v>
      </c>
      <c r="FI24" t="s">
        <v>2409</v>
      </c>
      <c r="FJ24">
        <v>6</v>
      </c>
      <c r="FK24" t="s">
        <v>2410</v>
      </c>
      <c r="FL24">
        <v>4</v>
      </c>
      <c r="FM24" t="s">
        <v>2411</v>
      </c>
      <c r="FN24">
        <v>6</v>
      </c>
      <c r="FO24" t="s">
        <v>2412</v>
      </c>
      <c r="FP24">
        <v>5</v>
      </c>
      <c r="FQ24" t="s">
        <v>2413</v>
      </c>
      <c r="FR24">
        <v>6</v>
      </c>
      <c r="FS24" t="s">
        <v>2414</v>
      </c>
      <c r="FT24">
        <v>2</v>
      </c>
      <c r="FU24" t="s">
        <v>2415</v>
      </c>
      <c r="FV24">
        <v>6</v>
      </c>
      <c r="FW24" t="s">
        <v>2416</v>
      </c>
      <c r="FX24">
        <v>6</v>
      </c>
      <c r="FY24" t="s">
        <v>2417</v>
      </c>
      <c r="FZ24">
        <v>5</v>
      </c>
      <c r="GA24" t="s">
        <v>2418</v>
      </c>
      <c r="GB24">
        <v>6.5</v>
      </c>
      <c r="GC24" t="s">
        <v>2419</v>
      </c>
      <c r="GD24">
        <v>1.5</v>
      </c>
      <c r="GE24" t="s">
        <v>2420</v>
      </c>
      <c r="GF24">
        <v>3</v>
      </c>
      <c r="GG24" t="s">
        <v>2421</v>
      </c>
      <c r="GH24">
        <v>7.5</v>
      </c>
      <c r="GI24" t="s">
        <v>2422</v>
      </c>
      <c r="GJ24">
        <v>5.5</v>
      </c>
      <c r="GK24" t="s">
        <v>2423</v>
      </c>
      <c r="GL24">
        <v>4</v>
      </c>
      <c r="GM24" t="s">
        <v>2424</v>
      </c>
      <c r="GN24">
        <v>4.5</v>
      </c>
      <c r="GO24" t="s">
        <v>2425</v>
      </c>
      <c r="GP24">
        <v>4.5</v>
      </c>
      <c r="GQ24" t="s">
        <v>2426</v>
      </c>
      <c r="GR24">
        <v>7.5</v>
      </c>
    </row>
    <row r="25" spans="1:200" x14ac:dyDescent="0.25">
      <c r="A25" t="s">
        <v>2427</v>
      </c>
      <c r="B25">
        <v>100</v>
      </c>
      <c r="C25" t="s">
        <v>2428</v>
      </c>
      <c r="D25">
        <v>100</v>
      </c>
      <c r="E25" t="s">
        <v>2429</v>
      </c>
      <c r="F25">
        <v>100</v>
      </c>
      <c r="G25" t="s">
        <v>2430</v>
      </c>
      <c r="H25">
        <v>100</v>
      </c>
      <c r="I25" t="s">
        <v>2431</v>
      </c>
      <c r="J25">
        <v>100</v>
      </c>
      <c r="K25" t="s">
        <v>2432</v>
      </c>
      <c r="L25">
        <v>100</v>
      </c>
      <c r="M25" t="s">
        <v>2433</v>
      </c>
      <c r="N25">
        <v>100</v>
      </c>
      <c r="O25" t="s">
        <v>2434</v>
      </c>
      <c r="P25">
        <v>100</v>
      </c>
      <c r="Q25" t="s">
        <v>2435</v>
      </c>
      <c r="R25">
        <v>66.666666669999998</v>
      </c>
      <c r="S25" t="s">
        <v>2436</v>
      </c>
      <c r="T25">
        <v>100</v>
      </c>
      <c r="U25" t="s">
        <v>2437</v>
      </c>
      <c r="V25">
        <v>100</v>
      </c>
      <c r="W25" t="s">
        <v>2438</v>
      </c>
      <c r="X25">
        <v>100</v>
      </c>
      <c r="Y25" t="s">
        <v>2439</v>
      </c>
      <c r="Z25">
        <v>100</v>
      </c>
      <c r="AA25" t="s">
        <v>2440</v>
      </c>
      <c r="AB25">
        <v>100</v>
      </c>
      <c r="AC25" t="s">
        <v>2441</v>
      </c>
      <c r="AD25">
        <v>95.833333330000002</v>
      </c>
      <c r="AE25" t="s">
        <v>2442</v>
      </c>
      <c r="AF25">
        <v>100</v>
      </c>
      <c r="AG25" t="s">
        <v>2443</v>
      </c>
      <c r="AH25">
        <v>100</v>
      </c>
      <c r="AI25" t="s">
        <v>2444</v>
      </c>
      <c r="AJ25">
        <v>95.833333330000002</v>
      </c>
      <c r="AK25" t="s">
        <v>2445</v>
      </c>
      <c r="AL25">
        <v>95.833333330000002</v>
      </c>
      <c r="AM25" t="s">
        <v>2446</v>
      </c>
      <c r="AN25">
        <v>100</v>
      </c>
      <c r="AO25" t="s">
        <v>2447</v>
      </c>
      <c r="AP25">
        <v>100</v>
      </c>
      <c r="AQ25" t="s">
        <v>2448</v>
      </c>
      <c r="AR25">
        <v>100</v>
      </c>
      <c r="AS25" t="s">
        <v>2449</v>
      </c>
      <c r="AT25">
        <v>100</v>
      </c>
      <c r="AU25" t="s">
        <v>2450</v>
      </c>
      <c r="AV25">
        <v>100</v>
      </c>
      <c r="AW25" t="s">
        <v>2451</v>
      </c>
      <c r="AX25">
        <v>100</v>
      </c>
      <c r="AY25" t="s">
        <v>2452</v>
      </c>
      <c r="AZ25">
        <v>100</v>
      </c>
      <c r="BA25" t="s">
        <v>2453</v>
      </c>
      <c r="BB25">
        <v>100</v>
      </c>
      <c r="BC25" t="s">
        <v>2454</v>
      </c>
      <c r="BD25">
        <v>100</v>
      </c>
      <c r="BE25" t="s">
        <v>2455</v>
      </c>
      <c r="BF25">
        <v>90.909090910000003</v>
      </c>
      <c r="BG25" t="s">
        <v>2456</v>
      </c>
      <c r="BH25">
        <v>100</v>
      </c>
      <c r="BI25" t="s">
        <v>2457</v>
      </c>
      <c r="BJ25">
        <v>100</v>
      </c>
      <c r="BK25" t="s">
        <v>2458</v>
      </c>
      <c r="BL25">
        <v>100</v>
      </c>
      <c r="BM25" t="s">
        <v>2459</v>
      </c>
      <c r="BN25">
        <v>104.34782610000001</v>
      </c>
      <c r="BO25" t="s">
        <v>2460</v>
      </c>
      <c r="BP25">
        <v>100</v>
      </c>
      <c r="BQ25" t="s">
        <v>2461</v>
      </c>
      <c r="BR25">
        <v>100</v>
      </c>
      <c r="BS25" t="s">
        <v>2462</v>
      </c>
      <c r="BT25">
        <v>100</v>
      </c>
      <c r="BU25" t="s">
        <v>2463</v>
      </c>
      <c r="BV25">
        <v>100</v>
      </c>
      <c r="BW25" t="s">
        <v>2464</v>
      </c>
      <c r="BX25">
        <v>82.352941180000002</v>
      </c>
      <c r="BY25" t="s">
        <v>2465</v>
      </c>
      <c r="BZ25">
        <v>100</v>
      </c>
      <c r="CA25" t="s">
        <v>2466</v>
      </c>
      <c r="CB25">
        <v>100</v>
      </c>
      <c r="CC25" t="s">
        <v>2467</v>
      </c>
      <c r="CD25">
        <v>100</v>
      </c>
      <c r="CE25" t="s">
        <v>2468</v>
      </c>
      <c r="CF25">
        <v>104.54545450000001</v>
      </c>
      <c r="CG25" t="s">
        <v>2469</v>
      </c>
      <c r="CH25">
        <v>100</v>
      </c>
      <c r="CI25" t="s">
        <v>2470</v>
      </c>
      <c r="CJ25">
        <v>100</v>
      </c>
      <c r="CK25" t="s">
        <v>2471</v>
      </c>
      <c r="CL25">
        <v>100</v>
      </c>
      <c r="CM25" t="s">
        <v>2472</v>
      </c>
      <c r="CN25">
        <v>95.652173910000002</v>
      </c>
      <c r="CO25" t="s">
        <v>2473</v>
      </c>
      <c r="CP25">
        <v>100</v>
      </c>
      <c r="CQ25" t="s">
        <v>2474</v>
      </c>
      <c r="CR25">
        <v>100</v>
      </c>
      <c r="CS25" t="s">
        <v>2475</v>
      </c>
      <c r="CT25">
        <v>100</v>
      </c>
      <c r="CU25" t="s">
        <v>2476</v>
      </c>
      <c r="CV25">
        <v>100</v>
      </c>
      <c r="CW25" t="s">
        <v>2477</v>
      </c>
      <c r="CX25">
        <v>100</v>
      </c>
      <c r="CY25" t="s">
        <v>2478</v>
      </c>
      <c r="CZ25">
        <v>100</v>
      </c>
      <c r="DA25" t="s">
        <v>2479</v>
      </c>
      <c r="DB25">
        <v>100</v>
      </c>
      <c r="DC25" t="s">
        <v>2480</v>
      </c>
      <c r="DD25">
        <v>100</v>
      </c>
      <c r="DE25" t="s">
        <v>2481</v>
      </c>
      <c r="DF25">
        <v>100</v>
      </c>
      <c r="DG25" t="s">
        <v>2482</v>
      </c>
      <c r="DH25">
        <v>100</v>
      </c>
      <c r="DI25" t="s">
        <v>2483</v>
      </c>
      <c r="DJ25">
        <v>100</v>
      </c>
      <c r="DK25" t="s">
        <v>2484</v>
      </c>
      <c r="DL25">
        <v>100</v>
      </c>
      <c r="DM25" t="s">
        <v>2485</v>
      </c>
      <c r="DN25">
        <v>100</v>
      </c>
      <c r="DO25" t="s">
        <v>2486</v>
      </c>
      <c r="DP25">
        <v>100</v>
      </c>
      <c r="DQ25" t="s">
        <v>2487</v>
      </c>
      <c r="DR25">
        <v>100</v>
      </c>
      <c r="DS25" t="s">
        <v>2488</v>
      </c>
      <c r="DT25">
        <v>100</v>
      </c>
      <c r="DU25" t="s">
        <v>2489</v>
      </c>
      <c r="DV25">
        <v>100</v>
      </c>
      <c r="DW25" t="s">
        <v>2490</v>
      </c>
      <c r="DX25">
        <v>90.909090910000003</v>
      </c>
      <c r="DY25" t="s">
        <v>2491</v>
      </c>
      <c r="DZ25">
        <v>100</v>
      </c>
      <c r="EA25" t="s">
        <v>2492</v>
      </c>
      <c r="EB25">
        <v>100</v>
      </c>
      <c r="EC25" t="s">
        <v>2493</v>
      </c>
      <c r="ED25">
        <v>73.684210530000001</v>
      </c>
      <c r="EE25" t="s">
        <v>2494</v>
      </c>
      <c r="EF25">
        <v>100</v>
      </c>
      <c r="EG25" t="s">
        <v>2495</v>
      </c>
      <c r="EH25">
        <v>100</v>
      </c>
      <c r="EI25" t="s">
        <v>2496</v>
      </c>
      <c r="EJ25">
        <v>66.666666669999998</v>
      </c>
      <c r="EK25" t="s">
        <v>2497</v>
      </c>
      <c r="EL25">
        <v>100</v>
      </c>
      <c r="EM25" t="s">
        <v>2498</v>
      </c>
      <c r="EN25">
        <v>100</v>
      </c>
      <c r="EO25" t="s">
        <v>2499</v>
      </c>
      <c r="EP25">
        <v>95.833333330000002</v>
      </c>
      <c r="EQ25" t="s">
        <v>2500</v>
      </c>
      <c r="ER25">
        <v>100</v>
      </c>
      <c r="ES25" t="s">
        <v>2501</v>
      </c>
      <c r="ET25">
        <v>82.352941180000002</v>
      </c>
      <c r="EU25" t="s">
        <v>2502</v>
      </c>
      <c r="EV25">
        <v>100</v>
      </c>
      <c r="EW25" t="s">
        <v>2503</v>
      </c>
      <c r="EX25">
        <v>95.833333330000002</v>
      </c>
      <c r="EY25" t="s">
        <v>2504</v>
      </c>
      <c r="EZ25">
        <v>95.833333330000002</v>
      </c>
      <c r="FA25" t="s">
        <v>2505</v>
      </c>
      <c r="FB25">
        <v>83.333333330000002</v>
      </c>
      <c r="FC25" t="s">
        <v>2506</v>
      </c>
      <c r="FD25">
        <v>100</v>
      </c>
      <c r="FE25" t="s">
        <v>2507</v>
      </c>
      <c r="FF25">
        <v>100</v>
      </c>
      <c r="FG25" t="s">
        <v>2508</v>
      </c>
      <c r="FH25">
        <v>100</v>
      </c>
      <c r="FI25" t="s">
        <v>2509</v>
      </c>
      <c r="FJ25">
        <v>100</v>
      </c>
      <c r="FK25" t="s">
        <v>2510</v>
      </c>
      <c r="FL25">
        <v>95.454545449999998</v>
      </c>
      <c r="FM25" t="s">
        <v>2511</v>
      </c>
      <c r="FN25">
        <v>95.238095240000007</v>
      </c>
      <c r="FO25" t="s">
        <v>2512</v>
      </c>
      <c r="FP25">
        <v>100</v>
      </c>
      <c r="FQ25" t="s">
        <v>2513</v>
      </c>
      <c r="FR25">
        <v>68.181818179999993</v>
      </c>
      <c r="FS25" t="s">
        <v>2514</v>
      </c>
      <c r="FT25">
        <v>106.66666669999999</v>
      </c>
      <c r="FU25" t="s">
        <v>2515</v>
      </c>
      <c r="FV25">
        <v>95.652173910000002</v>
      </c>
      <c r="FW25" t="s">
        <v>2516</v>
      </c>
      <c r="FX25">
        <v>95.652173910000002</v>
      </c>
      <c r="FY25" t="s">
        <v>2517</v>
      </c>
      <c r="FZ25">
        <v>71.428571430000005</v>
      </c>
      <c r="GA25" t="s">
        <v>2518</v>
      </c>
      <c r="GB25">
        <v>73.913043479999999</v>
      </c>
      <c r="GC25" t="s">
        <v>2519</v>
      </c>
      <c r="GD25">
        <v>100</v>
      </c>
      <c r="GE25" t="s">
        <v>2520</v>
      </c>
      <c r="GF25">
        <v>95.454545449999998</v>
      </c>
      <c r="GG25" t="s">
        <v>2521</v>
      </c>
      <c r="GH25">
        <v>100</v>
      </c>
      <c r="GI25" t="s">
        <v>2522</v>
      </c>
      <c r="GJ25">
        <v>100</v>
      </c>
      <c r="GK25" t="s">
        <v>2523</v>
      </c>
      <c r="GL25">
        <v>100</v>
      </c>
      <c r="GM25" t="s">
        <v>2524</v>
      </c>
      <c r="GN25">
        <v>106.25</v>
      </c>
      <c r="GO25" t="s">
        <v>2525</v>
      </c>
      <c r="GP25">
        <v>104.54545450000001</v>
      </c>
      <c r="GQ25" t="s">
        <v>2526</v>
      </c>
      <c r="GR25">
        <v>57.89473684</v>
      </c>
    </row>
    <row r="26" spans="1:200" x14ac:dyDescent="0.25">
      <c r="A26" t="s">
        <v>2527</v>
      </c>
      <c r="B26">
        <v>6</v>
      </c>
      <c r="C26" t="s">
        <v>2528</v>
      </c>
      <c r="D26">
        <v>6</v>
      </c>
      <c r="E26" t="s">
        <v>2529</v>
      </c>
      <c r="F26">
        <v>6</v>
      </c>
      <c r="G26" t="s">
        <v>2530</v>
      </c>
      <c r="H26">
        <v>5</v>
      </c>
      <c r="I26" t="s">
        <v>2531</v>
      </c>
      <c r="J26">
        <v>6</v>
      </c>
      <c r="K26" t="s">
        <v>2532</v>
      </c>
      <c r="L26">
        <v>6</v>
      </c>
      <c r="M26" t="s">
        <v>2533</v>
      </c>
      <c r="N26">
        <v>6</v>
      </c>
      <c r="O26" t="s">
        <v>2534</v>
      </c>
      <c r="P26">
        <v>6</v>
      </c>
      <c r="Q26" t="s">
        <v>2535</v>
      </c>
      <c r="R26">
        <v>6</v>
      </c>
      <c r="S26" t="s">
        <v>2536</v>
      </c>
      <c r="T26">
        <v>5</v>
      </c>
      <c r="U26" t="s">
        <v>2537</v>
      </c>
      <c r="V26">
        <v>6</v>
      </c>
      <c r="W26" t="s">
        <v>2538</v>
      </c>
      <c r="X26">
        <v>6</v>
      </c>
      <c r="Y26" t="s">
        <v>2539</v>
      </c>
      <c r="Z26">
        <v>6</v>
      </c>
      <c r="AA26" t="s">
        <v>2540</v>
      </c>
      <c r="AB26">
        <v>6</v>
      </c>
      <c r="AC26" t="s">
        <v>2541</v>
      </c>
      <c r="AD26">
        <v>5</v>
      </c>
      <c r="AE26" t="s">
        <v>2542</v>
      </c>
      <c r="AF26">
        <v>6</v>
      </c>
      <c r="AG26" t="s">
        <v>2543</v>
      </c>
      <c r="AH26">
        <v>6</v>
      </c>
      <c r="AI26" t="s">
        <v>2544</v>
      </c>
      <c r="AJ26">
        <v>6</v>
      </c>
      <c r="AK26" t="s">
        <v>2545</v>
      </c>
      <c r="AL26">
        <v>6</v>
      </c>
      <c r="AM26" t="s">
        <v>2546</v>
      </c>
      <c r="AN26">
        <v>6</v>
      </c>
      <c r="AO26" t="s">
        <v>2547</v>
      </c>
      <c r="AP26">
        <v>6</v>
      </c>
      <c r="AQ26" t="s">
        <v>2548</v>
      </c>
      <c r="AR26">
        <v>6</v>
      </c>
      <c r="AS26" t="s">
        <v>2549</v>
      </c>
      <c r="AT26">
        <v>6</v>
      </c>
      <c r="AU26" t="s">
        <v>2550</v>
      </c>
      <c r="AV26">
        <v>6</v>
      </c>
      <c r="AW26" t="s">
        <v>2551</v>
      </c>
      <c r="AX26">
        <v>6</v>
      </c>
      <c r="AY26" t="s">
        <v>2552</v>
      </c>
      <c r="AZ26">
        <v>6</v>
      </c>
      <c r="BA26" t="s">
        <v>2553</v>
      </c>
      <c r="BB26">
        <v>6</v>
      </c>
      <c r="BC26" t="s">
        <v>2554</v>
      </c>
      <c r="BD26">
        <v>6</v>
      </c>
      <c r="BE26" t="s">
        <v>2555</v>
      </c>
      <c r="BF26">
        <v>6</v>
      </c>
      <c r="BG26" t="s">
        <v>2556</v>
      </c>
      <c r="BH26">
        <v>6</v>
      </c>
      <c r="BI26" t="s">
        <v>2557</v>
      </c>
      <c r="BJ26">
        <v>6</v>
      </c>
      <c r="BK26" t="s">
        <v>2558</v>
      </c>
      <c r="BL26">
        <v>6</v>
      </c>
      <c r="BM26" t="s">
        <v>2559</v>
      </c>
      <c r="BN26">
        <v>6</v>
      </c>
      <c r="BO26" t="s">
        <v>2560</v>
      </c>
      <c r="BP26">
        <v>6</v>
      </c>
      <c r="BQ26" t="s">
        <v>2561</v>
      </c>
      <c r="BR26">
        <v>6</v>
      </c>
      <c r="BS26" t="s">
        <v>2562</v>
      </c>
      <c r="BT26">
        <v>5</v>
      </c>
      <c r="BU26" t="s">
        <v>2563</v>
      </c>
      <c r="BV26">
        <v>6</v>
      </c>
      <c r="BW26" t="s">
        <v>2564</v>
      </c>
      <c r="BX26">
        <v>6</v>
      </c>
      <c r="BY26" t="s">
        <v>2565</v>
      </c>
      <c r="BZ26">
        <v>6</v>
      </c>
      <c r="CA26" t="s">
        <v>2566</v>
      </c>
      <c r="CB26">
        <v>6</v>
      </c>
      <c r="CC26" t="s">
        <v>2567</v>
      </c>
      <c r="CD26">
        <v>6</v>
      </c>
      <c r="CE26" t="s">
        <v>2568</v>
      </c>
      <c r="CF26">
        <v>5</v>
      </c>
      <c r="CG26" t="s">
        <v>2569</v>
      </c>
      <c r="CH26">
        <v>6</v>
      </c>
      <c r="CI26" t="s">
        <v>2570</v>
      </c>
      <c r="CJ26">
        <v>6</v>
      </c>
      <c r="CK26" t="s">
        <v>2571</v>
      </c>
      <c r="CL26">
        <v>6</v>
      </c>
      <c r="CM26" t="s">
        <v>2572</v>
      </c>
      <c r="CN26">
        <v>5</v>
      </c>
      <c r="CO26" t="s">
        <v>2573</v>
      </c>
      <c r="CP26">
        <v>6</v>
      </c>
      <c r="CQ26" t="s">
        <v>2574</v>
      </c>
      <c r="CR26">
        <v>6</v>
      </c>
      <c r="CS26" t="s">
        <v>2575</v>
      </c>
      <c r="CT26">
        <v>6</v>
      </c>
      <c r="CU26" t="s">
        <v>2576</v>
      </c>
      <c r="CV26">
        <v>6</v>
      </c>
      <c r="CW26" t="s">
        <v>2577</v>
      </c>
      <c r="CX26">
        <v>6</v>
      </c>
      <c r="CY26" t="s">
        <v>2578</v>
      </c>
      <c r="CZ26">
        <v>6</v>
      </c>
      <c r="DA26" t="s">
        <v>2579</v>
      </c>
      <c r="DB26">
        <v>6</v>
      </c>
      <c r="DC26" t="s">
        <v>2580</v>
      </c>
      <c r="DD26">
        <v>6</v>
      </c>
      <c r="DE26" t="s">
        <v>2581</v>
      </c>
      <c r="DF26">
        <v>6</v>
      </c>
      <c r="DG26" t="s">
        <v>2582</v>
      </c>
      <c r="DH26">
        <v>6</v>
      </c>
      <c r="DI26" t="s">
        <v>2583</v>
      </c>
      <c r="DJ26">
        <v>6</v>
      </c>
      <c r="DK26" t="s">
        <v>2584</v>
      </c>
      <c r="DL26">
        <v>6</v>
      </c>
      <c r="DM26" t="s">
        <v>2585</v>
      </c>
      <c r="DN26">
        <v>6</v>
      </c>
      <c r="DO26" t="s">
        <v>2586</v>
      </c>
      <c r="DP26">
        <v>6</v>
      </c>
      <c r="DQ26" t="s">
        <v>2587</v>
      </c>
      <c r="DR26">
        <v>5</v>
      </c>
      <c r="DS26" t="s">
        <v>2588</v>
      </c>
      <c r="DT26">
        <v>6</v>
      </c>
      <c r="DU26" t="s">
        <v>2589</v>
      </c>
      <c r="DV26">
        <v>6</v>
      </c>
      <c r="DW26" t="s">
        <v>2590</v>
      </c>
      <c r="DX26">
        <v>6</v>
      </c>
      <c r="DY26" t="s">
        <v>2591</v>
      </c>
      <c r="DZ26">
        <v>6</v>
      </c>
      <c r="EA26" t="s">
        <v>2592</v>
      </c>
      <c r="EB26">
        <v>6</v>
      </c>
      <c r="EC26" t="s">
        <v>2593</v>
      </c>
      <c r="ED26">
        <v>6</v>
      </c>
      <c r="EE26" t="s">
        <v>2594</v>
      </c>
      <c r="EF26">
        <v>6</v>
      </c>
      <c r="EG26" t="s">
        <v>2595</v>
      </c>
      <c r="EH26">
        <v>6</v>
      </c>
      <c r="EI26" t="s">
        <v>2596</v>
      </c>
      <c r="EJ26">
        <v>6</v>
      </c>
      <c r="EK26" t="s">
        <v>2597</v>
      </c>
      <c r="EL26">
        <v>6</v>
      </c>
      <c r="EM26" t="s">
        <v>2598</v>
      </c>
      <c r="EN26">
        <v>5</v>
      </c>
      <c r="EO26" t="s">
        <v>2599</v>
      </c>
      <c r="EP26">
        <v>6</v>
      </c>
      <c r="EQ26" t="s">
        <v>2600</v>
      </c>
      <c r="ER26">
        <v>6</v>
      </c>
      <c r="ES26" t="s">
        <v>2601</v>
      </c>
      <c r="ET26">
        <v>6</v>
      </c>
      <c r="EU26" t="s">
        <v>2602</v>
      </c>
      <c r="EV26">
        <v>6</v>
      </c>
      <c r="EW26" t="s">
        <v>2603</v>
      </c>
      <c r="EX26">
        <v>6</v>
      </c>
      <c r="EY26" t="s">
        <v>2604</v>
      </c>
      <c r="EZ26">
        <v>6</v>
      </c>
      <c r="FA26" t="s">
        <v>2605</v>
      </c>
      <c r="FB26">
        <v>6</v>
      </c>
      <c r="FC26" t="s">
        <v>2606</v>
      </c>
      <c r="FD26">
        <v>6</v>
      </c>
      <c r="FE26" t="s">
        <v>2607</v>
      </c>
      <c r="FF26">
        <v>6</v>
      </c>
      <c r="FG26" t="s">
        <v>2608</v>
      </c>
      <c r="FH26">
        <v>6</v>
      </c>
      <c r="FI26" t="s">
        <v>2609</v>
      </c>
      <c r="FJ26">
        <v>6</v>
      </c>
      <c r="FK26" t="s">
        <v>2610</v>
      </c>
      <c r="FL26">
        <v>6</v>
      </c>
      <c r="FM26" t="s">
        <v>2611</v>
      </c>
      <c r="FN26">
        <v>6</v>
      </c>
      <c r="FO26" t="s">
        <v>2612</v>
      </c>
      <c r="FP26">
        <v>5</v>
      </c>
      <c r="FQ26" t="s">
        <v>2613</v>
      </c>
      <c r="FR26">
        <v>5</v>
      </c>
      <c r="FS26" t="s">
        <v>2614</v>
      </c>
      <c r="FT26">
        <v>5</v>
      </c>
      <c r="FU26" t="s">
        <v>2615</v>
      </c>
      <c r="FV26">
        <v>6</v>
      </c>
      <c r="FW26" t="s">
        <v>2616</v>
      </c>
      <c r="FX26">
        <v>6</v>
      </c>
      <c r="FY26" t="s">
        <v>2617</v>
      </c>
      <c r="FZ26">
        <v>6</v>
      </c>
      <c r="GA26" t="s">
        <v>2618</v>
      </c>
      <c r="GB26">
        <v>5</v>
      </c>
      <c r="GC26" t="s">
        <v>2619</v>
      </c>
      <c r="GD26">
        <v>6</v>
      </c>
      <c r="GE26" t="s">
        <v>2620</v>
      </c>
      <c r="GF26">
        <v>6</v>
      </c>
      <c r="GG26" t="s">
        <v>2621</v>
      </c>
      <c r="GH26">
        <v>6</v>
      </c>
      <c r="GI26" t="s">
        <v>2622</v>
      </c>
      <c r="GJ26">
        <v>6</v>
      </c>
      <c r="GK26" t="s">
        <v>2623</v>
      </c>
      <c r="GL26">
        <v>6</v>
      </c>
      <c r="GM26" t="s">
        <v>2624</v>
      </c>
      <c r="GN26">
        <v>6</v>
      </c>
      <c r="GO26" t="s">
        <v>2625</v>
      </c>
      <c r="GP26">
        <v>6</v>
      </c>
      <c r="GQ26" t="s">
        <v>2626</v>
      </c>
      <c r="GR26">
        <v>6</v>
      </c>
    </row>
    <row r="27" spans="1:200" x14ac:dyDescent="0.25">
      <c r="A27" t="s">
        <v>2627</v>
      </c>
      <c r="B27">
        <v>0</v>
      </c>
      <c r="C27" t="s">
        <v>2628</v>
      </c>
      <c r="D27">
        <v>0</v>
      </c>
      <c r="E27" t="s">
        <v>2629</v>
      </c>
      <c r="F27">
        <v>0</v>
      </c>
      <c r="G27" t="s">
        <v>2630</v>
      </c>
      <c r="H27">
        <v>0</v>
      </c>
      <c r="I27" t="s">
        <v>2631</v>
      </c>
      <c r="J27">
        <v>0</v>
      </c>
      <c r="K27" t="s">
        <v>2632</v>
      </c>
      <c r="L27">
        <v>0</v>
      </c>
      <c r="M27" t="s">
        <v>2633</v>
      </c>
      <c r="N27">
        <v>0</v>
      </c>
      <c r="O27" t="s">
        <v>2634</v>
      </c>
      <c r="P27">
        <v>0</v>
      </c>
      <c r="Q27" t="s">
        <v>2635</v>
      </c>
      <c r="R27">
        <v>0</v>
      </c>
      <c r="S27" t="s">
        <v>2636</v>
      </c>
      <c r="T27">
        <v>0</v>
      </c>
      <c r="U27" t="s">
        <v>2637</v>
      </c>
      <c r="V27">
        <v>0</v>
      </c>
      <c r="W27" t="s">
        <v>2638</v>
      </c>
      <c r="X27">
        <v>0</v>
      </c>
      <c r="Y27" t="s">
        <v>2639</v>
      </c>
      <c r="Z27">
        <v>0</v>
      </c>
      <c r="AA27" t="s">
        <v>2640</v>
      </c>
      <c r="AB27">
        <v>0</v>
      </c>
      <c r="AC27" t="s">
        <v>2641</v>
      </c>
      <c r="AD27">
        <v>0</v>
      </c>
      <c r="AE27" t="s">
        <v>2642</v>
      </c>
      <c r="AF27">
        <v>0</v>
      </c>
      <c r="AG27" t="s">
        <v>2643</v>
      </c>
      <c r="AH27">
        <v>0</v>
      </c>
      <c r="AI27" t="s">
        <v>2644</v>
      </c>
      <c r="AJ27">
        <v>0</v>
      </c>
      <c r="AK27" t="s">
        <v>2645</v>
      </c>
      <c r="AL27">
        <v>0</v>
      </c>
      <c r="AM27" t="s">
        <v>2646</v>
      </c>
      <c r="AN27">
        <v>0</v>
      </c>
      <c r="AO27" t="s">
        <v>2647</v>
      </c>
      <c r="AP27">
        <v>0</v>
      </c>
      <c r="AQ27" t="s">
        <v>2648</v>
      </c>
      <c r="AR27">
        <v>0</v>
      </c>
      <c r="AS27" t="s">
        <v>2649</v>
      </c>
      <c r="AT27">
        <v>0</v>
      </c>
      <c r="AU27" t="s">
        <v>2650</v>
      </c>
      <c r="AV27">
        <v>0</v>
      </c>
      <c r="AW27" t="s">
        <v>2651</v>
      </c>
      <c r="AX27">
        <v>0</v>
      </c>
      <c r="AY27" t="s">
        <v>2652</v>
      </c>
      <c r="AZ27">
        <v>0</v>
      </c>
      <c r="BA27" t="s">
        <v>2653</v>
      </c>
      <c r="BB27">
        <v>0</v>
      </c>
      <c r="BC27" t="s">
        <v>2654</v>
      </c>
      <c r="BD27">
        <v>0</v>
      </c>
      <c r="BE27" t="s">
        <v>2655</v>
      </c>
      <c r="BF27">
        <v>0</v>
      </c>
      <c r="BG27" t="s">
        <v>2656</v>
      </c>
      <c r="BH27">
        <v>0</v>
      </c>
      <c r="BI27" t="s">
        <v>2657</v>
      </c>
      <c r="BJ27">
        <v>0</v>
      </c>
      <c r="BK27" t="s">
        <v>2658</v>
      </c>
      <c r="BL27">
        <v>0</v>
      </c>
      <c r="BM27" t="s">
        <v>2659</v>
      </c>
      <c r="BN27">
        <v>0</v>
      </c>
      <c r="BO27" t="s">
        <v>2660</v>
      </c>
      <c r="BP27">
        <v>0</v>
      </c>
      <c r="BQ27" t="s">
        <v>2661</v>
      </c>
      <c r="BR27">
        <v>0</v>
      </c>
      <c r="BS27" t="s">
        <v>2662</v>
      </c>
      <c r="BT27">
        <v>0</v>
      </c>
      <c r="BU27" t="s">
        <v>2663</v>
      </c>
      <c r="BV27">
        <v>0</v>
      </c>
      <c r="BW27" t="s">
        <v>2664</v>
      </c>
      <c r="BX27">
        <v>0</v>
      </c>
      <c r="BY27" t="s">
        <v>2665</v>
      </c>
      <c r="BZ27">
        <v>0</v>
      </c>
      <c r="CA27" t="s">
        <v>2666</v>
      </c>
      <c r="CB27">
        <v>0</v>
      </c>
      <c r="CC27" t="s">
        <v>2667</v>
      </c>
      <c r="CD27">
        <v>0</v>
      </c>
      <c r="CE27" t="s">
        <v>2668</v>
      </c>
      <c r="CF27">
        <v>0</v>
      </c>
      <c r="CG27" t="s">
        <v>2669</v>
      </c>
      <c r="CH27">
        <v>0</v>
      </c>
      <c r="CI27" t="s">
        <v>2670</v>
      </c>
      <c r="CJ27">
        <v>0</v>
      </c>
      <c r="CK27" t="s">
        <v>2671</v>
      </c>
      <c r="CL27">
        <v>0</v>
      </c>
      <c r="CM27" t="s">
        <v>2672</v>
      </c>
      <c r="CN27">
        <v>0</v>
      </c>
      <c r="CO27" t="s">
        <v>2673</v>
      </c>
      <c r="CP27">
        <v>0</v>
      </c>
      <c r="CQ27" t="s">
        <v>2674</v>
      </c>
      <c r="CR27">
        <v>0</v>
      </c>
      <c r="CS27" t="s">
        <v>2675</v>
      </c>
      <c r="CT27">
        <v>0</v>
      </c>
      <c r="CU27" t="s">
        <v>2676</v>
      </c>
      <c r="CV27">
        <v>0</v>
      </c>
      <c r="CW27" t="s">
        <v>2677</v>
      </c>
      <c r="CX27">
        <v>0</v>
      </c>
      <c r="CY27" t="s">
        <v>2678</v>
      </c>
      <c r="CZ27">
        <v>0</v>
      </c>
      <c r="DA27" t="s">
        <v>2679</v>
      </c>
      <c r="DB27">
        <v>0</v>
      </c>
      <c r="DC27" t="s">
        <v>2680</v>
      </c>
      <c r="DD27">
        <v>0</v>
      </c>
      <c r="DE27" t="s">
        <v>2681</v>
      </c>
      <c r="DF27">
        <v>0</v>
      </c>
      <c r="DG27" t="s">
        <v>2682</v>
      </c>
      <c r="DH27">
        <v>0</v>
      </c>
      <c r="DI27" t="s">
        <v>2683</v>
      </c>
      <c r="DJ27">
        <v>0</v>
      </c>
      <c r="DK27" t="s">
        <v>2684</v>
      </c>
      <c r="DL27">
        <v>0</v>
      </c>
      <c r="DM27" t="s">
        <v>2685</v>
      </c>
      <c r="DN27">
        <v>0</v>
      </c>
      <c r="DO27" t="s">
        <v>2686</v>
      </c>
      <c r="DP27">
        <v>0</v>
      </c>
      <c r="DQ27" t="s">
        <v>2687</v>
      </c>
      <c r="DR27">
        <v>0</v>
      </c>
      <c r="DS27" t="s">
        <v>2688</v>
      </c>
      <c r="DT27">
        <v>0</v>
      </c>
      <c r="DU27" t="s">
        <v>2689</v>
      </c>
      <c r="DV27">
        <v>0</v>
      </c>
      <c r="DW27" t="s">
        <v>2690</v>
      </c>
      <c r="DX27">
        <v>0</v>
      </c>
      <c r="DY27" t="s">
        <v>2691</v>
      </c>
      <c r="DZ27">
        <v>0</v>
      </c>
      <c r="EA27" t="s">
        <v>2692</v>
      </c>
      <c r="EB27">
        <v>0</v>
      </c>
      <c r="EC27" t="s">
        <v>2693</v>
      </c>
      <c r="ED27">
        <v>0</v>
      </c>
      <c r="EE27" t="s">
        <v>2694</v>
      </c>
      <c r="EF27">
        <v>0</v>
      </c>
      <c r="EG27" t="s">
        <v>2695</v>
      </c>
      <c r="EH27">
        <v>0</v>
      </c>
      <c r="EI27" t="s">
        <v>2696</v>
      </c>
      <c r="EJ27">
        <v>0</v>
      </c>
      <c r="EK27" t="s">
        <v>2697</v>
      </c>
      <c r="EL27">
        <v>0</v>
      </c>
      <c r="EM27" t="s">
        <v>2698</v>
      </c>
      <c r="EN27">
        <v>0</v>
      </c>
      <c r="EO27" t="s">
        <v>2699</v>
      </c>
      <c r="EP27">
        <v>0</v>
      </c>
      <c r="EQ27" t="s">
        <v>2700</v>
      </c>
      <c r="ER27">
        <v>0</v>
      </c>
      <c r="ES27" t="s">
        <v>2701</v>
      </c>
      <c r="ET27">
        <v>0</v>
      </c>
      <c r="EU27" t="s">
        <v>2702</v>
      </c>
      <c r="EV27">
        <v>0</v>
      </c>
      <c r="EW27" t="s">
        <v>2703</v>
      </c>
      <c r="EX27">
        <v>0</v>
      </c>
      <c r="EY27" t="s">
        <v>2704</v>
      </c>
      <c r="EZ27">
        <v>0</v>
      </c>
      <c r="FA27" t="s">
        <v>2705</v>
      </c>
      <c r="FB27">
        <v>0</v>
      </c>
      <c r="FC27" t="s">
        <v>2706</v>
      </c>
      <c r="FD27">
        <v>0</v>
      </c>
      <c r="FE27" t="s">
        <v>2707</v>
      </c>
      <c r="FF27">
        <v>0</v>
      </c>
      <c r="FG27" t="s">
        <v>2708</v>
      </c>
      <c r="FH27">
        <v>0</v>
      </c>
      <c r="FI27" t="s">
        <v>2709</v>
      </c>
      <c r="FJ27">
        <v>0</v>
      </c>
      <c r="FK27" t="s">
        <v>2710</v>
      </c>
      <c r="FL27">
        <v>0</v>
      </c>
      <c r="FM27" t="s">
        <v>2711</v>
      </c>
      <c r="FN27">
        <v>0</v>
      </c>
      <c r="FO27" t="s">
        <v>2712</v>
      </c>
      <c r="FP27">
        <v>0</v>
      </c>
      <c r="FQ27" t="s">
        <v>2713</v>
      </c>
      <c r="FR27">
        <v>0</v>
      </c>
      <c r="FS27" t="s">
        <v>2714</v>
      </c>
      <c r="FT27">
        <v>0</v>
      </c>
      <c r="FU27" t="s">
        <v>2715</v>
      </c>
      <c r="FV27">
        <v>0</v>
      </c>
      <c r="FW27" t="s">
        <v>2716</v>
      </c>
      <c r="FX27">
        <v>0</v>
      </c>
      <c r="FY27" t="s">
        <v>2717</v>
      </c>
      <c r="FZ27">
        <v>0</v>
      </c>
      <c r="GA27" t="s">
        <v>2718</v>
      </c>
      <c r="GB27">
        <v>0</v>
      </c>
      <c r="GC27" t="s">
        <v>2719</v>
      </c>
      <c r="GD27">
        <v>0</v>
      </c>
      <c r="GE27" t="s">
        <v>2720</v>
      </c>
      <c r="GF27">
        <v>0</v>
      </c>
      <c r="GG27" t="s">
        <v>2721</v>
      </c>
      <c r="GH27">
        <v>0</v>
      </c>
      <c r="GI27" t="s">
        <v>2722</v>
      </c>
      <c r="GJ27">
        <v>0</v>
      </c>
      <c r="GK27" t="s">
        <v>2723</v>
      </c>
      <c r="GL27">
        <v>0</v>
      </c>
      <c r="GM27" t="s">
        <v>2724</v>
      </c>
      <c r="GN27">
        <v>0</v>
      </c>
      <c r="GO27" t="s">
        <v>2725</v>
      </c>
      <c r="GP27">
        <v>0</v>
      </c>
      <c r="GQ27" t="s">
        <v>2726</v>
      </c>
      <c r="GR27">
        <v>0</v>
      </c>
    </row>
    <row r="28" spans="1:200" x14ac:dyDescent="0.25">
      <c r="A28" t="s">
        <v>2727</v>
      </c>
      <c r="B28">
        <v>6</v>
      </c>
      <c r="C28" t="s">
        <v>2728</v>
      </c>
      <c r="D28">
        <v>6</v>
      </c>
      <c r="E28" t="s">
        <v>2729</v>
      </c>
      <c r="F28">
        <v>6</v>
      </c>
      <c r="G28" t="s">
        <v>2730</v>
      </c>
      <c r="H28">
        <v>5</v>
      </c>
      <c r="I28" t="s">
        <v>2731</v>
      </c>
      <c r="J28">
        <v>6</v>
      </c>
      <c r="K28" t="s">
        <v>2732</v>
      </c>
      <c r="L28">
        <v>6</v>
      </c>
      <c r="M28" t="s">
        <v>2733</v>
      </c>
      <c r="N28">
        <v>6</v>
      </c>
      <c r="O28" t="s">
        <v>2734</v>
      </c>
      <c r="P28">
        <v>6</v>
      </c>
      <c r="Q28" t="s">
        <v>2735</v>
      </c>
      <c r="R28">
        <v>6</v>
      </c>
      <c r="S28" t="s">
        <v>2736</v>
      </c>
      <c r="T28">
        <v>5</v>
      </c>
      <c r="U28" t="s">
        <v>2737</v>
      </c>
      <c r="V28">
        <v>6</v>
      </c>
      <c r="W28" t="s">
        <v>2738</v>
      </c>
      <c r="X28">
        <v>6</v>
      </c>
      <c r="Y28" t="s">
        <v>2739</v>
      </c>
      <c r="Z28">
        <v>6</v>
      </c>
      <c r="AA28" t="s">
        <v>2740</v>
      </c>
      <c r="AB28">
        <v>6</v>
      </c>
      <c r="AC28" t="s">
        <v>2741</v>
      </c>
      <c r="AD28">
        <v>5</v>
      </c>
      <c r="AE28" t="s">
        <v>2742</v>
      </c>
      <c r="AF28">
        <v>6</v>
      </c>
      <c r="AG28" t="s">
        <v>2743</v>
      </c>
      <c r="AH28">
        <v>6</v>
      </c>
      <c r="AI28" t="s">
        <v>2744</v>
      </c>
      <c r="AJ28">
        <v>6</v>
      </c>
      <c r="AK28" t="s">
        <v>2745</v>
      </c>
      <c r="AL28">
        <v>6</v>
      </c>
      <c r="AM28" t="s">
        <v>2746</v>
      </c>
      <c r="AN28">
        <v>6</v>
      </c>
      <c r="AO28" t="s">
        <v>2747</v>
      </c>
      <c r="AP28">
        <v>6</v>
      </c>
      <c r="AQ28" t="s">
        <v>2748</v>
      </c>
      <c r="AR28">
        <v>6</v>
      </c>
      <c r="AS28" t="s">
        <v>2749</v>
      </c>
      <c r="AT28">
        <v>6</v>
      </c>
      <c r="AU28" t="s">
        <v>2750</v>
      </c>
      <c r="AV28">
        <v>6</v>
      </c>
      <c r="AW28" t="s">
        <v>2751</v>
      </c>
      <c r="AX28">
        <v>6</v>
      </c>
      <c r="AY28" t="s">
        <v>2752</v>
      </c>
      <c r="AZ28">
        <v>6</v>
      </c>
      <c r="BA28" t="s">
        <v>2753</v>
      </c>
      <c r="BB28">
        <v>6</v>
      </c>
      <c r="BC28" t="s">
        <v>2754</v>
      </c>
      <c r="BD28">
        <v>6</v>
      </c>
      <c r="BE28" t="s">
        <v>2755</v>
      </c>
      <c r="BF28">
        <v>6</v>
      </c>
      <c r="BG28" t="s">
        <v>2756</v>
      </c>
      <c r="BH28">
        <v>6</v>
      </c>
      <c r="BI28" t="s">
        <v>2757</v>
      </c>
      <c r="BJ28">
        <v>6</v>
      </c>
      <c r="BK28" t="s">
        <v>2758</v>
      </c>
      <c r="BL28">
        <v>6</v>
      </c>
      <c r="BM28" t="s">
        <v>2759</v>
      </c>
      <c r="BN28">
        <v>6</v>
      </c>
      <c r="BO28" t="s">
        <v>2760</v>
      </c>
      <c r="BP28">
        <v>6</v>
      </c>
      <c r="BQ28" t="s">
        <v>2761</v>
      </c>
      <c r="BR28">
        <v>6</v>
      </c>
      <c r="BS28" t="s">
        <v>2762</v>
      </c>
      <c r="BT28">
        <v>5</v>
      </c>
      <c r="BU28" t="s">
        <v>2763</v>
      </c>
      <c r="BV28">
        <v>6</v>
      </c>
      <c r="BW28" t="s">
        <v>2764</v>
      </c>
      <c r="BX28">
        <v>6</v>
      </c>
      <c r="BY28" t="s">
        <v>2765</v>
      </c>
      <c r="BZ28">
        <v>6</v>
      </c>
      <c r="CA28" t="s">
        <v>2766</v>
      </c>
      <c r="CB28">
        <v>6</v>
      </c>
      <c r="CC28" t="s">
        <v>2767</v>
      </c>
      <c r="CD28">
        <v>6</v>
      </c>
      <c r="CE28" t="s">
        <v>2768</v>
      </c>
      <c r="CF28">
        <v>5</v>
      </c>
      <c r="CG28" t="s">
        <v>2769</v>
      </c>
      <c r="CH28">
        <v>6</v>
      </c>
      <c r="CI28" t="s">
        <v>2770</v>
      </c>
      <c r="CJ28">
        <v>6</v>
      </c>
      <c r="CK28" t="s">
        <v>2771</v>
      </c>
      <c r="CL28">
        <v>6</v>
      </c>
      <c r="CM28" t="s">
        <v>2772</v>
      </c>
      <c r="CN28">
        <v>5</v>
      </c>
      <c r="CO28" t="s">
        <v>2773</v>
      </c>
      <c r="CP28">
        <v>6</v>
      </c>
      <c r="CQ28" t="s">
        <v>2774</v>
      </c>
      <c r="CR28">
        <v>6</v>
      </c>
      <c r="CS28" t="s">
        <v>2775</v>
      </c>
      <c r="CT28">
        <v>6</v>
      </c>
      <c r="CU28" t="s">
        <v>2776</v>
      </c>
      <c r="CV28">
        <v>6</v>
      </c>
      <c r="CW28" t="s">
        <v>2777</v>
      </c>
      <c r="CX28">
        <v>6</v>
      </c>
      <c r="CY28" t="s">
        <v>2778</v>
      </c>
      <c r="CZ28">
        <v>6</v>
      </c>
      <c r="DA28" t="s">
        <v>2779</v>
      </c>
      <c r="DB28">
        <v>6</v>
      </c>
      <c r="DC28" t="s">
        <v>2780</v>
      </c>
      <c r="DD28">
        <v>6</v>
      </c>
      <c r="DE28" t="s">
        <v>2781</v>
      </c>
      <c r="DF28">
        <v>6</v>
      </c>
      <c r="DG28" t="s">
        <v>2782</v>
      </c>
      <c r="DH28">
        <v>6</v>
      </c>
      <c r="DI28" t="s">
        <v>2783</v>
      </c>
      <c r="DJ28">
        <v>6</v>
      </c>
      <c r="DK28" t="s">
        <v>2784</v>
      </c>
      <c r="DL28">
        <v>6</v>
      </c>
      <c r="DM28" t="s">
        <v>2785</v>
      </c>
      <c r="DN28">
        <v>6</v>
      </c>
      <c r="DO28" t="s">
        <v>2786</v>
      </c>
      <c r="DP28">
        <v>6</v>
      </c>
      <c r="DQ28" t="s">
        <v>2787</v>
      </c>
      <c r="DR28">
        <v>5</v>
      </c>
      <c r="DS28" t="s">
        <v>2788</v>
      </c>
      <c r="DT28">
        <v>6</v>
      </c>
      <c r="DU28" t="s">
        <v>2789</v>
      </c>
      <c r="DV28">
        <v>6</v>
      </c>
      <c r="DW28" t="s">
        <v>2790</v>
      </c>
      <c r="DX28">
        <v>6</v>
      </c>
      <c r="DY28" t="s">
        <v>2791</v>
      </c>
      <c r="DZ28">
        <v>6</v>
      </c>
      <c r="EA28" t="s">
        <v>2792</v>
      </c>
      <c r="EB28">
        <v>6</v>
      </c>
      <c r="EC28" t="s">
        <v>2793</v>
      </c>
      <c r="ED28">
        <v>6</v>
      </c>
      <c r="EE28" t="s">
        <v>2794</v>
      </c>
      <c r="EF28">
        <v>6</v>
      </c>
      <c r="EG28" t="s">
        <v>2795</v>
      </c>
      <c r="EH28">
        <v>6</v>
      </c>
      <c r="EI28" t="s">
        <v>2796</v>
      </c>
      <c r="EJ28">
        <v>6</v>
      </c>
      <c r="EK28" t="s">
        <v>2797</v>
      </c>
      <c r="EL28">
        <v>6</v>
      </c>
      <c r="EM28" t="s">
        <v>2798</v>
      </c>
      <c r="EN28">
        <v>5</v>
      </c>
      <c r="EO28" t="s">
        <v>2799</v>
      </c>
      <c r="EP28">
        <v>6</v>
      </c>
      <c r="EQ28" t="s">
        <v>2800</v>
      </c>
      <c r="ER28">
        <v>6</v>
      </c>
      <c r="ES28" t="s">
        <v>2801</v>
      </c>
      <c r="ET28">
        <v>6</v>
      </c>
      <c r="EU28" t="s">
        <v>2802</v>
      </c>
      <c r="EV28">
        <v>6</v>
      </c>
      <c r="EW28" t="s">
        <v>2803</v>
      </c>
      <c r="EX28">
        <v>6</v>
      </c>
      <c r="EY28" t="s">
        <v>2804</v>
      </c>
      <c r="EZ28">
        <v>6</v>
      </c>
      <c r="FA28" t="s">
        <v>2805</v>
      </c>
      <c r="FB28">
        <v>6</v>
      </c>
      <c r="FC28" t="s">
        <v>2806</v>
      </c>
      <c r="FD28">
        <v>6</v>
      </c>
      <c r="FE28" t="s">
        <v>2807</v>
      </c>
      <c r="FF28">
        <v>6</v>
      </c>
      <c r="FG28" t="s">
        <v>2808</v>
      </c>
      <c r="FH28">
        <v>6</v>
      </c>
      <c r="FI28" t="s">
        <v>2809</v>
      </c>
      <c r="FJ28">
        <v>6</v>
      </c>
      <c r="FK28" t="s">
        <v>2810</v>
      </c>
      <c r="FL28">
        <v>6</v>
      </c>
      <c r="FM28" t="s">
        <v>2811</v>
      </c>
      <c r="FN28">
        <v>6</v>
      </c>
      <c r="FO28" t="s">
        <v>2812</v>
      </c>
      <c r="FP28">
        <v>5</v>
      </c>
      <c r="FQ28" t="s">
        <v>2813</v>
      </c>
      <c r="FR28">
        <v>5</v>
      </c>
      <c r="FS28" t="s">
        <v>2814</v>
      </c>
      <c r="FT28">
        <v>5</v>
      </c>
      <c r="FU28" t="s">
        <v>2815</v>
      </c>
      <c r="FV28">
        <v>6</v>
      </c>
      <c r="FW28" t="s">
        <v>2816</v>
      </c>
      <c r="FX28">
        <v>6</v>
      </c>
      <c r="FY28" t="s">
        <v>2817</v>
      </c>
      <c r="FZ28">
        <v>6</v>
      </c>
      <c r="GA28" t="s">
        <v>2818</v>
      </c>
      <c r="GB28">
        <v>5</v>
      </c>
      <c r="GC28" t="s">
        <v>2819</v>
      </c>
      <c r="GD28">
        <v>6</v>
      </c>
      <c r="GE28" t="s">
        <v>2820</v>
      </c>
      <c r="GF28">
        <v>6</v>
      </c>
      <c r="GG28" t="s">
        <v>2821</v>
      </c>
      <c r="GH28">
        <v>6</v>
      </c>
      <c r="GI28" t="s">
        <v>2822</v>
      </c>
      <c r="GJ28">
        <v>6</v>
      </c>
      <c r="GK28" t="s">
        <v>2823</v>
      </c>
      <c r="GL28">
        <v>6</v>
      </c>
      <c r="GM28" t="s">
        <v>2824</v>
      </c>
      <c r="GN28">
        <v>6</v>
      </c>
      <c r="GO28" t="s">
        <v>2825</v>
      </c>
      <c r="GP28">
        <v>6</v>
      </c>
      <c r="GQ28" t="s">
        <v>2826</v>
      </c>
      <c r="GR28">
        <v>6</v>
      </c>
    </row>
    <row r="29" spans="1:200" x14ac:dyDescent="0.25">
      <c r="A29" t="s">
        <v>2827</v>
      </c>
      <c r="B29">
        <v>0.5</v>
      </c>
      <c r="C29" t="s">
        <v>2828</v>
      </c>
      <c r="D29">
        <v>0.5</v>
      </c>
      <c r="E29" t="s">
        <v>2829</v>
      </c>
      <c r="F29">
        <v>0.5</v>
      </c>
      <c r="G29" t="s">
        <v>2830</v>
      </c>
      <c r="H29">
        <v>0.25</v>
      </c>
      <c r="I29" t="s">
        <v>2831</v>
      </c>
      <c r="J29">
        <v>0.5</v>
      </c>
      <c r="K29" t="s">
        <v>2832</v>
      </c>
      <c r="L29">
        <v>0.5</v>
      </c>
      <c r="M29" t="s">
        <v>2833</v>
      </c>
      <c r="N29">
        <v>0.5</v>
      </c>
      <c r="O29" t="s">
        <v>2834</v>
      </c>
      <c r="P29">
        <v>0.5</v>
      </c>
      <c r="Q29" t="s">
        <v>2835</v>
      </c>
      <c r="R29">
        <v>0.5</v>
      </c>
      <c r="S29" t="s">
        <v>2836</v>
      </c>
      <c r="T29">
        <v>0.25</v>
      </c>
      <c r="U29" t="s">
        <v>2837</v>
      </c>
      <c r="V29">
        <v>0.5</v>
      </c>
      <c r="W29" t="s">
        <v>2838</v>
      </c>
      <c r="X29">
        <v>0.5</v>
      </c>
      <c r="Y29" t="s">
        <v>2839</v>
      </c>
      <c r="Z29">
        <v>0.5</v>
      </c>
      <c r="AA29" t="s">
        <v>2840</v>
      </c>
      <c r="AB29">
        <v>0.5</v>
      </c>
      <c r="AC29" t="s">
        <v>2841</v>
      </c>
      <c r="AD29">
        <v>0.25</v>
      </c>
      <c r="AE29" t="s">
        <v>2842</v>
      </c>
      <c r="AF29">
        <v>0.5</v>
      </c>
      <c r="AG29" t="s">
        <v>2843</v>
      </c>
      <c r="AH29">
        <v>0.5</v>
      </c>
      <c r="AI29" t="s">
        <v>2844</v>
      </c>
      <c r="AJ29">
        <v>0.5</v>
      </c>
      <c r="AK29" t="s">
        <v>2845</v>
      </c>
      <c r="AL29">
        <v>0.5</v>
      </c>
      <c r="AM29" t="s">
        <v>2846</v>
      </c>
      <c r="AN29">
        <v>0.5</v>
      </c>
      <c r="AO29" t="s">
        <v>2847</v>
      </c>
      <c r="AP29">
        <v>0.5</v>
      </c>
      <c r="AQ29" t="s">
        <v>2848</v>
      </c>
      <c r="AR29">
        <v>0.5</v>
      </c>
      <c r="AS29" t="s">
        <v>2849</v>
      </c>
      <c r="AT29">
        <v>0.5</v>
      </c>
      <c r="AU29" t="s">
        <v>2850</v>
      </c>
      <c r="AV29">
        <v>0.5</v>
      </c>
      <c r="AW29" t="s">
        <v>2851</v>
      </c>
      <c r="AX29">
        <v>0.5</v>
      </c>
      <c r="AY29" t="s">
        <v>2852</v>
      </c>
      <c r="AZ29">
        <v>0.5</v>
      </c>
      <c r="BA29" t="s">
        <v>2853</v>
      </c>
      <c r="BB29">
        <v>0.5</v>
      </c>
      <c r="BC29" t="s">
        <v>2854</v>
      </c>
      <c r="BD29">
        <v>0.5</v>
      </c>
      <c r="BE29" t="s">
        <v>2855</v>
      </c>
      <c r="BF29">
        <v>0.5</v>
      </c>
      <c r="BG29" t="s">
        <v>2856</v>
      </c>
      <c r="BH29">
        <v>0.5</v>
      </c>
      <c r="BI29" t="s">
        <v>2857</v>
      </c>
      <c r="BJ29">
        <v>0.5</v>
      </c>
      <c r="BK29" t="s">
        <v>2858</v>
      </c>
      <c r="BL29">
        <v>0.5</v>
      </c>
      <c r="BM29" t="s">
        <v>2859</v>
      </c>
      <c r="BN29">
        <v>0.5</v>
      </c>
      <c r="BO29" t="s">
        <v>2860</v>
      </c>
      <c r="BP29">
        <v>0.5</v>
      </c>
      <c r="BQ29" t="s">
        <v>2861</v>
      </c>
      <c r="BR29">
        <v>0.5</v>
      </c>
      <c r="BS29" t="s">
        <v>2862</v>
      </c>
      <c r="BT29">
        <v>0.25</v>
      </c>
      <c r="BU29" t="s">
        <v>2863</v>
      </c>
      <c r="BV29">
        <v>0.5</v>
      </c>
      <c r="BW29" t="s">
        <v>2864</v>
      </c>
      <c r="BX29">
        <v>0.5</v>
      </c>
      <c r="BY29" t="s">
        <v>2865</v>
      </c>
      <c r="BZ29">
        <v>0.5</v>
      </c>
      <c r="CA29" t="s">
        <v>2866</v>
      </c>
      <c r="CB29">
        <v>0.5</v>
      </c>
      <c r="CC29" t="s">
        <v>2867</v>
      </c>
      <c r="CD29">
        <v>0.5</v>
      </c>
      <c r="CE29" t="s">
        <v>2868</v>
      </c>
      <c r="CF29">
        <v>0.25</v>
      </c>
      <c r="CG29" t="s">
        <v>2869</v>
      </c>
      <c r="CH29">
        <v>0.5</v>
      </c>
      <c r="CI29" t="s">
        <v>2870</v>
      </c>
      <c r="CJ29">
        <v>0.5</v>
      </c>
      <c r="CK29" t="s">
        <v>2871</v>
      </c>
      <c r="CL29">
        <v>0.5</v>
      </c>
      <c r="CM29" t="s">
        <v>2872</v>
      </c>
      <c r="CN29">
        <v>0.25</v>
      </c>
      <c r="CO29" t="s">
        <v>2873</v>
      </c>
      <c r="CP29">
        <v>0.5</v>
      </c>
      <c r="CQ29" t="s">
        <v>2874</v>
      </c>
      <c r="CR29">
        <v>0.5</v>
      </c>
      <c r="CS29" t="s">
        <v>2875</v>
      </c>
      <c r="CT29">
        <v>0.5</v>
      </c>
      <c r="CU29" t="s">
        <v>2876</v>
      </c>
      <c r="CV29">
        <v>0.5</v>
      </c>
      <c r="CW29" t="s">
        <v>2877</v>
      </c>
      <c r="CX29">
        <v>0.5</v>
      </c>
      <c r="CY29" t="s">
        <v>2878</v>
      </c>
      <c r="CZ29">
        <v>0.5</v>
      </c>
      <c r="DA29" t="s">
        <v>2879</v>
      </c>
      <c r="DB29">
        <v>0.5</v>
      </c>
      <c r="DC29" t="s">
        <v>2880</v>
      </c>
      <c r="DD29">
        <v>0.5</v>
      </c>
      <c r="DE29" t="s">
        <v>2881</v>
      </c>
      <c r="DF29">
        <v>0.5</v>
      </c>
      <c r="DG29" t="s">
        <v>2882</v>
      </c>
      <c r="DH29">
        <v>0.5</v>
      </c>
      <c r="DI29" t="s">
        <v>2883</v>
      </c>
      <c r="DJ29">
        <v>0.5</v>
      </c>
      <c r="DK29" t="s">
        <v>2884</v>
      </c>
      <c r="DL29">
        <v>0.5</v>
      </c>
      <c r="DM29" t="s">
        <v>2885</v>
      </c>
      <c r="DN29">
        <v>0.5</v>
      </c>
      <c r="DO29" t="s">
        <v>2886</v>
      </c>
      <c r="DP29">
        <v>0.5</v>
      </c>
      <c r="DQ29" t="s">
        <v>2887</v>
      </c>
      <c r="DR29">
        <v>0.25</v>
      </c>
      <c r="DS29" t="s">
        <v>2888</v>
      </c>
      <c r="DT29">
        <v>0.5</v>
      </c>
      <c r="DU29" t="s">
        <v>2889</v>
      </c>
      <c r="DV29">
        <v>0.5</v>
      </c>
      <c r="DW29" t="s">
        <v>2890</v>
      </c>
      <c r="DX29">
        <v>0.5</v>
      </c>
      <c r="DY29" t="s">
        <v>2891</v>
      </c>
      <c r="DZ29">
        <v>0.5</v>
      </c>
      <c r="EA29" t="s">
        <v>2892</v>
      </c>
      <c r="EB29">
        <v>0.5</v>
      </c>
      <c r="EC29" t="s">
        <v>2893</v>
      </c>
      <c r="ED29">
        <v>0.5</v>
      </c>
      <c r="EE29" t="s">
        <v>2894</v>
      </c>
      <c r="EF29">
        <v>0.5</v>
      </c>
      <c r="EG29" t="s">
        <v>2895</v>
      </c>
      <c r="EH29">
        <v>0.5</v>
      </c>
      <c r="EI29" t="s">
        <v>2896</v>
      </c>
      <c r="EJ29">
        <v>0.5</v>
      </c>
      <c r="EK29" t="s">
        <v>2897</v>
      </c>
      <c r="EL29">
        <v>0.5</v>
      </c>
      <c r="EM29" t="s">
        <v>2898</v>
      </c>
      <c r="EN29">
        <v>0.25</v>
      </c>
      <c r="EO29" t="s">
        <v>2899</v>
      </c>
      <c r="EP29">
        <v>0.5</v>
      </c>
      <c r="EQ29" t="s">
        <v>2900</v>
      </c>
      <c r="ER29">
        <v>0.5</v>
      </c>
      <c r="ES29" t="s">
        <v>2901</v>
      </c>
      <c r="ET29">
        <v>0.5</v>
      </c>
      <c r="EU29" t="s">
        <v>2902</v>
      </c>
      <c r="EV29">
        <v>0.5</v>
      </c>
      <c r="EW29" t="s">
        <v>2903</v>
      </c>
      <c r="EX29">
        <v>0.5</v>
      </c>
      <c r="EY29" t="s">
        <v>2904</v>
      </c>
      <c r="EZ29">
        <v>0.5</v>
      </c>
      <c r="FA29" t="s">
        <v>2905</v>
      </c>
      <c r="FB29">
        <v>0.5</v>
      </c>
      <c r="FC29" t="s">
        <v>2906</v>
      </c>
      <c r="FD29">
        <v>0.5</v>
      </c>
      <c r="FE29" t="s">
        <v>2907</v>
      </c>
      <c r="FF29">
        <v>0.5</v>
      </c>
      <c r="FG29" t="s">
        <v>2908</v>
      </c>
      <c r="FH29">
        <v>0.5</v>
      </c>
      <c r="FI29" t="s">
        <v>2909</v>
      </c>
      <c r="FJ29">
        <v>0.5</v>
      </c>
      <c r="FK29" t="s">
        <v>2910</v>
      </c>
      <c r="FL29">
        <v>0.5</v>
      </c>
      <c r="FM29" t="s">
        <v>2911</v>
      </c>
      <c r="FN29">
        <v>0.5</v>
      </c>
      <c r="FO29" t="s">
        <v>2912</v>
      </c>
      <c r="FP29">
        <v>0.25</v>
      </c>
      <c r="FQ29" t="s">
        <v>2913</v>
      </c>
      <c r="FR29">
        <v>0.25</v>
      </c>
      <c r="FS29" t="s">
        <v>2914</v>
      </c>
      <c r="FT29">
        <v>0.25</v>
      </c>
      <c r="FU29" t="s">
        <v>2915</v>
      </c>
      <c r="FV29">
        <v>0.5</v>
      </c>
      <c r="FW29" t="s">
        <v>2916</v>
      </c>
      <c r="FX29">
        <v>0.5</v>
      </c>
      <c r="FY29" t="s">
        <v>2917</v>
      </c>
      <c r="FZ29">
        <v>0.5</v>
      </c>
      <c r="GA29" t="s">
        <v>2918</v>
      </c>
      <c r="GB29">
        <v>0.25</v>
      </c>
      <c r="GC29" t="s">
        <v>2919</v>
      </c>
      <c r="GD29">
        <v>0.5</v>
      </c>
      <c r="GE29" t="s">
        <v>2920</v>
      </c>
      <c r="GF29">
        <v>0.5</v>
      </c>
      <c r="GG29" t="s">
        <v>2921</v>
      </c>
      <c r="GH29">
        <v>0.5</v>
      </c>
      <c r="GI29" t="s">
        <v>2922</v>
      </c>
      <c r="GJ29">
        <v>0.5</v>
      </c>
      <c r="GK29" t="s">
        <v>2923</v>
      </c>
      <c r="GL29">
        <v>0.5</v>
      </c>
      <c r="GM29" t="s">
        <v>2924</v>
      </c>
      <c r="GN29">
        <v>0.5</v>
      </c>
      <c r="GO29" t="s">
        <v>2925</v>
      </c>
      <c r="GP29">
        <v>0.5</v>
      </c>
      <c r="GQ29" t="s">
        <v>2926</v>
      </c>
      <c r="GR29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CA16-B157-4531-935D-FB6CD72167DB}">
  <dimension ref="A1:IV52"/>
  <sheetViews>
    <sheetView tabSelected="1" workbookViewId="0">
      <selection activeCell="GR29" sqref="A1:GR29"/>
    </sheetView>
  </sheetViews>
  <sheetFormatPr defaultRowHeight="15" x14ac:dyDescent="0.25"/>
  <cols>
    <col min="1" max="1" width="22.28515625" bestFit="1" customWidth="1"/>
    <col min="3" max="9" width="5" bestFit="1" customWidth="1"/>
  </cols>
  <sheetData>
    <row r="1" spans="1:200" x14ac:dyDescent="0.25">
      <c r="A1" t="str">
        <f>IF(master_raw!A1="","",master_raw!A1)</f>
        <v>A010-COG-X-BVM-Form</v>
      </c>
      <c r="B1">
        <f>IF(master_raw!B1="","",master_raw!B1)</f>
        <v>1</v>
      </c>
      <c r="C1" t="str">
        <f>IF(master_raw!C1="","",master_raw!C1)</f>
        <v>A011-COG-X-BVM-Form</v>
      </c>
      <c r="D1">
        <f>IF(master_raw!D1="","",master_raw!D1)</f>
        <v>1</v>
      </c>
      <c r="E1" t="str">
        <f>IF(master_raw!E1="","",master_raw!E1)</f>
        <v>A012-COG-X-BVM-Form</v>
      </c>
      <c r="F1">
        <f>IF(master_raw!F1="","",master_raw!F1)</f>
        <v>1</v>
      </c>
      <c r="G1" t="str">
        <f>IF(master_raw!G1="","",master_raw!G1)</f>
        <v>A013-COG-X-BVM-Form</v>
      </c>
      <c r="H1">
        <f>IF(master_raw!H1="","",master_raw!H1)</f>
        <v>1</v>
      </c>
      <c r="I1" t="str">
        <f>IF(master_raw!I1="","",master_raw!I1)</f>
        <v>A014-COG-X-BVM-Form</v>
      </c>
      <c r="J1">
        <f>IF(master_raw!J1="","",master_raw!J1)</f>
        <v>1</v>
      </c>
      <c r="K1" t="str">
        <f>IF(master_raw!K1="","",master_raw!K1)</f>
        <v>A015-COG-X-BVM-Form</v>
      </c>
      <c r="L1">
        <f>IF(master_raw!L1="","",master_raw!L1)</f>
        <v>1</v>
      </c>
      <c r="M1" t="str">
        <f>IF(master_raw!M1="","",master_raw!M1)</f>
        <v>A016-COG-X-BVM-Form</v>
      </c>
      <c r="N1">
        <f>IF(master_raw!N1="","",master_raw!N1)</f>
        <v>1</v>
      </c>
      <c r="O1" t="str">
        <f>IF(master_raw!O1="","",master_raw!O1)</f>
        <v>A017-COG-X-BVM-Form</v>
      </c>
      <c r="P1">
        <f>IF(master_raw!P1="","",master_raw!P1)</f>
        <v>1</v>
      </c>
      <c r="Q1" t="str">
        <f>IF(master_raw!Q1="","",master_raw!Q1)</f>
        <v>A018-COG-X-BVM-Form</v>
      </c>
      <c r="R1">
        <f>IF(master_raw!R1="","",master_raw!R1)</f>
        <v>1</v>
      </c>
      <c r="S1" t="str">
        <f>IF(master_raw!S1="","",master_raw!S1)</f>
        <v>A019-COG-X-BVM-Form</v>
      </c>
      <c r="T1">
        <f>IF(master_raw!T1="","",master_raw!T1)</f>
        <v>1</v>
      </c>
      <c r="U1" t="str">
        <f>IF(master_raw!U1="","",master_raw!U1)</f>
        <v>A020-COG-X-BVM-Form</v>
      </c>
      <c r="V1">
        <f>IF(master_raw!V1="","",master_raw!V1)</f>
        <v>1</v>
      </c>
      <c r="W1" t="str">
        <f>IF(master_raw!W1="","",master_raw!W1)</f>
        <v>A021-COG-X-BVM-Form</v>
      </c>
      <c r="X1">
        <f>IF(master_raw!X1="","",master_raw!X1)</f>
        <v>1</v>
      </c>
      <c r="Y1" t="str">
        <f>IF(master_raw!Y1="","",master_raw!Y1)</f>
        <v>A022-COG-X-BVM-Form</v>
      </c>
      <c r="Z1">
        <f>IF(master_raw!Z1="","",master_raw!Z1)</f>
        <v>1</v>
      </c>
      <c r="AA1" t="str">
        <f>IF(master_raw!AA1="","",master_raw!AA1)</f>
        <v>A023-COG-X-BVM-Form</v>
      </c>
      <c r="AB1">
        <f>IF(master_raw!AB1="","",master_raw!AB1)</f>
        <v>1</v>
      </c>
      <c r="AC1" t="str">
        <f>IF(master_raw!AC1="","",master_raw!AC1)</f>
        <v>A024-COG-X-BVM-Form</v>
      </c>
      <c r="AD1">
        <f>IF(master_raw!AD1="","",master_raw!AD1)</f>
        <v>1</v>
      </c>
      <c r="AE1" t="str">
        <f>IF(master_raw!AE1="","",master_raw!AE1)</f>
        <v>A025-COG-X-BVM-Form</v>
      </c>
      <c r="AF1">
        <f>IF(master_raw!AF1="","",master_raw!AF1)</f>
        <v>1</v>
      </c>
      <c r="AG1" t="str">
        <f>IF(master_raw!AG1="","",master_raw!AG1)</f>
        <v>A026-COG-X-BVM-Form</v>
      </c>
      <c r="AH1">
        <f>IF(master_raw!AH1="","",master_raw!AH1)</f>
        <v>1</v>
      </c>
      <c r="AI1" t="str">
        <f>IF(master_raw!AI1="","",master_raw!AI1)</f>
        <v>A027-COG-X-BVM-Form</v>
      </c>
      <c r="AJ1">
        <f>IF(master_raw!AJ1="","",master_raw!AJ1)</f>
        <v>1</v>
      </c>
      <c r="AK1" t="str">
        <f>IF(master_raw!AK1="","",master_raw!AK1)</f>
        <v>A028-COG-X-BVM-Form</v>
      </c>
      <c r="AL1">
        <f>IF(master_raw!AL1="","",master_raw!AL1)</f>
        <v>1</v>
      </c>
      <c r="AM1" t="str">
        <f>IF(master_raw!AM1="","",master_raw!AM1)</f>
        <v>A029-COG-X-BVM-Form</v>
      </c>
      <c r="AN1">
        <f>IF(master_raw!AN1="","",master_raw!AN1)</f>
        <v>1</v>
      </c>
      <c r="AO1" t="str">
        <f>IF(master_raw!AO1="","",master_raw!AO1)</f>
        <v>A030-COG-X-BVM-Form</v>
      </c>
      <c r="AP1">
        <f>IF(master_raw!AP1="","",master_raw!AP1)</f>
        <v>1</v>
      </c>
      <c r="AQ1" t="str">
        <f>IF(master_raw!AQ1="","",master_raw!AQ1)</f>
        <v>A031-COG-X-BVM-Form</v>
      </c>
      <c r="AR1">
        <f>IF(master_raw!AR1="","",master_raw!AR1)</f>
        <v>1</v>
      </c>
      <c r="AS1" t="str">
        <f>IF(master_raw!AS1="","",master_raw!AS1)</f>
        <v>A032-COG-X-BVM-Form</v>
      </c>
      <c r="AT1">
        <f>IF(master_raw!AT1="","",master_raw!AT1)</f>
        <v>1</v>
      </c>
      <c r="AU1" t="str">
        <f>IF(master_raw!AU1="","",master_raw!AU1)</f>
        <v>A033-COG-X-BVM-Form</v>
      </c>
      <c r="AV1">
        <f>IF(master_raw!AV1="","",master_raw!AV1)</f>
        <v>1</v>
      </c>
      <c r="AW1" t="str">
        <f>IF(master_raw!AW1="","",master_raw!AW1)</f>
        <v>A034-COG-X-BVM-Form</v>
      </c>
      <c r="AX1">
        <f>IF(master_raw!AX1="","",master_raw!AX1)</f>
        <v>1</v>
      </c>
      <c r="AY1" t="str">
        <f>IF(master_raw!AY1="","",master_raw!AY1)</f>
        <v>A035-COG-X-BVM-Form</v>
      </c>
      <c r="AZ1">
        <f>IF(master_raw!AZ1="","",master_raw!AZ1)</f>
        <v>1</v>
      </c>
      <c r="BA1" t="str">
        <f>IF(master_raw!BA1="","",master_raw!BA1)</f>
        <v>A036-COG-X-BVM-Form</v>
      </c>
      <c r="BB1">
        <f>IF(master_raw!BB1="","",master_raw!BB1)</f>
        <v>1</v>
      </c>
      <c r="BC1" t="str">
        <f>IF(master_raw!BC1="","",master_raw!BC1)</f>
        <v>A037-COG-X-BVM-Form</v>
      </c>
      <c r="BD1">
        <f>IF(master_raw!BD1="","",master_raw!BD1)</f>
        <v>1</v>
      </c>
      <c r="BE1" t="str">
        <f>IF(master_raw!BE1="","",master_raw!BE1)</f>
        <v>A038-COG-X-BVM-Form</v>
      </c>
      <c r="BF1">
        <f>IF(master_raw!BF1="","",master_raw!BF1)</f>
        <v>1</v>
      </c>
      <c r="BG1" t="str">
        <f>IF(master_raw!BG1="","",master_raw!BG1)</f>
        <v>A039-COG-X-BVM-Form</v>
      </c>
      <c r="BH1">
        <f>IF(master_raw!BH1="","",master_raw!BH1)</f>
        <v>1</v>
      </c>
      <c r="BI1" t="str">
        <f>IF(master_raw!BI1="","",master_raw!BI1)</f>
        <v>A040-COG-X-BVM-Form</v>
      </c>
      <c r="BJ1">
        <f>IF(master_raw!BJ1="","",master_raw!BJ1)</f>
        <v>1</v>
      </c>
      <c r="BK1" t="str">
        <f>IF(master_raw!BK1="","",master_raw!BK1)</f>
        <v>A041-COG-X-BVM-Form</v>
      </c>
      <c r="BL1">
        <f>IF(master_raw!BL1="","",master_raw!BL1)</f>
        <v>1</v>
      </c>
      <c r="BM1" t="str">
        <f>IF(master_raw!BM1="","",master_raw!BM1)</f>
        <v>A042-COG-X-BVM-Form</v>
      </c>
      <c r="BN1">
        <f>IF(master_raw!BN1="","",master_raw!BN1)</f>
        <v>1</v>
      </c>
      <c r="BO1" t="str">
        <f>IF(master_raw!BO1="","",master_raw!BO1)</f>
        <v>A043-COG-X-BVM-Form</v>
      </c>
      <c r="BP1">
        <f>IF(master_raw!BP1="","",master_raw!BP1)</f>
        <v>1</v>
      </c>
      <c r="BQ1" t="str">
        <f>IF(master_raw!BQ1="","",master_raw!BQ1)</f>
        <v>A044-COG-X-BVM-Form</v>
      </c>
      <c r="BR1">
        <f>IF(master_raw!BR1="","",master_raw!BR1)</f>
        <v>1</v>
      </c>
      <c r="BS1" t="str">
        <f>IF(master_raw!BS1="","",master_raw!BS1)</f>
        <v>A045-COG-X-BVM-Form</v>
      </c>
      <c r="BT1">
        <f>IF(master_raw!BT1="","",master_raw!BT1)</f>
        <v>1</v>
      </c>
      <c r="BU1" t="str">
        <f>IF(master_raw!BU1="","",master_raw!BU1)</f>
        <v>A046-COG-X-BVM-Form</v>
      </c>
      <c r="BV1">
        <f>IF(master_raw!BV1="","",master_raw!BV1)</f>
        <v>1</v>
      </c>
      <c r="BW1" t="str">
        <f>IF(master_raw!BW1="","",master_raw!BW1)</f>
        <v>A047-COG-X-BVM-Form</v>
      </c>
      <c r="BX1">
        <f>IF(master_raw!BX1="","",master_raw!BX1)</f>
        <v>1</v>
      </c>
      <c r="BY1" t="str">
        <f>IF(master_raw!BY1="","",master_raw!BY1)</f>
        <v>A048-COG-X-BVM-Form</v>
      </c>
      <c r="BZ1">
        <f>IF(master_raw!BZ1="","",master_raw!BZ1)</f>
        <v>1</v>
      </c>
      <c r="CA1" t="str">
        <f>IF(master_raw!CA1="","",master_raw!CA1)</f>
        <v>A049-COG-X-BVM-Form</v>
      </c>
      <c r="CB1">
        <f>IF(master_raw!CB1="","",master_raw!CB1)</f>
        <v>1</v>
      </c>
      <c r="CC1" t="str">
        <f>IF(master_raw!CC1="","",master_raw!CC1)</f>
        <v>A050-COG-X-BVM-Form</v>
      </c>
      <c r="CD1">
        <f>IF(master_raw!CD1="","",master_raw!CD1)</f>
        <v>1</v>
      </c>
      <c r="CE1" t="str">
        <f>IF(master_raw!CE1="","",master_raw!CE1)</f>
        <v>A051-COG-X-BVM-Form</v>
      </c>
      <c r="CF1">
        <f>IF(master_raw!CF1="","",master_raw!CF1)</f>
        <v>1</v>
      </c>
      <c r="CG1" t="str">
        <f>IF(master_raw!CG1="","",master_raw!CG1)</f>
        <v>A052-COG-X-BVM-Form</v>
      </c>
      <c r="CH1">
        <f>IF(master_raw!CH1="","",master_raw!CH1)</f>
        <v>1</v>
      </c>
      <c r="CI1" t="str">
        <f>IF(master_raw!CI1="","",master_raw!CI1)</f>
        <v>A053-COG-X-BVM-Form</v>
      </c>
      <c r="CJ1">
        <f>IF(master_raw!CJ1="","",master_raw!CJ1)</f>
        <v>1</v>
      </c>
      <c r="CK1" t="str">
        <f>IF(master_raw!CK1="","",master_raw!CK1)</f>
        <v>A054-COG-X-BVM-Form</v>
      </c>
      <c r="CL1">
        <f>IF(master_raw!CL1="","",master_raw!CL1)</f>
        <v>1</v>
      </c>
      <c r="CM1" t="str">
        <f>IF(master_raw!CM1="","",master_raw!CM1)</f>
        <v>A055-COG-X-BVM-Form</v>
      </c>
      <c r="CN1">
        <f>IF(master_raw!CN1="","",master_raw!CN1)</f>
        <v>1</v>
      </c>
      <c r="CO1" t="str">
        <f>IF(master_raw!CO1="","",master_raw!CO1)</f>
        <v>A056-COG-X-BVM-Form</v>
      </c>
      <c r="CP1">
        <f>IF(master_raw!CP1="","",master_raw!CP1)</f>
        <v>1</v>
      </c>
      <c r="CQ1" t="str">
        <f>IF(master_raw!CQ1="","",master_raw!CQ1)</f>
        <v>A057-COG-X-BVM-Form</v>
      </c>
      <c r="CR1">
        <f>IF(master_raw!CR1="","",master_raw!CR1)</f>
        <v>1</v>
      </c>
      <c r="CS1" t="str">
        <f>IF(master_raw!CS1="","",master_raw!CS1)</f>
        <v>A058-COG-X-BVM-Form</v>
      </c>
      <c r="CT1">
        <f>IF(master_raw!CT1="","",master_raw!CT1)</f>
        <v>1</v>
      </c>
      <c r="CU1" t="str">
        <f>IF(master_raw!CU1="","",master_raw!CU1)</f>
        <v>A059-COG-X-BVM-Form</v>
      </c>
      <c r="CV1">
        <f>IF(master_raw!CV1="","",master_raw!CV1)</f>
        <v>1</v>
      </c>
      <c r="CW1" t="str">
        <f>IF(master_raw!CW1="","",master_raw!CW1)</f>
        <v>A060-COG-X-BVM-Form</v>
      </c>
      <c r="CX1">
        <f>IF(master_raw!CX1="","",master_raw!CX1)</f>
        <v>1</v>
      </c>
      <c r="CY1" t="str">
        <f>IF(master_raw!CY1="","",master_raw!CY1)</f>
        <v>A061-COG-X-BVM-Form</v>
      </c>
      <c r="CZ1">
        <f>IF(master_raw!CZ1="","",master_raw!CZ1)</f>
        <v>1</v>
      </c>
      <c r="DA1" t="str">
        <f>IF(master_raw!DA1="","",master_raw!DA1)</f>
        <v>A062-COG-X-BVM-Form</v>
      </c>
      <c r="DB1">
        <f>IF(master_raw!DB1="","",master_raw!DB1)</f>
        <v>1</v>
      </c>
      <c r="DC1" t="str">
        <f>IF(master_raw!DC1="","",master_raw!DC1)</f>
        <v>A063-COG-X-BVM-Form</v>
      </c>
      <c r="DD1">
        <f>IF(master_raw!DD1="","",master_raw!DD1)</f>
        <v>1</v>
      </c>
      <c r="DE1" t="str">
        <f>IF(master_raw!DE1="","",master_raw!DE1)</f>
        <v>A064-COG-X-BVM-Form</v>
      </c>
      <c r="DF1">
        <f>IF(master_raw!DF1="","",master_raw!DF1)</f>
        <v>1</v>
      </c>
      <c r="DG1" t="str">
        <f>IF(master_raw!DG1="","",master_raw!DG1)</f>
        <v>A065-COG-X-BVM-Form</v>
      </c>
      <c r="DH1">
        <f>IF(master_raw!DH1="","",master_raw!DH1)</f>
        <v>1</v>
      </c>
      <c r="DI1" t="str">
        <f>IF(master_raw!DI1="","",master_raw!DI1)</f>
        <v>A066-COG-X-BVM-Form</v>
      </c>
      <c r="DJ1">
        <f>IF(master_raw!DJ1="","",master_raw!DJ1)</f>
        <v>1</v>
      </c>
      <c r="DK1" t="str">
        <f>IF(master_raw!DK1="","",master_raw!DK1)</f>
        <v>A067-COG-X-BVM-Form</v>
      </c>
      <c r="DL1">
        <f>IF(master_raw!DL1="","",master_raw!DL1)</f>
        <v>1</v>
      </c>
      <c r="DM1" t="str">
        <f>IF(master_raw!DM1="","",master_raw!DM1)</f>
        <v>A068-COG-X-BVM-Form</v>
      </c>
      <c r="DN1">
        <f>IF(master_raw!DN1="","",master_raw!DN1)</f>
        <v>1</v>
      </c>
      <c r="DO1" t="str">
        <f>IF(master_raw!DO1="","",master_raw!DO1)</f>
        <v>A069-COG-X-BVM-Form</v>
      </c>
      <c r="DP1">
        <f>IF(master_raw!DP1="","",master_raw!DP1)</f>
        <v>1</v>
      </c>
      <c r="DQ1" t="str">
        <f>IF(master_raw!DQ1="","",master_raw!DQ1)</f>
        <v>A070-COG-X-BVM-Form</v>
      </c>
      <c r="DR1">
        <f>IF(master_raw!DR1="","",master_raw!DR1)</f>
        <v>1</v>
      </c>
      <c r="DS1" t="str">
        <f>IF(master_raw!DS1="","",master_raw!DS1)</f>
        <v>A071-COG-X-BVM-Form</v>
      </c>
      <c r="DT1">
        <f>IF(master_raw!DT1="","",master_raw!DT1)</f>
        <v>1</v>
      </c>
      <c r="DU1" t="str">
        <f>IF(master_raw!DU1="","",master_raw!DU1)</f>
        <v>A072-COG-X-BVM-Form</v>
      </c>
      <c r="DV1">
        <f>IF(master_raw!DV1="","",master_raw!DV1)</f>
        <v>1</v>
      </c>
      <c r="DW1" t="str">
        <f>IF(master_raw!DW1="","",master_raw!DW1)</f>
        <v>A073-COG-X-BVM-Form</v>
      </c>
      <c r="DX1">
        <f>IF(master_raw!DX1="","",master_raw!DX1)</f>
        <v>1</v>
      </c>
      <c r="DY1" t="str">
        <f>IF(master_raw!DY1="","",master_raw!DY1)</f>
        <v>A074-COG-X-BVM-Form</v>
      </c>
      <c r="DZ1">
        <f>IF(master_raw!DZ1="","",master_raw!DZ1)</f>
        <v>1</v>
      </c>
      <c r="EA1" t="str">
        <f>IF(master_raw!EA1="","",master_raw!EA1)</f>
        <v>A075-COG-X-BVM-Form</v>
      </c>
      <c r="EB1">
        <f>IF(master_raw!EB1="","",master_raw!EB1)</f>
        <v>1</v>
      </c>
      <c r="EC1" t="str">
        <f>IF(master_raw!EC1="","",master_raw!EC1)</f>
        <v>A076-COG-X-BVM-Form</v>
      </c>
      <c r="ED1">
        <f>IF(master_raw!ED1="","",master_raw!ED1)</f>
        <v>1</v>
      </c>
      <c r="EE1" t="str">
        <f>IF(master_raw!EE1="","",master_raw!EE1)</f>
        <v>A077-COG-X-BVM-Form</v>
      </c>
      <c r="EF1">
        <f>IF(master_raw!EF1="","",master_raw!EF1)</f>
        <v>1</v>
      </c>
      <c r="EG1" t="str">
        <f>IF(master_raw!EG1="","",master_raw!EG1)</f>
        <v>A078-COG-X-BVM-Form</v>
      </c>
      <c r="EH1">
        <f>IF(master_raw!EH1="","",master_raw!EH1)</f>
        <v>1</v>
      </c>
      <c r="EI1" t="str">
        <f>IF(master_raw!EI1="","",master_raw!EI1)</f>
        <v>A079-COG-X-BVM-Form</v>
      </c>
      <c r="EJ1">
        <f>IF(master_raw!EJ1="","",master_raw!EJ1)</f>
        <v>1</v>
      </c>
      <c r="EK1" t="str">
        <f>IF(master_raw!EK1="","",master_raw!EK1)</f>
        <v>A080-COG-X-BVM-Form</v>
      </c>
      <c r="EL1">
        <f>IF(master_raw!EL1="","",master_raw!EL1)</f>
        <v>1</v>
      </c>
      <c r="EM1" t="str">
        <f>IF(master_raw!EM1="","",master_raw!EM1)</f>
        <v>A081-COG-X-BVM-Form</v>
      </c>
      <c r="EN1">
        <f>IF(master_raw!EN1="","",master_raw!EN1)</f>
        <v>1</v>
      </c>
      <c r="EO1" t="str">
        <f>IF(master_raw!EO1="","",master_raw!EO1)</f>
        <v>A082-COG-X-BVM-Form</v>
      </c>
      <c r="EP1">
        <f>IF(master_raw!EP1="","",master_raw!EP1)</f>
        <v>1</v>
      </c>
      <c r="EQ1" t="str">
        <f>IF(master_raw!EQ1="","",master_raw!EQ1)</f>
        <v>A083-COG-X-BVM-Form</v>
      </c>
      <c r="ER1">
        <f>IF(master_raw!ER1="","",master_raw!ER1)</f>
        <v>1</v>
      </c>
      <c r="ES1" t="str">
        <f>IF(master_raw!ES1="","",master_raw!ES1)</f>
        <v>A084-COG-X-BVM-Form</v>
      </c>
      <c r="ET1">
        <f>IF(master_raw!ET1="","",master_raw!ET1)</f>
        <v>1</v>
      </c>
      <c r="EU1" t="str">
        <f>IF(master_raw!EU1="","",master_raw!EU1)</f>
        <v>A085-COG-X-BVM-Form</v>
      </c>
      <c r="EV1">
        <f>IF(master_raw!EV1="","",master_raw!EV1)</f>
        <v>1</v>
      </c>
      <c r="EW1" t="str">
        <f>IF(master_raw!EW1="","",master_raw!EW1)</f>
        <v>A086-COG-X-BVM-Form</v>
      </c>
      <c r="EX1">
        <f>IF(master_raw!EX1="","",master_raw!EX1)</f>
        <v>1</v>
      </c>
      <c r="EY1" t="str">
        <f>IF(master_raw!EY1="","",master_raw!EY1)</f>
        <v>A087-COG-X-BVM-Form</v>
      </c>
      <c r="EZ1">
        <f>IF(master_raw!EZ1="","",master_raw!EZ1)</f>
        <v>1</v>
      </c>
      <c r="FA1" t="str">
        <f>IF(master_raw!FA1="","",master_raw!FA1)</f>
        <v>A088-COG-X-BVM-Form</v>
      </c>
      <c r="FB1">
        <f>IF(master_raw!FB1="","",master_raw!FB1)</f>
        <v>1</v>
      </c>
      <c r="FC1" t="str">
        <f>IF(master_raw!FC1="","",master_raw!FC1)</f>
        <v>A089-COG-X-BVM-Form</v>
      </c>
      <c r="FD1">
        <f>IF(master_raw!FD1="","",master_raw!FD1)</f>
        <v>1</v>
      </c>
      <c r="FE1" t="str">
        <f>IF(master_raw!FE1="","",master_raw!FE1)</f>
        <v>A090-COG-X-BVM-Form</v>
      </c>
      <c r="FF1">
        <f>IF(master_raw!FF1="","",master_raw!FF1)</f>
        <v>1</v>
      </c>
      <c r="FG1" t="str">
        <f>IF(master_raw!FG1="","",master_raw!FG1)</f>
        <v>A091-COG-X-BVM-Form</v>
      </c>
      <c r="FH1">
        <f>IF(master_raw!FH1="","",master_raw!FH1)</f>
        <v>1</v>
      </c>
      <c r="FI1" t="str">
        <f>IF(master_raw!FI1="","",master_raw!FI1)</f>
        <v>A092-COG-X-BVM-Form</v>
      </c>
      <c r="FJ1">
        <f>IF(master_raw!FJ1="","",master_raw!FJ1)</f>
        <v>1</v>
      </c>
      <c r="FK1" t="str">
        <f>IF(master_raw!FK1="","",master_raw!FK1)</f>
        <v>A093-COG-X-BVM-Form</v>
      </c>
      <c r="FL1">
        <f>IF(master_raw!FL1="","",master_raw!FL1)</f>
        <v>1</v>
      </c>
      <c r="FM1" t="str">
        <f>IF(master_raw!FM1="","",master_raw!FM1)</f>
        <v>A094-COG-X-BVM-Form</v>
      </c>
      <c r="FN1">
        <f>IF(master_raw!FN1="","",master_raw!FN1)</f>
        <v>1</v>
      </c>
      <c r="FO1" t="str">
        <f>IF(master_raw!FO1="","",master_raw!FO1)</f>
        <v>A095-COG-X-BVM-Form</v>
      </c>
      <c r="FP1">
        <f>IF(master_raw!FP1="","",master_raw!FP1)</f>
        <v>1</v>
      </c>
      <c r="FQ1" t="str">
        <f>IF(master_raw!FQ1="","",master_raw!FQ1)</f>
        <v>A096-COG-X-BVM-Form</v>
      </c>
      <c r="FR1">
        <f>IF(master_raw!FR1="","",master_raw!FR1)</f>
        <v>1</v>
      </c>
      <c r="FS1" t="str">
        <f>IF(master_raw!FS1="","",master_raw!FS1)</f>
        <v>A097-COG-X-BVM-Form</v>
      </c>
      <c r="FT1">
        <f>IF(master_raw!FT1="","",master_raw!FT1)</f>
        <v>1</v>
      </c>
      <c r="FU1" t="str">
        <f>IF(master_raw!FU1="","",master_raw!FU1)</f>
        <v>A098-COG-X-BVM-Form</v>
      </c>
      <c r="FV1">
        <f>IF(master_raw!FV1="","",master_raw!FV1)</f>
        <v>1</v>
      </c>
      <c r="FW1" t="str">
        <f>IF(master_raw!FW1="","",master_raw!FW1)</f>
        <v>A099-COG-X-BVM-Form</v>
      </c>
      <c r="FX1">
        <f>IF(master_raw!FX1="","",master_raw!FX1)</f>
        <v>1</v>
      </c>
      <c r="FY1" t="str">
        <f>IF(master_raw!FY1="","",master_raw!FY1)</f>
        <v>A100-COG-X-BVM-Form</v>
      </c>
      <c r="FZ1">
        <f>IF(master_raw!FZ1="","",master_raw!FZ1)</f>
        <v>1</v>
      </c>
      <c r="GA1" t="str">
        <f>IF(master_raw!GA1="","",master_raw!GA1)</f>
        <v>A101-COG-X-BVM-Form</v>
      </c>
      <c r="GB1">
        <f>IF(master_raw!GB1="","",master_raw!GB1)</f>
        <v>1</v>
      </c>
      <c r="GC1" t="str">
        <f>IF(master_raw!GC1="","",master_raw!GC1)</f>
        <v>A102-COG-X-BVM-Form</v>
      </c>
      <c r="GD1">
        <f>IF(master_raw!GD1="","",master_raw!GD1)</f>
        <v>1</v>
      </c>
      <c r="GE1" t="str">
        <f>IF(master_raw!GE1="","",master_raw!GE1)</f>
        <v>A103-COG-X-BVM-Form</v>
      </c>
      <c r="GF1">
        <f>IF(master_raw!GF1="","",master_raw!GF1)</f>
        <v>1</v>
      </c>
      <c r="GG1" t="str">
        <f>IF(master_raw!GG1="","",master_raw!GG1)</f>
        <v>A104-COG-X-BVM-Form</v>
      </c>
      <c r="GH1">
        <f>IF(master_raw!GH1="","",master_raw!GH1)</f>
        <v>1</v>
      </c>
      <c r="GI1" t="str">
        <f>IF(master_raw!GI1="","",master_raw!GI1)</f>
        <v>A105-COG-X-BVM-Form</v>
      </c>
      <c r="GJ1">
        <f>IF(master_raw!GJ1="","",master_raw!GJ1)</f>
        <v>1</v>
      </c>
      <c r="GK1" t="str">
        <f>IF(master_raw!GK1="","",master_raw!GK1)</f>
        <v>A106-COG-X-BVM-Form</v>
      </c>
      <c r="GL1">
        <f>IF(master_raw!GL1="","",master_raw!GL1)</f>
        <v>1</v>
      </c>
      <c r="GM1" t="str">
        <f>IF(master_raw!GM1="","",master_raw!GM1)</f>
        <v>A107-COG-X-BVM-Form</v>
      </c>
      <c r="GN1">
        <f>IF(master_raw!GN1="","",master_raw!GN1)</f>
        <v>1</v>
      </c>
      <c r="GO1" t="str">
        <f>IF(master_raw!GO1="","",master_raw!GO1)</f>
        <v>A108-COG-X-BVM-Form</v>
      </c>
      <c r="GP1">
        <f>IF(master_raw!GP1="","",master_raw!GP1)</f>
        <v>1</v>
      </c>
      <c r="GQ1" t="str">
        <f>IF(master_raw!GQ1="","",master_raw!GQ1)</f>
        <v>A109-COG-X-BVM-Form</v>
      </c>
      <c r="GR1">
        <f>IF(master_raw!GR1="","",master_raw!GR1)</f>
        <v>1</v>
      </c>
    </row>
    <row r="2" spans="1:200" x14ac:dyDescent="0.25">
      <c r="A2" t="str">
        <f>IF(master_raw!A2="","",master_raw!A2)</f>
        <v>A010-COG-X-BVM-T1Ti</v>
      </c>
      <c r="B2">
        <f>IF(master_raw!B2="","",master_raw!B2)</f>
        <v>76</v>
      </c>
      <c r="C2" t="str">
        <f>IF(master_raw!C2="","",master_raw!C2)</f>
        <v>A011-COG-X-BVM-T1Ti</v>
      </c>
      <c r="D2" t="str">
        <f>IF(master_raw!D2="","",master_raw!D2)</f>
        <v/>
      </c>
      <c r="E2" t="str">
        <f>IF(master_raw!E2="","",master_raw!E2)</f>
        <v>A012-COG-X-BVM-T1Ti</v>
      </c>
      <c r="F2" t="str">
        <f>IF(master_raw!F2="","",master_raw!F2)</f>
        <v/>
      </c>
      <c r="G2" t="str">
        <f>IF(master_raw!G2="","",master_raw!G2)</f>
        <v>A013-COG-X-BVM-T1Ti</v>
      </c>
      <c r="H2">
        <f>IF(master_raw!H2="","",master_raw!H2)</f>
        <v>41</v>
      </c>
      <c r="I2" t="str">
        <f>IF(master_raw!I2="","",master_raw!I2)</f>
        <v>A014-COG-X-BVM-T1Ti</v>
      </c>
      <c r="J2">
        <f>IF(master_raw!J2="","",master_raw!J2)</f>
        <v>26</v>
      </c>
      <c r="K2" t="str">
        <f>IF(master_raw!K2="","",master_raw!K2)</f>
        <v>A015-COG-X-BVM-T1Ti</v>
      </c>
      <c r="L2">
        <f>IF(master_raw!L2="","",master_raw!L2)</f>
        <v>28</v>
      </c>
      <c r="M2" t="str">
        <f>IF(master_raw!M2="","",master_raw!M2)</f>
        <v>A016-COG-X-BVM-T1Ti</v>
      </c>
      <c r="N2">
        <f>IF(master_raw!N2="","",master_raw!N2)</f>
        <v>24</v>
      </c>
      <c r="O2" t="str">
        <f>IF(master_raw!O2="","",master_raw!O2)</f>
        <v>A017-COG-X-BVM-T1Ti</v>
      </c>
      <c r="P2">
        <f>IF(master_raw!P2="","",master_raw!P2)</f>
        <v>20</v>
      </c>
      <c r="Q2" t="str">
        <f>IF(master_raw!Q2="","",master_raw!Q2)</f>
        <v>A018-COG-X-BVM-T1Ti</v>
      </c>
      <c r="R2">
        <f>IF(master_raw!R2="","",master_raw!R2)</f>
        <v>47</v>
      </c>
      <c r="S2" t="str">
        <f>IF(master_raw!S2="","",master_raw!S2)</f>
        <v>A019-COG-X-BVM-T1Ti</v>
      </c>
      <c r="T2">
        <f>IF(master_raw!T2="","",master_raw!T2)</f>
        <v>36</v>
      </c>
      <c r="U2" t="str">
        <f>IF(master_raw!U2="","",master_raw!U2)</f>
        <v>A020-COG-X-BVM-T1Ti</v>
      </c>
      <c r="V2">
        <f>IF(master_raw!V2="","",master_raw!V2)</f>
        <v>45</v>
      </c>
      <c r="W2" t="str">
        <f>IF(master_raw!W2="","",master_raw!W2)</f>
        <v>A021-COG-X-BVM-T1Ti</v>
      </c>
      <c r="X2">
        <f>IF(master_raw!X2="","",master_raw!X2)</f>
        <v>23</v>
      </c>
      <c r="Y2" t="str">
        <f>IF(master_raw!Y2="","",master_raw!Y2)</f>
        <v>A022-COG-X-BVM-T1Ti</v>
      </c>
      <c r="Z2">
        <f>IF(master_raw!Z2="","",master_raw!Z2)</f>
        <v>36</v>
      </c>
      <c r="AA2" t="str">
        <f>IF(master_raw!AA2="","",master_raw!AA2)</f>
        <v>A023-COG-X-BVM-T1Ti</v>
      </c>
      <c r="AB2">
        <f>IF(master_raw!AB2="","",master_raw!AB2)</f>
        <v>45</v>
      </c>
      <c r="AC2" t="str">
        <f>IF(master_raw!AC2="","",master_raw!AC2)</f>
        <v>A024-COG-X-BVM-T1Ti</v>
      </c>
      <c r="AD2">
        <f>IF(master_raw!AD2="","",master_raw!AD2)</f>
        <v>139</v>
      </c>
      <c r="AE2" t="str">
        <f>IF(master_raw!AE2="","",master_raw!AE2)</f>
        <v>A025-COG-X-BVM-T1Ti</v>
      </c>
      <c r="AF2">
        <f>IF(master_raw!AF2="","",master_raw!AF2)</f>
        <v>35</v>
      </c>
      <c r="AG2" t="str">
        <f>IF(master_raw!AG2="","",master_raw!AG2)</f>
        <v>A026-COG-X-BVM-T1Ti</v>
      </c>
      <c r="AH2">
        <f>IF(master_raw!AH2="","",master_raw!AH2)</f>
        <v>47</v>
      </c>
      <c r="AI2" t="str">
        <f>IF(master_raw!AI2="","",master_raw!AI2)</f>
        <v>A027-COG-X-BVM-T1Ti</v>
      </c>
      <c r="AJ2">
        <f>IF(master_raw!AJ2="","",master_raw!AJ2)</f>
        <v>34</v>
      </c>
      <c r="AK2" t="str">
        <f>IF(master_raw!AK2="","",master_raw!AK2)</f>
        <v>A028-COG-X-BVM-T1Ti</v>
      </c>
      <c r="AL2">
        <f>IF(master_raw!AL2="","",master_raw!AL2)</f>
        <v>16</v>
      </c>
      <c r="AM2" t="str">
        <f>IF(master_raw!AM2="","",master_raw!AM2)</f>
        <v>A029-COG-X-BVM-T1Ti</v>
      </c>
      <c r="AN2">
        <f>IF(master_raw!AN2="","",master_raw!AN2)</f>
        <v>22</v>
      </c>
      <c r="AO2" t="str">
        <f>IF(master_raw!AO2="","",master_raw!AO2)</f>
        <v>A030-COG-X-BVM-T1Ti</v>
      </c>
      <c r="AP2">
        <f>IF(master_raw!AP2="","",master_raw!AP2)</f>
        <v>31</v>
      </c>
      <c r="AQ2" t="str">
        <f>IF(master_raw!AQ2="","",master_raw!AQ2)</f>
        <v>A031-COG-X-BVM-T1Ti</v>
      </c>
      <c r="AR2">
        <f>IF(master_raw!AR2="","",master_raw!AR2)</f>
        <v>50</v>
      </c>
      <c r="AS2" t="str">
        <f>IF(master_raw!AS2="","",master_raw!AS2)</f>
        <v>A032-COG-X-BVM-T1Ti</v>
      </c>
      <c r="AT2">
        <f>IF(master_raw!AT2="","",master_raw!AT2)</f>
        <v>61</v>
      </c>
      <c r="AU2" t="str">
        <f>IF(master_raw!AU2="","",master_raw!AU2)</f>
        <v>A033-COG-X-BVM-T1Ti</v>
      </c>
      <c r="AV2">
        <f>IF(master_raw!AV2="","",master_raw!AV2)</f>
        <v>47</v>
      </c>
      <c r="AW2" t="str">
        <f>IF(master_raw!AW2="","",master_raw!AW2)</f>
        <v>A034-COG-X-BVM-T1Ti</v>
      </c>
      <c r="AX2">
        <f>IF(master_raw!AX2="","",master_raw!AX2)</f>
        <v>39</v>
      </c>
      <c r="AY2" t="str">
        <f>IF(master_raw!AY2="","",master_raw!AY2)</f>
        <v>A035-COG-X-BVM-T1Ti</v>
      </c>
      <c r="AZ2">
        <f>IF(master_raw!AZ2="","",master_raw!AZ2)</f>
        <v>45</v>
      </c>
      <c r="BA2" t="str">
        <f>IF(master_raw!BA2="","",master_raw!BA2)</f>
        <v>A036-COG-X-BVM-T1Ti</v>
      </c>
      <c r="BB2">
        <f>IF(master_raw!BB2="","",master_raw!BB2)</f>
        <v>44</v>
      </c>
      <c r="BC2" t="str">
        <f>IF(master_raw!BC2="","",master_raw!BC2)</f>
        <v>A037-COG-X-BVM-T1Ti</v>
      </c>
      <c r="BD2">
        <f>IF(master_raw!BD2="","",master_raw!BD2)</f>
        <v>25</v>
      </c>
      <c r="BE2" t="str">
        <f>IF(master_raw!BE2="","",master_raw!BE2)</f>
        <v>A038-COG-X-BVM-T1Ti</v>
      </c>
      <c r="BF2">
        <f>IF(master_raw!BF2="","",master_raw!BF2)</f>
        <v>16</v>
      </c>
      <c r="BG2" t="str">
        <f>IF(master_raw!BG2="","",master_raw!BG2)</f>
        <v>A039-COG-X-BVM-T1Ti</v>
      </c>
      <c r="BH2">
        <f>IF(master_raw!BH2="","",master_raw!BH2)</f>
        <v>62</v>
      </c>
      <c r="BI2" t="str">
        <f>IF(master_raw!BI2="","",master_raw!BI2)</f>
        <v>A040-COG-X-BVM-T1Ti</v>
      </c>
      <c r="BJ2">
        <f>IF(master_raw!BJ2="","",master_raw!BJ2)</f>
        <v>24</v>
      </c>
      <c r="BK2" t="str">
        <f>IF(master_raw!BK2="","",master_raw!BK2)</f>
        <v>A041-COG-X-BVM-T1Ti</v>
      </c>
      <c r="BL2">
        <f>IF(master_raw!BL2="","",master_raw!BL2)</f>
        <v>33</v>
      </c>
      <c r="BM2" t="str">
        <f>IF(master_raw!BM2="","",master_raw!BM2)</f>
        <v>A042-COG-X-BVM-T1Ti</v>
      </c>
      <c r="BN2">
        <f>IF(master_raw!BN2="","",master_raw!BN2)</f>
        <v>19</v>
      </c>
      <c r="BO2" t="str">
        <f>IF(master_raw!BO2="","",master_raw!BO2)</f>
        <v>A043-COG-X-BVM-T1Ti</v>
      </c>
      <c r="BP2">
        <f>IF(master_raw!BP2="","",master_raw!BP2)</f>
        <v>60</v>
      </c>
      <c r="BQ2" t="str">
        <f>IF(master_raw!BQ2="","",master_raw!BQ2)</f>
        <v>A044-COG-X-BVM-T1Ti</v>
      </c>
      <c r="BR2">
        <f>IF(master_raw!BR2="","",master_raw!BR2)</f>
        <v>40</v>
      </c>
      <c r="BS2" t="str">
        <f>IF(master_raw!BS2="","",master_raw!BS2)</f>
        <v>A045-COG-X-BVM-T1Ti</v>
      </c>
      <c r="BT2">
        <f>IF(master_raw!BT2="","",master_raw!BT2)</f>
        <v>58</v>
      </c>
      <c r="BU2" t="str">
        <f>IF(master_raw!BU2="","",master_raw!BU2)</f>
        <v>A046-COG-X-BVM-T1Ti</v>
      </c>
      <c r="BV2">
        <f>IF(master_raw!BV2="","",master_raw!BV2)</f>
        <v>40</v>
      </c>
      <c r="BW2" t="str">
        <f>IF(master_raw!BW2="","",master_raw!BW2)</f>
        <v>A047-COG-X-BVM-T1Ti</v>
      </c>
      <c r="BX2">
        <f>IF(master_raw!BX2="","",master_raw!BX2)</f>
        <v>33</v>
      </c>
      <c r="BY2" t="str">
        <f>IF(master_raw!BY2="","",master_raw!BY2)</f>
        <v>A048-COG-X-BVM-T1Ti</v>
      </c>
      <c r="BZ2">
        <f>IF(master_raw!BZ2="","",master_raw!BZ2)</f>
        <v>32</v>
      </c>
      <c r="CA2" t="str">
        <f>IF(master_raw!CA2="","",master_raw!CA2)</f>
        <v>A049-COG-X-BVM-T1Ti</v>
      </c>
      <c r="CB2">
        <f>IF(master_raw!CB2="","",master_raw!CB2)</f>
        <v>32</v>
      </c>
      <c r="CC2" t="str">
        <f>IF(master_raw!CC2="","",master_raw!CC2)</f>
        <v>A050-COG-X-BVM-T1Ti</v>
      </c>
      <c r="CD2">
        <f>IF(master_raw!CD2="","",master_raw!CD2)</f>
        <v>48</v>
      </c>
      <c r="CE2" t="str">
        <f>IF(master_raw!CE2="","",master_raw!CE2)</f>
        <v>A051-COG-X-BVM-T1Ti</v>
      </c>
      <c r="CF2">
        <f>IF(master_raw!CF2="","",master_raw!CF2)</f>
        <v>27</v>
      </c>
      <c r="CG2" t="str">
        <f>IF(master_raw!CG2="","",master_raw!CG2)</f>
        <v>A052-COG-X-BVM-T1Ti</v>
      </c>
      <c r="CH2">
        <f>IF(master_raw!CH2="","",master_raw!CH2)</f>
        <v>47</v>
      </c>
      <c r="CI2" t="str">
        <f>IF(master_raw!CI2="","",master_raw!CI2)</f>
        <v>A053-COG-X-BVM-T1Ti</v>
      </c>
      <c r="CJ2">
        <f>IF(master_raw!CJ2="","",master_raw!CJ2)</f>
        <v>45</v>
      </c>
      <c r="CK2" t="str">
        <f>IF(master_raw!CK2="","",master_raw!CK2)</f>
        <v>A054-COG-X-BVM-T1Ti</v>
      </c>
      <c r="CL2">
        <f>IF(master_raw!CL2="","",master_raw!CL2)</f>
        <v>48</v>
      </c>
      <c r="CM2" t="str">
        <f>IF(master_raw!CM2="","",master_raw!CM2)</f>
        <v>A055-COG-X-BVM-T1Ti</v>
      </c>
      <c r="CN2">
        <f>IF(master_raw!CN2="","",master_raw!CN2)</f>
        <v>34</v>
      </c>
      <c r="CO2" t="str">
        <f>IF(master_raw!CO2="","",master_raw!CO2)</f>
        <v>A056-COG-X-BVM-T1Ti</v>
      </c>
      <c r="CP2">
        <f>IF(master_raw!CP2="","",master_raw!CP2)</f>
        <v>23</v>
      </c>
      <c r="CQ2" t="str">
        <f>IF(master_raw!CQ2="","",master_raw!CQ2)</f>
        <v>A057-COG-X-BVM-T1Ti</v>
      </c>
      <c r="CR2">
        <f>IF(master_raw!CR2="","",master_raw!CR2)</f>
        <v>43</v>
      </c>
      <c r="CS2" t="str">
        <f>IF(master_raw!CS2="","",master_raw!CS2)</f>
        <v>A058-COG-X-BVM-T1Ti</v>
      </c>
      <c r="CT2">
        <f>IF(master_raw!CT2="","",master_raw!CT2)</f>
        <v>35</v>
      </c>
      <c r="CU2" t="str">
        <f>IF(master_raw!CU2="","",master_raw!CU2)</f>
        <v>A059-COG-X-BVM-T1Ti</v>
      </c>
      <c r="CV2">
        <f>IF(master_raw!CV2="","",master_raw!CV2)</f>
        <v>61</v>
      </c>
      <c r="CW2" t="str">
        <f>IF(master_raw!CW2="","",master_raw!CW2)</f>
        <v>A060-COG-X-BVM-T1Ti</v>
      </c>
      <c r="CX2">
        <f>IF(master_raw!CX2="","",master_raw!CX2)</f>
        <v>65</v>
      </c>
      <c r="CY2" t="str">
        <f>IF(master_raw!CY2="","",master_raw!CY2)</f>
        <v>A061-COG-X-BVM-T1Ti</v>
      </c>
      <c r="CZ2">
        <f>IF(master_raw!CZ2="","",master_raw!CZ2)</f>
        <v>54</v>
      </c>
      <c r="DA2" t="str">
        <f>IF(master_raw!DA2="","",master_raw!DA2)</f>
        <v>A062-COG-X-BVM-T1Ti</v>
      </c>
      <c r="DB2">
        <f>IF(master_raw!DB2="","",master_raw!DB2)</f>
        <v>52</v>
      </c>
      <c r="DC2" t="str">
        <f>IF(master_raw!DC2="","",master_raw!DC2)</f>
        <v>A063-COG-X-BVM-T1Ti</v>
      </c>
      <c r="DD2">
        <f>IF(master_raw!DD2="","",master_raw!DD2)</f>
        <v>50</v>
      </c>
      <c r="DE2" t="str">
        <f>IF(master_raw!DE2="","",master_raw!DE2)</f>
        <v>A064-COG-X-BVM-T1Ti</v>
      </c>
      <c r="DF2">
        <f>IF(master_raw!DF2="","",master_raw!DF2)</f>
        <v>34</v>
      </c>
      <c r="DG2" t="str">
        <f>IF(master_raw!DG2="","",master_raw!DG2)</f>
        <v>A065-COG-X-BVM-T1Ti</v>
      </c>
      <c r="DH2">
        <f>IF(master_raw!DH2="","",master_raw!DH2)</f>
        <v>42</v>
      </c>
      <c r="DI2" t="str">
        <f>IF(master_raw!DI2="","",master_raw!DI2)</f>
        <v>A066-COG-X-BVM-T1Ti</v>
      </c>
      <c r="DJ2">
        <f>IF(master_raw!DJ2="","",master_raw!DJ2)</f>
        <v>34</v>
      </c>
      <c r="DK2" t="str">
        <f>IF(master_raw!DK2="","",master_raw!DK2)</f>
        <v>A067-COG-X-BVM-T1Ti</v>
      </c>
      <c r="DL2">
        <f>IF(master_raw!DL2="","",master_raw!DL2)</f>
        <v>39</v>
      </c>
      <c r="DM2" t="str">
        <f>IF(master_raw!DM2="","",master_raw!DM2)</f>
        <v>A068-COG-X-BVM-T1Ti</v>
      </c>
      <c r="DN2">
        <f>IF(master_raw!DN2="","",master_raw!DN2)</f>
        <v>22</v>
      </c>
      <c r="DO2" t="str">
        <f>IF(master_raw!DO2="","",master_raw!DO2)</f>
        <v>A069-COG-X-BVM-T1Ti</v>
      </c>
      <c r="DP2">
        <f>IF(master_raw!DP2="","",master_raw!DP2)</f>
        <v>32</v>
      </c>
      <c r="DQ2" t="str">
        <f>IF(master_raw!DQ2="","",master_raw!DQ2)</f>
        <v>A070-COG-X-BVM-T1Ti</v>
      </c>
      <c r="DR2">
        <f>IF(master_raw!DR2="","",master_raw!DR2)</f>
        <v>37</v>
      </c>
      <c r="DS2" t="str">
        <f>IF(master_raw!DS2="","",master_raw!DS2)</f>
        <v>A071-COG-X-BVM-T1Ti</v>
      </c>
      <c r="DT2" t="str">
        <f>IF(master_raw!DT2="","",master_raw!DT2)</f>
        <v/>
      </c>
      <c r="DU2" t="str">
        <f>IF(master_raw!DU2="","",master_raw!DU2)</f>
        <v>A072-COG-X-BVM-T1Ti</v>
      </c>
      <c r="DV2">
        <f>IF(master_raw!DV2="","",master_raw!DV2)</f>
        <v>32</v>
      </c>
      <c r="DW2" t="str">
        <f>IF(master_raw!DW2="","",master_raw!DW2)</f>
        <v>A073-COG-X-BVM-T1Ti</v>
      </c>
      <c r="DX2">
        <f>IF(master_raw!DX2="","",master_raw!DX2)</f>
        <v>25</v>
      </c>
      <c r="DY2" t="str">
        <f>IF(master_raw!DY2="","",master_raw!DY2)</f>
        <v>A074-COG-X-BVM-T1Ti</v>
      </c>
      <c r="DZ2">
        <f>IF(master_raw!DZ2="","",master_raw!DZ2)</f>
        <v>36</v>
      </c>
      <c r="EA2" t="str">
        <f>IF(master_raw!EA2="","",master_raw!EA2)</f>
        <v>A075-COG-X-BVM-T1Ti</v>
      </c>
      <c r="EB2">
        <f>IF(master_raw!EB2="","",master_raw!EB2)</f>
        <v>32</v>
      </c>
      <c r="EC2" t="str">
        <f>IF(master_raw!EC2="","",master_raw!EC2)</f>
        <v>A076-COG-X-BVM-T1Ti</v>
      </c>
      <c r="ED2">
        <f>IF(master_raw!ED2="","",master_raw!ED2)</f>
        <v>40</v>
      </c>
      <c r="EE2" t="str">
        <f>IF(master_raw!EE2="","",master_raw!EE2)</f>
        <v>A077-COG-X-BVM-T1Ti</v>
      </c>
      <c r="EF2">
        <f>IF(master_raw!EF2="","",master_raw!EF2)</f>
        <v>46</v>
      </c>
      <c r="EG2" t="str">
        <f>IF(master_raw!EG2="","",master_raw!EG2)</f>
        <v>A078-COG-X-BVM-T1Ti</v>
      </c>
      <c r="EH2">
        <f>IF(master_raw!EH2="","",master_raw!EH2)</f>
        <v>40</v>
      </c>
      <c r="EI2" t="str">
        <f>IF(master_raw!EI2="","",master_raw!EI2)</f>
        <v>A079-COG-X-BVM-T1Ti</v>
      </c>
      <c r="EJ2">
        <f>IF(master_raw!EJ2="","",master_raw!EJ2)</f>
        <v>71</v>
      </c>
      <c r="EK2" t="str">
        <f>IF(master_raw!EK2="","",master_raw!EK2)</f>
        <v>A080-COG-X-BVM-T1Ti</v>
      </c>
      <c r="EL2">
        <f>IF(master_raw!EL2="","",master_raw!EL2)</f>
        <v>41</v>
      </c>
      <c r="EM2" t="str">
        <f>IF(master_raw!EM2="","",master_raw!EM2)</f>
        <v>A081-COG-X-BVM-T1Ti</v>
      </c>
      <c r="EN2">
        <f>IF(master_raw!EN2="","",master_raw!EN2)</f>
        <v>46</v>
      </c>
      <c r="EO2" t="str">
        <f>IF(master_raw!EO2="","",master_raw!EO2)</f>
        <v>A082-COG-X-BVM-T1Ti</v>
      </c>
      <c r="EP2">
        <f>IF(master_raw!EP2="","",master_raw!EP2)</f>
        <v>50</v>
      </c>
      <c r="EQ2" t="str">
        <f>IF(master_raw!EQ2="","",master_raw!EQ2)</f>
        <v>A083-COG-X-BVM-T1Ti</v>
      </c>
      <c r="ER2">
        <f>IF(master_raw!ER2="","",master_raw!ER2)</f>
        <v>33</v>
      </c>
      <c r="ES2" t="str">
        <f>IF(master_raw!ES2="","",master_raw!ES2)</f>
        <v>A084-COG-X-BVM-T1Ti</v>
      </c>
      <c r="ET2">
        <f>IF(master_raw!ET2="","",master_raw!ET2)</f>
        <v>17</v>
      </c>
      <c r="EU2" t="str">
        <f>IF(master_raw!EU2="","",master_raw!EU2)</f>
        <v>A085-COG-X-BVM-T1Ti</v>
      </c>
      <c r="EV2">
        <f>IF(master_raw!EV2="","",master_raw!EV2)</f>
        <v>40</v>
      </c>
      <c r="EW2" t="str">
        <f>IF(master_raw!EW2="","",master_raw!EW2)</f>
        <v>A086-COG-X-BVM-T1Ti</v>
      </c>
      <c r="EX2">
        <f>IF(master_raw!EX2="","",master_raw!EX2)</f>
        <v>16</v>
      </c>
      <c r="EY2" t="str">
        <f>IF(master_raw!EY2="","",master_raw!EY2)</f>
        <v>A087-COG-X-BVM-T1Ti</v>
      </c>
      <c r="EZ2">
        <f>IF(master_raw!EZ2="","",master_raw!EZ2)</f>
        <v>35</v>
      </c>
      <c r="FA2" t="str">
        <f>IF(master_raw!FA2="","",master_raw!FA2)</f>
        <v>A088-COG-X-BVM-T1Ti</v>
      </c>
      <c r="FB2">
        <f>IF(master_raw!FB2="","",master_raw!FB2)</f>
        <v>30</v>
      </c>
      <c r="FC2" t="str">
        <f>IF(master_raw!FC2="","",master_raw!FC2)</f>
        <v>A089-COG-X-BVM-T1Ti</v>
      </c>
      <c r="FD2">
        <f>IF(master_raw!FD2="","",master_raw!FD2)</f>
        <v>34</v>
      </c>
      <c r="FE2" t="str">
        <f>IF(master_raw!FE2="","",master_raw!FE2)</f>
        <v>A090-COG-X-BVM-T1Ti</v>
      </c>
      <c r="FF2">
        <f>IF(master_raw!FF2="","",master_raw!FF2)</f>
        <v>36</v>
      </c>
      <c r="FG2" t="str">
        <f>IF(master_raw!FG2="","",master_raw!FG2)</f>
        <v>A091-COG-X-BVM-T1Ti</v>
      </c>
      <c r="FH2">
        <f>IF(master_raw!FH2="","",master_raw!FH2)</f>
        <v>23</v>
      </c>
      <c r="FI2" t="str">
        <f>IF(master_raw!FI2="","",master_raw!FI2)</f>
        <v>A092-COG-X-BVM-T1Ti</v>
      </c>
      <c r="FJ2">
        <f>IF(master_raw!FJ2="","",master_raw!FJ2)</f>
        <v>25</v>
      </c>
      <c r="FK2" t="str">
        <f>IF(master_raw!FK2="","",master_raw!FK2)</f>
        <v>A093-COG-X-BVM-T1Ti</v>
      </c>
      <c r="FL2">
        <f>IF(master_raw!FL2="","",master_raw!FL2)</f>
        <v>52</v>
      </c>
      <c r="FM2" t="str">
        <f>IF(master_raw!FM2="","",master_raw!FM2)</f>
        <v>A094-COG-X-BVM-T1Ti</v>
      </c>
      <c r="FN2">
        <f>IF(master_raw!FN2="","",master_raw!FN2)</f>
        <v>60</v>
      </c>
      <c r="FO2" t="str">
        <f>IF(master_raw!FO2="","",master_raw!FO2)</f>
        <v>A095-COG-X-BVM-T1Ti</v>
      </c>
      <c r="FP2">
        <f>IF(master_raw!FP2="","",master_raw!FP2)</f>
        <v>39</v>
      </c>
      <c r="FQ2" t="str">
        <f>IF(master_raw!FQ2="","",master_raw!FQ2)</f>
        <v>A096-COG-X-BVM-T1Ti</v>
      </c>
      <c r="FR2">
        <f>IF(master_raw!FR2="","",master_raw!FR2)</f>
        <v>57</v>
      </c>
      <c r="FS2" t="str">
        <f>IF(master_raw!FS2="","",master_raw!FS2)</f>
        <v>A097-COG-X-BVM-T1Ti</v>
      </c>
      <c r="FT2">
        <f>IF(master_raw!FT2="","",master_raw!FT2)</f>
        <v>16</v>
      </c>
      <c r="FU2" t="str">
        <f>IF(master_raw!FU2="","",master_raw!FU2)</f>
        <v>A098-COG-X-BVM-T1Ti</v>
      </c>
      <c r="FV2">
        <f>IF(master_raw!FV2="","",master_raw!FV2)</f>
        <v>40</v>
      </c>
      <c r="FW2" t="str">
        <f>IF(master_raw!FW2="","",master_raw!FW2)</f>
        <v>A099-COG-X-BVM-T1Ti</v>
      </c>
      <c r="FX2">
        <f>IF(master_raw!FX2="","",master_raw!FX2)</f>
        <v>41</v>
      </c>
      <c r="FY2" t="str">
        <f>IF(master_raw!FY2="","",master_raw!FY2)</f>
        <v>A100-COG-X-BVM-T1Ti</v>
      </c>
      <c r="FZ2">
        <f>IF(master_raw!FZ2="","",master_raw!FZ2)</f>
        <v>27</v>
      </c>
      <c r="GA2" t="str">
        <f>IF(master_raw!GA2="","",master_raw!GA2)</f>
        <v>A101-COG-X-BVM-T1Ti</v>
      </c>
      <c r="GB2">
        <f>IF(master_raw!GB2="","",master_raw!GB2)</f>
        <v>58</v>
      </c>
      <c r="GC2" t="str">
        <f>IF(master_raw!GC2="","",master_raw!GC2)</f>
        <v>A102-COG-X-BVM-T1Ti</v>
      </c>
      <c r="GD2">
        <f>IF(master_raw!GD2="","",master_raw!GD2)</f>
        <v>42</v>
      </c>
      <c r="GE2" t="str">
        <f>IF(master_raw!GE2="","",master_raw!GE2)</f>
        <v>A103-COG-X-BVM-T1Ti</v>
      </c>
      <c r="GF2">
        <f>IF(master_raw!GF2="","",master_raw!GF2)</f>
        <v>73</v>
      </c>
      <c r="GG2" t="str">
        <f>IF(master_raw!GG2="","",master_raw!GG2)</f>
        <v>A104-COG-X-BVM-T1Ti</v>
      </c>
      <c r="GH2">
        <f>IF(master_raw!GH2="","",master_raw!GH2)</f>
        <v>53</v>
      </c>
      <c r="GI2" t="str">
        <f>IF(master_raw!GI2="","",master_raw!GI2)</f>
        <v>A105-COG-X-BVM-T1Ti</v>
      </c>
      <c r="GJ2">
        <f>IF(master_raw!GJ2="","",master_raw!GJ2)</f>
        <v>23</v>
      </c>
      <c r="GK2" t="str">
        <f>IF(master_raw!GK2="","",master_raw!GK2)</f>
        <v>A106-COG-X-BVM-T1Ti</v>
      </c>
      <c r="GL2">
        <f>IF(master_raw!GL2="","",master_raw!GL2)</f>
        <v>70</v>
      </c>
      <c r="GM2" t="str">
        <f>IF(master_raw!GM2="","",master_raw!GM2)</f>
        <v>A107-COG-X-BVM-T1Ti</v>
      </c>
      <c r="GN2">
        <f>IF(master_raw!GN2="","",master_raw!GN2)</f>
        <v>34</v>
      </c>
      <c r="GO2" t="str">
        <f>IF(master_raw!GO2="","",master_raw!GO2)</f>
        <v>A108-COG-X-BVM-T1Ti</v>
      </c>
      <c r="GP2">
        <f>IF(master_raw!GP2="","",master_raw!GP2)</f>
        <v>47</v>
      </c>
      <c r="GQ2" t="str">
        <f>IF(master_raw!GQ2="","",master_raw!GQ2)</f>
        <v>A109-COG-X-BVM-T1Ti</v>
      </c>
      <c r="GR2">
        <f>IF(master_raw!GR2="","",master_raw!GR2)</f>
        <v>34</v>
      </c>
    </row>
    <row r="3" spans="1:200" x14ac:dyDescent="0.25">
      <c r="A3" t="str">
        <f>IF(master_raw!A3="","",master_raw!A3)</f>
        <v>A010-COG-X-BVM-T1Sc</v>
      </c>
      <c r="B3">
        <f>IF(master_raw!B3="","",ROUNDDOWN(master_raw!B3,0))</f>
        <v>11</v>
      </c>
      <c r="C3" t="str">
        <f>IF(master_raw!C3="","",master_raw!C3)</f>
        <v>A011-COG-X-BVM-T1Sc</v>
      </c>
      <c r="D3">
        <f>IF(master_raw!D3="","",ROUNDDOWN(master_raw!D3,0))</f>
        <v>10</v>
      </c>
      <c r="E3" t="str">
        <f>IF(master_raw!E3="","",master_raw!E3)</f>
        <v>A012-COG-X-BVM-T1Sc</v>
      </c>
      <c r="F3">
        <f>IF(master_raw!F3="","",ROUNDDOWN(master_raw!F3,0))</f>
        <v>8</v>
      </c>
      <c r="G3" t="str">
        <f>IF(master_raw!G3="","",master_raw!G3)</f>
        <v>A013-COG-X-BVM-T1Sc</v>
      </c>
      <c r="H3">
        <f>IF(master_raw!H3="","",ROUNDDOWN(master_raw!H3,0))</f>
        <v>7</v>
      </c>
      <c r="I3" t="str">
        <f>IF(master_raw!I3="","",master_raw!I3)</f>
        <v>A014-COG-X-BVM-T1Sc</v>
      </c>
      <c r="J3">
        <f>IF(master_raw!J3="","",ROUNDDOWN(master_raw!J3,0))</f>
        <v>11</v>
      </c>
      <c r="K3" t="str">
        <f>IF(master_raw!K3="","",master_raw!K3)</f>
        <v>A015-COG-X-BVM-T1Sc</v>
      </c>
      <c r="L3">
        <f>IF(master_raw!L3="","",ROUNDDOWN(master_raw!L3,0))</f>
        <v>7</v>
      </c>
      <c r="M3" t="str">
        <f>IF(master_raw!M3="","",master_raw!M3)</f>
        <v>A016-COG-X-BVM-T1Sc</v>
      </c>
      <c r="N3">
        <f>IF(master_raw!N3="","",ROUNDDOWN(master_raw!N3,0))</f>
        <v>11</v>
      </c>
      <c r="O3" t="str">
        <f>IF(master_raw!O3="","",master_raw!O3)</f>
        <v>A017-COG-X-BVM-T1Sc</v>
      </c>
      <c r="P3">
        <f>IF(master_raw!P3="","",ROUNDDOWN(master_raw!P3,0))</f>
        <v>9</v>
      </c>
      <c r="Q3" t="str">
        <f>IF(master_raw!Q3="","",master_raw!Q3)</f>
        <v>A018-COG-X-BVM-T1Sc</v>
      </c>
      <c r="R3">
        <f>IF(master_raw!R3="","",ROUNDDOWN(master_raw!R3,0))</f>
        <v>9</v>
      </c>
      <c r="S3" t="str">
        <f>IF(master_raw!S3="","",master_raw!S3)</f>
        <v>A019-COG-X-BVM-T1Sc</v>
      </c>
      <c r="T3">
        <f>IF(master_raw!T3="","",ROUNDDOWN(master_raw!T3,0))</f>
        <v>8</v>
      </c>
      <c r="U3" t="str">
        <f>IF(master_raw!U3="","",master_raw!U3)</f>
        <v>A020-COG-X-BVM-T1Sc</v>
      </c>
      <c r="V3">
        <f>IF(master_raw!V3="","",ROUNDDOWN(master_raw!V3,0))</f>
        <v>8</v>
      </c>
      <c r="W3" t="str">
        <f>IF(master_raw!W3="","",master_raw!W3)</f>
        <v>A021-COG-X-BVM-T1Sc</v>
      </c>
      <c r="X3">
        <f>IF(master_raw!X3="","",ROUNDDOWN(master_raw!X3,0))</f>
        <v>10</v>
      </c>
      <c r="Y3" t="str">
        <f>IF(master_raw!Y3="","",master_raw!Y3)</f>
        <v>A022-COG-X-BVM-T1Sc</v>
      </c>
      <c r="Z3">
        <f>IF(master_raw!Z3="","",ROUNDDOWN(master_raw!Z3,0))</f>
        <v>6</v>
      </c>
      <c r="AA3" t="str">
        <f>IF(master_raw!AA3="","",master_raw!AA3)</f>
        <v>A023-COG-X-BVM-T1Sc</v>
      </c>
      <c r="AB3">
        <f>IF(master_raw!AB3="","",ROUNDDOWN(master_raw!AB3,0))</f>
        <v>5</v>
      </c>
      <c r="AC3" t="str">
        <f>IF(master_raw!AC3="","",master_raw!AC3)</f>
        <v>A024-COG-X-BVM-T1Sc</v>
      </c>
      <c r="AD3">
        <f>IF(master_raw!AD3="","",ROUNDDOWN(master_raw!AD3,0))</f>
        <v>5</v>
      </c>
      <c r="AE3" t="str">
        <f>IF(master_raw!AE3="","",master_raw!AE3)</f>
        <v>A025-COG-X-BVM-T1Sc</v>
      </c>
      <c r="AF3">
        <f>IF(master_raw!AF3="","",ROUNDDOWN(master_raw!AF3,0))</f>
        <v>9</v>
      </c>
      <c r="AG3" t="str">
        <f>IF(master_raw!AG3="","",master_raw!AG3)</f>
        <v>A026-COG-X-BVM-T1Sc</v>
      </c>
      <c r="AH3">
        <f>IF(master_raw!AH3="","",ROUNDDOWN(master_raw!AH3,0))</f>
        <v>9</v>
      </c>
      <c r="AI3" t="str">
        <f>IF(master_raw!AI3="","",master_raw!AI3)</f>
        <v>A027-COG-X-BVM-T1Sc</v>
      </c>
      <c r="AJ3">
        <f>IF(master_raw!AJ3="","",ROUNDDOWN(master_raw!AJ3,0))</f>
        <v>12</v>
      </c>
      <c r="AK3" t="str">
        <f>IF(master_raw!AK3="","",master_raw!AK3)</f>
        <v>A028-COG-X-BVM-T1Sc</v>
      </c>
      <c r="AL3">
        <f>IF(master_raw!AL3="","",ROUNDDOWN(master_raw!AL3,0))</f>
        <v>10</v>
      </c>
      <c r="AM3" t="str">
        <f>IF(master_raw!AM3="","",master_raw!AM3)</f>
        <v>A029-COG-X-BVM-T1Sc</v>
      </c>
      <c r="AN3">
        <f>IF(master_raw!AN3="","",ROUNDDOWN(master_raw!AN3,0))</f>
        <v>11</v>
      </c>
      <c r="AO3" t="str">
        <f>IF(master_raw!AO3="","",master_raw!AO3)</f>
        <v>A030-COG-X-BVM-T1Sc</v>
      </c>
      <c r="AP3">
        <f>IF(master_raw!AP3="","",ROUNDDOWN(master_raw!AP3,0))</f>
        <v>9</v>
      </c>
      <c r="AQ3" t="str">
        <f>IF(master_raw!AQ3="","",master_raw!AQ3)</f>
        <v>A031-COG-X-BVM-T1Sc</v>
      </c>
      <c r="AR3">
        <f>IF(master_raw!AR3="","",ROUNDDOWN(master_raw!AR3,0))</f>
        <v>6</v>
      </c>
      <c r="AS3" t="str">
        <f>IF(master_raw!AS3="","",master_raw!AS3)</f>
        <v>A032-COG-X-BVM-T1Sc</v>
      </c>
      <c r="AT3">
        <f>IF(master_raw!AT3="","",ROUNDDOWN(master_raw!AT3,0))</f>
        <v>7</v>
      </c>
      <c r="AU3" t="str">
        <f>IF(master_raw!AU3="","",master_raw!AU3)</f>
        <v>A033-COG-X-BVM-T1Sc</v>
      </c>
      <c r="AV3">
        <f>IF(master_raw!AV3="","",ROUNDDOWN(master_raw!AV3,0))</f>
        <v>5</v>
      </c>
      <c r="AW3" t="str">
        <f>IF(master_raw!AW3="","",master_raw!AW3)</f>
        <v>A034-COG-X-BVM-T1Sc</v>
      </c>
      <c r="AX3">
        <f>IF(master_raw!AX3="","",ROUNDDOWN(master_raw!AX3,0))</f>
        <v>10</v>
      </c>
      <c r="AY3" t="str">
        <f>IF(master_raw!AY3="","",master_raw!AY3)</f>
        <v>A035-COG-X-BVM-T1Sc</v>
      </c>
      <c r="AZ3">
        <f>IF(master_raw!AZ3="","",ROUNDDOWN(master_raw!AZ3,0))</f>
        <v>10</v>
      </c>
      <c r="BA3" t="str">
        <f>IF(master_raw!BA3="","",master_raw!BA3)</f>
        <v>A036-COG-X-BVM-T1Sc</v>
      </c>
      <c r="BB3">
        <f>IF(master_raw!BB3="","",ROUNDDOWN(master_raw!BB3,0))</f>
        <v>8</v>
      </c>
      <c r="BC3" t="str">
        <f>IF(master_raw!BC3="","",master_raw!BC3)</f>
        <v>A037-COG-X-BVM-T1Sc</v>
      </c>
      <c r="BD3">
        <f>IF(master_raw!BD3="","",ROUNDDOWN(master_raw!BD3,0))</f>
        <v>12</v>
      </c>
      <c r="BE3" t="str">
        <f>IF(master_raw!BE3="","",master_raw!BE3)</f>
        <v>A038-COG-X-BVM-T1Sc</v>
      </c>
      <c r="BF3">
        <f>IF(master_raw!BF3="","",ROUNDDOWN(master_raw!BF3,0))</f>
        <v>7</v>
      </c>
      <c r="BG3" t="str">
        <f>IF(master_raw!BG3="","",master_raw!BG3)</f>
        <v>A039-COG-X-BVM-T1Sc</v>
      </c>
      <c r="BH3">
        <f>IF(master_raw!BH3="","",ROUNDDOWN(master_raw!BH3,0))</f>
        <v>8</v>
      </c>
      <c r="BI3" t="str">
        <f>IF(master_raw!BI3="","",master_raw!BI3)</f>
        <v>A040-COG-X-BVM-T1Sc</v>
      </c>
      <c r="BJ3">
        <f>IF(master_raw!BJ3="","",ROUNDDOWN(master_raw!BJ3,0))</f>
        <v>7</v>
      </c>
      <c r="BK3" t="str">
        <f>IF(master_raw!BK3="","",master_raw!BK3)</f>
        <v>A041-COG-X-BVM-T1Sc</v>
      </c>
      <c r="BL3">
        <f>IF(master_raw!BL3="","",ROUNDDOWN(master_raw!BL3,0))</f>
        <v>8</v>
      </c>
      <c r="BM3" t="str">
        <f>IF(master_raw!BM3="","",master_raw!BM3)</f>
        <v>A042-COG-X-BVM-T1Sc</v>
      </c>
      <c r="BN3">
        <f>IF(master_raw!BN3="","",ROUNDDOWN(master_raw!BN3,0))</f>
        <v>5</v>
      </c>
      <c r="BO3" t="str">
        <f>IF(master_raw!BO3="","",master_raw!BO3)</f>
        <v>A043-COG-X-BVM-T1Sc</v>
      </c>
      <c r="BP3">
        <f>IF(master_raw!BP3="","",ROUNDDOWN(master_raw!BP3,0))</f>
        <v>7</v>
      </c>
      <c r="BQ3" t="str">
        <f>IF(master_raw!BQ3="","",master_raw!BQ3)</f>
        <v>A044-COG-X-BVM-T1Sc</v>
      </c>
      <c r="BR3">
        <f>IF(master_raw!BR3="","",ROUNDDOWN(master_raw!BR3,0))</f>
        <v>9</v>
      </c>
      <c r="BS3" t="str">
        <f>IF(master_raw!BS3="","",master_raw!BS3)</f>
        <v>A045-COG-X-BVM-T1Sc</v>
      </c>
      <c r="BT3">
        <f>IF(master_raw!BT3="","",ROUNDDOWN(master_raw!BT3,0))</f>
        <v>7</v>
      </c>
      <c r="BU3" t="str">
        <f>IF(master_raw!BU3="","",master_raw!BU3)</f>
        <v>A046-COG-X-BVM-T1Sc</v>
      </c>
      <c r="BV3">
        <f>IF(master_raw!BV3="","",ROUNDDOWN(master_raw!BV3,0))</f>
        <v>9</v>
      </c>
      <c r="BW3" t="str">
        <f>IF(master_raw!BW3="","",master_raw!BW3)</f>
        <v>A047-COG-X-BVM-T1Sc</v>
      </c>
      <c r="BX3">
        <f>IF(master_raw!BX3="","",ROUNDDOWN(master_raw!BX3,0))</f>
        <v>7</v>
      </c>
      <c r="BY3" t="str">
        <f>IF(master_raw!BY3="","",master_raw!BY3)</f>
        <v>A048-COG-X-BVM-T1Sc</v>
      </c>
      <c r="BZ3">
        <f>IF(master_raw!BZ3="","",ROUNDDOWN(master_raw!BZ3,0))</f>
        <v>9</v>
      </c>
      <c r="CA3" t="str">
        <f>IF(master_raw!CA3="","",master_raw!CA3)</f>
        <v>A049-COG-X-BVM-T1Sc</v>
      </c>
      <c r="CB3">
        <f>IF(master_raw!CB3="","",ROUNDDOWN(master_raw!CB3,0))</f>
        <v>5</v>
      </c>
      <c r="CC3" t="str">
        <f>IF(master_raw!CC3="","",master_raw!CC3)</f>
        <v>A050-COG-X-BVM-T1Sc</v>
      </c>
      <c r="CD3">
        <f>IF(master_raw!CD3="","",ROUNDDOWN(master_raw!CD3,0))</f>
        <v>8</v>
      </c>
      <c r="CE3" t="str">
        <f>IF(master_raw!CE3="","",master_raw!CE3)</f>
        <v>A051-COG-X-BVM-T1Sc</v>
      </c>
      <c r="CF3">
        <f>IF(master_raw!CF3="","",ROUNDDOWN(master_raw!CF3,0))</f>
        <v>4</v>
      </c>
      <c r="CG3" t="str">
        <f>IF(master_raw!CG3="","",master_raw!CG3)</f>
        <v>A052-COG-X-BVM-T1Sc</v>
      </c>
      <c r="CH3">
        <f>IF(master_raw!CH3="","",ROUNDDOWN(master_raw!CH3,0))</f>
        <v>8</v>
      </c>
      <c r="CI3" t="str">
        <f>IF(master_raw!CI3="","",master_raw!CI3)</f>
        <v>A053-COG-X-BVM-T1Sc</v>
      </c>
      <c r="CJ3">
        <f>IF(master_raw!CJ3="","",ROUNDDOWN(master_raw!CJ3,0))</f>
        <v>8</v>
      </c>
      <c r="CK3" t="str">
        <f>IF(master_raw!CK3="","",master_raw!CK3)</f>
        <v>A054-COG-X-BVM-T1Sc</v>
      </c>
      <c r="CL3">
        <f>IF(master_raw!CL3="","",ROUNDDOWN(master_raw!CL3,0))</f>
        <v>11</v>
      </c>
      <c r="CM3" t="str">
        <f>IF(master_raw!CM3="","",master_raw!CM3)</f>
        <v>A055-COG-X-BVM-T1Sc</v>
      </c>
      <c r="CN3">
        <f>IF(master_raw!CN3="","",ROUNDDOWN(master_raw!CN3,0))</f>
        <v>5</v>
      </c>
      <c r="CO3" t="str">
        <f>IF(master_raw!CO3="","",master_raw!CO3)</f>
        <v>A056-COG-X-BVM-T1Sc</v>
      </c>
      <c r="CP3">
        <f>IF(master_raw!CP3="","",ROUNDDOWN(master_raw!CP3,0))</f>
        <v>7</v>
      </c>
      <c r="CQ3" t="str">
        <f>IF(master_raw!CQ3="","",master_raw!CQ3)</f>
        <v>A057-COG-X-BVM-T1Sc</v>
      </c>
      <c r="CR3">
        <f>IF(master_raw!CR3="","",ROUNDDOWN(master_raw!CR3,0))</f>
        <v>8</v>
      </c>
      <c r="CS3" t="str">
        <f>IF(master_raw!CS3="","",master_raw!CS3)</f>
        <v>A058-COG-X-BVM-T1Sc</v>
      </c>
      <c r="CT3">
        <f>IF(master_raw!CT3="","",ROUNDDOWN(master_raw!CT3,0))</f>
        <v>6</v>
      </c>
      <c r="CU3" t="str">
        <f>IF(master_raw!CU3="","",master_raw!CU3)</f>
        <v>A059-COG-X-BVM-T1Sc</v>
      </c>
      <c r="CV3">
        <f>IF(master_raw!CV3="","",ROUNDDOWN(master_raw!CV3,0))</f>
        <v>9</v>
      </c>
      <c r="CW3" t="str">
        <f>IF(master_raw!CW3="","",master_raw!CW3)</f>
        <v>A060-COG-X-BVM-T1Sc</v>
      </c>
      <c r="CX3">
        <f>IF(master_raw!CX3="","",ROUNDDOWN(master_raw!CX3,0))</f>
        <v>9</v>
      </c>
      <c r="CY3" t="str">
        <f>IF(master_raw!CY3="","",master_raw!CY3)</f>
        <v>A061-COG-X-BVM-T1Sc</v>
      </c>
      <c r="CZ3">
        <f>IF(master_raw!CZ3="","",ROUNDDOWN(master_raw!CZ3,0))</f>
        <v>4</v>
      </c>
      <c r="DA3" t="str">
        <f>IF(master_raw!DA3="","",master_raw!DA3)</f>
        <v>A062-COG-X-BVM-T1Sc</v>
      </c>
      <c r="DB3">
        <f>IF(master_raw!DB3="","",ROUNDDOWN(master_raw!DB3,0))</f>
        <v>7</v>
      </c>
      <c r="DC3" t="str">
        <f>IF(master_raw!DC3="","",master_raw!DC3)</f>
        <v>A063-COG-X-BVM-T1Sc</v>
      </c>
      <c r="DD3">
        <f>IF(master_raw!DD3="","",ROUNDDOWN(master_raw!DD3,0))</f>
        <v>6</v>
      </c>
      <c r="DE3" t="str">
        <f>IF(master_raw!DE3="","",master_raw!DE3)</f>
        <v>A064-COG-X-BVM-T1Sc</v>
      </c>
      <c r="DF3">
        <f>IF(master_raw!DF3="","",ROUNDDOWN(master_raw!DF3,0))</f>
        <v>8</v>
      </c>
      <c r="DG3" t="str">
        <f>IF(master_raw!DG3="","",master_raw!DG3)</f>
        <v>A065-COG-X-BVM-T1Sc</v>
      </c>
      <c r="DH3">
        <f>IF(master_raw!DH3="","",ROUNDDOWN(master_raw!DH3,0))</f>
        <v>5</v>
      </c>
      <c r="DI3" t="str">
        <f>IF(master_raw!DI3="","",master_raw!DI3)</f>
        <v>A066-COG-X-BVM-T1Sc</v>
      </c>
      <c r="DJ3">
        <f>IF(master_raw!DJ3="","",ROUNDDOWN(master_raw!DJ3,0))</f>
        <v>4</v>
      </c>
      <c r="DK3" t="str">
        <f>IF(master_raw!DK3="","",master_raw!DK3)</f>
        <v>A067-COG-X-BVM-T1Sc</v>
      </c>
      <c r="DL3">
        <f>IF(master_raw!DL3="","",ROUNDDOWN(master_raw!DL3,0))</f>
        <v>6</v>
      </c>
      <c r="DM3" t="str">
        <f>IF(master_raw!DM3="","",master_raw!DM3)</f>
        <v>A068-COG-X-BVM-T1Sc</v>
      </c>
      <c r="DN3">
        <f>IF(master_raw!DN3="","",ROUNDDOWN(master_raw!DN3,0))</f>
        <v>8</v>
      </c>
      <c r="DO3" t="str">
        <f>IF(master_raw!DO3="","",master_raw!DO3)</f>
        <v>A069-COG-X-BVM-T1Sc</v>
      </c>
      <c r="DP3">
        <f>IF(master_raw!DP3="","",ROUNDDOWN(master_raw!DP3,0))</f>
        <v>5</v>
      </c>
      <c r="DQ3" t="str">
        <f>IF(master_raw!DQ3="","",master_raw!DQ3)</f>
        <v>A070-COG-X-BVM-T1Sc</v>
      </c>
      <c r="DR3">
        <f>IF(master_raw!DR3="","",ROUNDDOWN(master_raw!DR3,0))</f>
        <v>9</v>
      </c>
      <c r="DS3" t="str">
        <f>IF(master_raw!DS3="","",master_raw!DS3)</f>
        <v>A071-COG-X-BVM-T1Sc</v>
      </c>
      <c r="DT3">
        <f>IF(master_raw!DT3="","",ROUNDDOWN(master_raw!DT3,0))</f>
        <v>7</v>
      </c>
      <c r="DU3" t="str">
        <f>IF(master_raw!DU3="","",master_raw!DU3)</f>
        <v>A072-COG-X-BVM-T1Sc</v>
      </c>
      <c r="DV3">
        <f>IF(master_raw!DV3="","",ROUNDDOWN(master_raw!DV3,0))</f>
        <v>9</v>
      </c>
      <c r="DW3" t="str">
        <f>IF(master_raw!DW3="","",master_raw!DW3)</f>
        <v>A073-COG-X-BVM-T1Sc</v>
      </c>
      <c r="DX3">
        <f>IF(master_raw!DX3="","",ROUNDDOWN(master_raw!DX3,0))</f>
        <v>5</v>
      </c>
      <c r="DY3" t="str">
        <f>IF(master_raw!DY3="","",master_raw!DY3)</f>
        <v>A074-COG-X-BVM-T1Sc</v>
      </c>
      <c r="DZ3">
        <f>IF(master_raw!DZ3="","",ROUNDDOWN(master_raw!DZ3,0))</f>
        <v>8</v>
      </c>
      <c r="EA3" t="str">
        <f>IF(master_raw!EA3="","",master_raw!EA3)</f>
        <v>A075-COG-X-BVM-T1Sc</v>
      </c>
      <c r="EB3">
        <f>IF(master_raw!EB3="","",ROUNDDOWN(master_raw!EB3,0))</f>
        <v>7</v>
      </c>
      <c r="EC3" t="str">
        <f>IF(master_raw!EC3="","",master_raw!EC3)</f>
        <v>A076-COG-X-BVM-T1Sc</v>
      </c>
      <c r="ED3">
        <f>IF(master_raw!ED3="","",ROUNDDOWN(master_raw!ED3,0))</f>
        <v>3</v>
      </c>
      <c r="EE3" t="str">
        <f>IF(master_raw!EE3="","",master_raw!EE3)</f>
        <v>A077-COG-X-BVM-T1Sc</v>
      </c>
      <c r="EF3">
        <f>IF(master_raw!EF3="","",ROUNDDOWN(master_raw!EF3,0))</f>
        <v>8</v>
      </c>
      <c r="EG3" t="str">
        <f>IF(master_raw!EG3="","",master_raw!EG3)</f>
        <v>A078-COG-X-BVM-T1Sc</v>
      </c>
      <c r="EH3">
        <f>IF(master_raw!EH3="","",ROUNDDOWN(master_raw!EH3,0))</f>
        <v>4</v>
      </c>
      <c r="EI3" t="str">
        <f>IF(master_raw!EI3="","",master_raw!EI3)</f>
        <v>A079-COG-X-BVM-T1Sc</v>
      </c>
      <c r="EJ3">
        <f>IF(master_raw!EJ3="","",ROUNDDOWN(master_raw!EJ3,0))</f>
        <v>11</v>
      </c>
      <c r="EK3" t="str">
        <f>IF(master_raw!EK3="","",master_raw!EK3)</f>
        <v>A080-COG-X-BVM-T1Sc</v>
      </c>
      <c r="EL3">
        <f>IF(master_raw!EL3="","",ROUNDDOWN(master_raw!EL3,0))</f>
        <v>5</v>
      </c>
      <c r="EM3" t="str">
        <f>IF(master_raw!EM3="","",master_raw!EM3)</f>
        <v>A081-COG-X-BVM-T1Sc</v>
      </c>
      <c r="EN3">
        <f>IF(master_raw!EN3="","",ROUNDDOWN(master_raw!EN3,0))</f>
        <v>8</v>
      </c>
      <c r="EO3" t="str">
        <f>IF(master_raw!EO3="","",master_raw!EO3)</f>
        <v>A082-COG-X-BVM-T1Sc</v>
      </c>
      <c r="EP3">
        <f>IF(master_raw!EP3="","",ROUNDDOWN(master_raw!EP3,0))</f>
        <v>9</v>
      </c>
      <c r="EQ3" t="str">
        <f>IF(master_raw!EQ3="","",master_raw!EQ3)</f>
        <v>A083-COG-X-BVM-T1Sc</v>
      </c>
      <c r="ER3">
        <f>IF(master_raw!ER3="","",ROUNDDOWN(master_raw!ER3,0))</f>
        <v>5</v>
      </c>
      <c r="ES3" t="str">
        <f>IF(master_raw!ES3="","",master_raw!ES3)</f>
        <v>A084-COG-X-BVM-T1Sc</v>
      </c>
      <c r="ET3">
        <f>IF(master_raw!ET3="","",ROUNDDOWN(master_raw!ET3,0))</f>
        <v>6</v>
      </c>
      <c r="EU3" t="str">
        <f>IF(master_raw!EU3="","",master_raw!EU3)</f>
        <v>A085-COG-X-BVM-T1Sc</v>
      </c>
      <c r="EV3">
        <f>IF(master_raw!EV3="","",ROUNDDOWN(master_raw!EV3,0))</f>
        <v>5</v>
      </c>
      <c r="EW3" t="str">
        <f>IF(master_raw!EW3="","",master_raw!EW3)</f>
        <v>A086-COG-X-BVM-T1Sc</v>
      </c>
      <c r="EX3">
        <f>IF(master_raw!EX3="","",ROUNDDOWN(master_raw!EX3,0))</f>
        <v>5</v>
      </c>
      <c r="EY3" t="str">
        <f>IF(master_raw!EY3="","",master_raw!EY3)</f>
        <v>A087-COG-X-BVM-T1Sc</v>
      </c>
      <c r="EZ3">
        <f>IF(master_raw!EZ3="","",ROUNDDOWN(master_raw!EZ3,0))</f>
        <v>9</v>
      </c>
      <c r="FA3" t="str">
        <f>IF(master_raw!FA3="","",master_raw!FA3)</f>
        <v>A088-COG-X-BVM-T1Sc</v>
      </c>
      <c r="FB3">
        <f>IF(master_raw!FB3="","",ROUNDDOWN(master_raw!FB3,0))</f>
        <v>2</v>
      </c>
      <c r="FC3" t="str">
        <f>IF(master_raw!FC3="","",master_raw!FC3)</f>
        <v>A089-COG-X-BVM-T1Sc</v>
      </c>
      <c r="FD3">
        <f>IF(master_raw!FD3="","",ROUNDDOWN(master_raw!FD3,0))</f>
        <v>6</v>
      </c>
      <c r="FE3" t="str">
        <f>IF(master_raw!FE3="","",master_raw!FE3)</f>
        <v>A090-COG-X-BVM-T1Sc</v>
      </c>
      <c r="FF3">
        <f>IF(master_raw!FF3="","",ROUNDDOWN(master_raw!FF3,0))</f>
        <v>2</v>
      </c>
      <c r="FG3" t="str">
        <f>IF(master_raw!FG3="","",master_raw!FG3)</f>
        <v>A091-COG-X-BVM-T1Sc</v>
      </c>
      <c r="FH3">
        <f>IF(master_raw!FH3="","",ROUNDDOWN(master_raw!FH3,0))</f>
        <v>5</v>
      </c>
      <c r="FI3" t="str">
        <f>IF(master_raw!FI3="","",master_raw!FI3)</f>
        <v>A092-COG-X-BVM-T1Sc</v>
      </c>
      <c r="FJ3">
        <f>IF(master_raw!FJ3="","",ROUNDDOWN(master_raw!FJ3,0))</f>
        <v>5</v>
      </c>
      <c r="FK3" t="str">
        <f>IF(master_raw!FK3="","",master_raw!FK3)</f>
        <v>A093-COG-X-BVM-T1Sc</v>
      </c>
      <c r="FL3">
        <f>IF(master_raw!FL3="","",ROUNDDOWN(master_raw!FL3,0))</f>
        <v>7</v>
      </c>
      <c r="FM3" t="str">
        <f>IF(master_raw!FM3="","",master_raw!FM3)</f>
        <v>A094-COG-X-BVM-T1Sc</v>
      </c>
      <c r="FN3">
        <f>IF(master_raw!FN3="","",ROUNDDOWN(master_raw!FN3,0))</f>
        <v>4</v>
      </c>
      <c r="FO3" t="str">
        <f>IF(master_raw!FO3="","",master_raw!FO3)</f>
        <v>A095-COG-X-BVM-T1Sc</v>
      </c>
      <c r="FP3">
        <f>IF(master_raw!FP3="","",ROUNDDOWN(master_raw!FP3,0))</f>
        <v>6</v>
      </c>
      <c r="FQ3" t="str">
        <f>IF(master_raw!FQ3="","",master_raw!FQ3)</f>
        <v>A096-COG-X-BVM-T1Sc</v>
      </c>
      <c r="FR3">
        <f>IF(master_raw!FR3="","",ROUNDDOWN(master_raw!FR3,0))</f>
        <v>5</v>
      </c>
      <c r="FS3" t="str">
        <f>IF(master_raw!FS3="","",master_raw!FS3)</f>
        <v>A097-COG-X-BVM-T1Sc</v>
      </c>
      <c r="FT3">
        <f>IF(master_raw!FT3="","",ROUNDDOWN(master_raw!FT3,0))</f>
        <v>5</v>
      </c>
      <c r="FU3" t="str">
        <f>IF(master_raw!FU3="","",master_raw!FU3)</f>
        <v>A098-COG-X-BVM-T1Sc</v>
      </c>
      <c r="FV3">
        <f>IF(master_raw!FV3="","",ROUNDDOWN(master_raw!FV3,0))</f>
        <v>5</v>
      </c>
      <c r="FW3" t="str">
        <f>IF(master_raw!FW3="","",master_raw!FW3)</f>
        <v>A099-COG-X-BVM-T1Sc</v>
      </c>
      <c r="FX3">
        <f>IF(master_raw!FX3="","",ROUNDDOWN(master_raw!FX3,0))</f>
        <v>5</v>
      </c>
      <c r="FY3" t="str">
        <f>IF(master_raw!FY3="","",master_raw!FY3)</f>
        <v>A100-COG-X-BVM-T1Sc</v>
      </c>
      <c r="FZ3">
        <f>IF(master_raw!FZ3="","",ROUNDDOWN(master_raw!FZ3,0))</f>
        <v>2</v>
      </c>
      <c r="GA3" t="str">
        <f>IF(master_raw!GA3="","",master_raw!GA3)</f>
        <v>A101-COG-X-BVM-T1Sc</v>
      </c>
      <c r="GB3">
        <f>IF(master_raw!GB3="","",ROUNDDOWN(master_raw!GB3,0))</f>
        <v>5</v>
      </c>
      <c r="GC3" t="str">
        <f>IF(master_raw!GC3="","",master_raw!GC3)</f>
        <v>A102-COG-X-BVM-T1Sc</v>
      </c>
      <c r="GD3">
        <f>IF(master_raw!GD3="","",ROUNDDOWN(master_raw!GD3,0))</f>
        <v>10</v>
      </c>
      <c r="GE3" t="str">
        <f>IF(master_raw!GE3="","",master_raw!GE3)</f>
        <v>A103-COG-X-BVM-T1Sc</v>
      </c>
      <c r="GF3">
        <f>IF(master_raw!GF3="","",ROUNDDOWN(master_raw!GF3,0))</f>
        <v>8</v>
      </c>
      <c r="GG3" t="str">
        <f>IF(master_raw!GG3="","",master_raw!GG3)</f>
        <v>A104-COG-X-BVM-T1Sc</v>
      </c>
      <c r="GH3">
        <f>IF(master_raw!GH3="","",ROUNDDOWN(master_raw!GH3,0))</f>
        <v>4</v>
      </c>
      <c r="GI3" t="str">
        <f>IF(master_raw!GI3="","",master_raw!GI3)</f>
        <v>A105-COG-X-BVM-T1Sc</v>
      </c>
      <c r="GJ3">
        <f>IF(master_raw!GJ3="","",ROUNDDOWN(master_raw!GJ3,0))</f>
        <v>3</v>
      </c>
      <c r="GK3" t="str">
        <f>IF(master_raw!GK3="","",master_raw!GK3)</f>
        <v>A106-COG-X-BVM-T1Sc</v>
      </c>
      <c r="GL3">
        <f>IF(master_raw!GL3="","",ROUNDDOWN(master_raw!GL3,0))</f>
        <v>8</v>
      </c>
      <c r="GM3" t="str">
        <f>IF(master_raw!GM3="","",master_raw!GM3)</f>
        <v>A107-COG-X-BVM-T1Sc</v>
      </c>
      <c r="GN3">
        <f>IF(master_raw!GN3="","",ROUNDDOWN(master_raw!GN3,0))</f>
        <v>3</v>
      </c>
      <c r="GO3" t="str">
        <f>IF(master_raw!GO3="","",master_raw!GO3)</f>
        <v>A108-COG-X-BVM-T1Sc</v>
      </c>
      <c r="GP3">
        <f>IF(master_raw!GP3="","",ROUNDDOWN(master_raw!GP3,0))</f>
        <v>6</v>
      </c>
      <c r="GQ3" t="str">
        <f>IF(master_raw!GQ3="","",master_raw!GQ3)</f>
        <v>A109-COG-X-BVM-T1Sc</v>
      </c>
      <c r="GR3">
        <f>IF(master_raw!GR3="","",ROUNDDOWN(master_raw!GR3,0))</f>
        <v>2</v>
      </c>
    </row>
    <row r="4" spans="1:200" x14ac:dyDescent="0.25">
      <c r="A4" t="str">
        <f>IF(master_raw!A4="","",master_raw!A4)</f>
        <v>A010-COG-X-BVM-T2Ti</v>
      </c>
      <c r="B4">
        <f>IF(master_raw!B4="","",master_raw!B4)</f>
        <v>70</v>
      </c>
      <c r="C4" t="str">
        <f>IF(master_raw!C4="","",master_raw!C4)</f>
        <v>A011-COG-X-BVM-T2Ti</v>
      </c>
      <c r="D4" t="str">
        <f>IF(master_raw!D4="","",master_raw!D4)</f>
        <v/>
      </c>
      <c r="E4" t="str">
        <f>IF(master_raw!E4="","",master_raw!E4)</f>
        <v>A012-COG-X-BVM-T2Ti</v>
      </c>
      <c r="F4" t="str">
        <f>IF(master_raw!F4="","",master_raw!F4)</f>
        <v/>
      </c>
      <c r="G4" t="str">
        <f>IF(master_raw!G4="","",master_raw!G4)</f>
        <v>A013-COG-X-BVM-T2Ti</v>
      </c>
      <c r="H4">
        <f>IF(master_raw!H4="","",master_raw!H4)</f>
        <v>31</v>
      </c>
      <c r="I4" t="str">
        <f>IF(master_raw!I4="","",master_raw!I4)</f>
        <v>A014-COG-X-BVM-T2Ti</v>
      </c>
      <c r="J4">
        <f>IF(master_raw!J4="","",master_raw!J4)</f>
        <v>38</v>
      </c>
      <c r="K4" t="str">
        <f>IF(master_raw!K4="","",master_raw!K4)</f>
        <v>A015-COG-X-BVM-T2Ti</v>
      </c>
      <c r="L4">
        <f>IF(master_raw!L4="","",master_raw!L4)</f>
        <v>25</v>
      </c>
      <c r="M4" t="str">
        <f>IF(master_raw!M4="","",master_raw!M4)</f>
        <v>A016-COG-X-BVM-T2Ti</v>
      </c>
      <c r="N4">
        <f>IF(master_raw!N4="","",master_raw!N4)</f>
        <v>22</v>
      </c>
      <c r="O4" t="str">
        <f>IF(master_raw!O4="","",master_raw!O4)</f>
        <v>A017-COG-X-BVM-T2Ti</v>
      </c>
      <c r="P4">
        <f>IF(master_raw!P4="","",master_raw!P4)</f>
        <v>26</v>
      </c>
      <c r="Q4" t="str">
        <f>IF(master_raw!Q4="","",master_raw!Q4)</f>
        <v>A018-COG-X-BVM-T2Ti</v>
      </c>
      <c r="R4">
        <f>IF(master_raw!R4="","",master_raw!R4)</f>
        <v>31</v>
      </c>
      <c r="S4" t="str">
        <f>IF(master_raw!S4="","",master_raw!S4)</f>
        <v>A019-COG-X-BVM-T2Ti</v>
      </c>
      <c r="T4">
        <f>IF(master_raw!T4="","",master_raw!T4)</f>
        <v>31</v>
      </c>
      <c r="U4" t="str">
        <f>IF(master_raw!U4="","",master_raw!U4)</f>
        <v>A020-COG-X-BVM-T2Ti</v>
      </c>
      <c r="V4">
        <f>IF(master_raw!V4="","",master_raw!V4)</f>
        <v>36</v>
      </c>
      <c r="W4" t="str">
        <f>IF(master_raw!W4="","",master_raw!W4)</f>
        <v>A021-COG-X-BVM-T2Ti</v>
      </c>
      <c r="X4">
        <f>IF(master_raw!X4="","",master_raw!X4)</f>
        <v>21</v>
      </c>
      <c r="Y4" t="str">
        <f>IF(master_raw!Y4="","",master_raw!Y4)</f>
        <v>A022-COG-X-BVM-T2Ti</v>
      </c>
      <c r="Z4">
        <f>IF(master_raw!Z4="","",master_raw!Z4)</f>
        <v>41</v>
      </c>
      <c r="AA4" t="str">
        <f>IF(master_raw!AA4="","",master_raw!AA4)</f>
        <v>A023-COG-X-BVM-T2Ti</v>
      </c>
      <c r="AB4">
        <f>IF(master_raw!AB4="","",master_raw!AB4)</f>
        <v>78</v>
      </c>
      <c r="AC4" t="str">
        <f>IF(master_raw!AC4="","",master_raw!AC4)</f>
        <v>A024-COG-X-BVM-T2Ti</v>
      </c>
      <c r="AD4">
        <f>IF(master_raw!AD4="","",master_raw!AD4)</f>
        <v>49</v>
      </c>
      <c r="AE4" t="str">
        <f>IF(master_raw!AE4="","",master_raw!AE4)</f>
        <v>A025-COG-X-BVM-T2Ti</v>
      </c>
      <c r="AF4">
        <f>IF(master_raw!AF4="","",master_raw!AF4)</f>
        <v>39</v>
      </c>
      <c r="AG4" t="str">
        <f>IF(master_raw!AG4="","",master_raw!AG4)</f>
        <v>A026-COG-X-BVM-T2Ti</v>
      </c>
      <c r="AH4">
        <f>IF(master_raw!AH4="","",master_raw!AH4)</f>
        <v>42</v>
      </c>
      <c r="AI4" t="str">
        <f>IF(master_raw!AI4="","",master_raw!AI4)</f>
        <v>A027-COG-X-BVM-T2Ti</v>
      </c>
      <c r="AJ4">
        <f>IF(master_raw!AJ4="","",master_raw!AJ4)</f>
        <v>28</v>
      </c>
      <c r="AK4" t="str">
        <f>IF(master_raw!AK4="","",master_raw!AK4)</f>
        <v>A028-COG-X-BVM-T2Ti</v>
      </c>
      <c r="AL4">
        <f>IF(master_raw!AL4="","",master_raw!AL4)</f>
        <v>17</v>
      </c>
      <c r="AM4" t="str">
        <f>IF(master_raw!AM4="","",master_raw!AM4)</f>
        <v>A029-COG-X-BVM-T2Ti</v>
      </c>
      <c r="AN4">
        <f>IF(master_raw!AN4="","",master_raw!AN4)</f>
        <v>26</v>
      </c>
      <c r="AO4" t="str">
        <f>IF(master_raw!AO4="","",master_raw!AO4)</f>
        <v>A030-COG-X-BVM-T2Ti</v>
      </c>
      <c r="AP4">
        <f>IF(master_raw!AP4="","",master_raw!AP4)</f>
        <v>24</v>
      </c>
      <c r="AQ4" t="str">
        <f>IF(master_raw!AQ4="","",master_raw!AQ4)</f>
        <v>A031-COG-X-BVM-T2Ti</v>
      </c>
      <c r="AR4">
        <f>IF(master_raw!AR4="","",master_raw!AR4)</f>
        <v>37</v>
      </c>
      <c r="AS4" t="str">
        <f>IF(master_raw!AS4="","",master_raw!AS4)</f>
        <v>A032-COG-X-BVM-T2Ti</v>
      </c>
      <c r="AT4">
        <f>IF(master_raw!AT4="","",master_raw!AT4)</f>
        <v>34</v>
      </c>
      <c r="AU4" t="str">
        <f>IF(master_raw!AU4="","",master_raw!AU4)</f>
        <v>A033-COG-X-BVM-T2Ti</v>
      </c>
      <c r="AV4">
        <f>IF(master_raw!AV4="","",master_raw!AV4)</f>
        <v>56</v>
      </c>
      <c r="AW4" t="str">
        <f>IF(master_raw!AW4="","",master_raw!AW4)</f>
        <v>A034-COG-X-BVM-T2Ti</v>
      </c>
      <c r="AX4">
        <f>IF(master_raw!AX4="","",master_raw!AX4)</f>
        <v>32</v>
      </c>
      <c r="AY4" t="str">
        <f>IF(master_raw!AY4="","",master_raw!AY4)</f>
        <v>A035-COG-X-BVM-T2Ti</v>
      </c>
      <c r="AZ4">
        <f>IF(master_raw!AZ4="","",master_raw!AZ4)</f>
        <v>48</v>
      </c>
      <c r="BA4" t="str">
        <f>IF(master_raw!BA4="","",master_raw!BA4)</f>
        <v>A036-COG-X-BVM-T2Ti</v>
      </c>
      <c r="BB4">
        <f>IF(master_raw!BB4="","",master_raw!BB4)</f>
        <v>57</v>
      </c>
      <c r="BC4" t="str">
        <f>IF(master_raw!BC4="","",master_raw!BC4)</f>
        <v>A037-COG-X-BVM-T2Ti</v>
      </c>
      <c r="BD4">
        <f>IF(master_raw!BD4="","",master_raw!BD4)</f>
        <v>24</v>
      </c>
      <c r="BE4" t="str">
        <f>IF(master_raw!BE4="","",master_raw!BE4)</f>
        <v>A038-COG-X-BVM-T2Ti</v>
      </c>
      <c r="BF4">
        <f>IF(master_raw!BF4="","",master_raw!BF4)</f>
        <v>31</v>
      </c>
      <c r="BG4" t="str">
        <f>IF(master_raw!BG4="","",master_raw!BG4)</f>
        <v>A039-COG-X-BVM-T2Ti</v>
      </c>
      <c r="BH4">
        <f>IF(master_raw!BH4="","",master_raw!BH4)</f>
        <v>33</v>
      </c>
      <c r="BI4" t="str">
        <f>IF(master_raw!BI4="","",master_raw!BI4)</f>
        <v>A040-COG-X-BVM-T2Ti</v>
      </c>
      <c r="BJ4">
        <f>IF(master_raw!BJ4="","",master_raw!BJ4)</f>
        <v>26</v>
      </c>
      <c r="BK4" t="str">
        <f>IF(master_raw!BK4="","",master_raw!BK4)</f>
        <v>A041-COG-X-BVM-T2Ti</v>
      </c>
      <c r="BL4">
        <f>IF(master_raw!BL4="","",master_raw!BL4)</f>
        <v>19</v>
      </c>
      <c r="BM4" t="str">
        <f>IF(master_raw!BM4="","",master_raw!BM4)</f>
        <v>A042-COG-X-BVM-T2Ti</v>
      </c>
      <c r="BN4">
        <f>IF(master_raw!BN4="","",master_raw!BN4)</f>
        <v>36</v>
      </c>
      <c r="BO4" t="str">
        <f>IF(master_raw!BO4="","",master_raw!BO4)</f>
        <v>A043-COG-X-BVM-T2Ti</v>
      </c>
      <c r="BP4">
        <f>IF(master_raw!BP4="","",master_raw!BP4)</f>
        <v>54</v>
      </c>
      <c r="BQ4" t="str">
        <f>IF(master_raw!BQ4="","",master_raw!BQ4)</f>
        <v>A044-COG-X-BVM-T2Ti</v>
      </c>
      <c r="BR4">
        <f>IF(master_raw!BR4="","",master_raw!BR4)</f>
        <v>37</v>
      </c>
      <c r="BS4" t="str">
        <f>IF(master_raw!BS4="","",master_raw!BS4)</f>
        <v>A045-COG-X-BVM-T2Ti</v>
      </c>
      <c r="BT4">
        <f>IF(master_raw!BT4="","",master_raw!BT4)</f>
        <v>43</v>
      </c>
      <c r="BU4" t="str">
        <f>IF(master_raw!BU4="","",master_raw!BU4)</f>
        <v>A046-COG-X-BVM-T2Ti</v>
      </c>
      <c r="BV4">
        <f>IF(master_raw!BV4="","",master_raw!BV4)</f>
        <v>34</v>
      </c>
      <c r="BW4" t="str">
        <f>IF(master_raw!BW4="","",master_raw!BW4)</f>
        <v>A047-COG-X-BVM-T2Ti</v>
      </c>
      <c r="BX4">
        <f>IF(master_raw!BX4="","",master_raw!BX4)</f>
        <v>32</v>
      </c>
      <c r="BY4" t="str">
        <f>IF(master_raw!BY4="","",master_raw!BY4)</f>
        <v>A048-COG-X-BVM-T2Ti</v>
      </c>
      <c r="BZ4">
        <f>IF(master_raw!BZ4="","",master_raw!BZ4)</f>
        <v>16</v>
      </c>
      <c r="CA4" t="str">
        <f>IF(master_raw!CA4="","",master_raw!CA4)</f>
        <v>A049-COG-X-BVM-T2Ti</v>
      </c>
      <c r="CB4">
        <f>IF(master_raw!CB4="","",master_raw!CB4)</f>
        <v>48</v>
      </c>
      <c r="CC4" t="str">
        <f>IF(master_raw!CC4="","",master_raw!CC4)</f>
        <v>A050-COG-X-BVM-T2Ti</v>
      </c>
      <c r="CD4">
        <f>IF(master_raw!CD4="","",master_raw!CD4)</f>
        <v>43</v>
      </c>
      <c r="CE4" t="str">
        <f>IF(master_raw!CE4="","",master_raw!CE4)</f>
        <v>A051-COG-X-BVM-T2Ti</v>
      </c>
      <c r="CF4">
        <f>IF(master_raw!CF4="","",master_raw!CF4)</f>
        <v>29</v>
      </c>
      <c r="CG4" t="str">
        <f>IF(master_raw!CG4="","",master_raw!CG4)</f>
        <v>A052-COG-X-BVM-T2Ti</v>
      </c>
      <c r="CH4">
        <f>IF(master_raw!CH4="","",master_raw!CH4)</f>
        <v>52</v>
      </c>
      <c r="CI4" t="str">
        <f>IF(master_raw!CI4="","",master_raw!CI4)</f>
        <v>A053-COG-X-BVM-T2Ti</v>
      </c>
      <c r="CJ4">
        <f>IF(master_raw!CJ4="","",master_raw!CJ4)</f>
        <v>55</v>
      </c>
      <c r="CK4" t="str">
        <f>IF(master_raw!CK4="","",master_raw!CK4)</f>
        <v>A054-COG-X-BVM-T2Ti</v>
      </c>
      <c r="CL4">
        <f>IF(master_raw!CL4="","",master_raw!CL4)</f>
        <v>34</v>
      </c>
      <c r="CM4" t="str">
        <f>IF(master_raw!CM4="","",master_raw!CM4)</f>
        <v>A055-COG-X-BVM-T2Ti</v>
      </c>
      <c r="CN4">
        <f>IF(master_raw!CN4="","",master_raw!CN4)</f>
        <v>40</v>
      </c>
      <c r="CO4" t="str">
        <f>IF(master_raw!CO4="","",master_raw!CO4)</f>
        <v>A056-COG-X-BVM-T2Ti</v>
      </c>
      <c r="CP4">
        <f>IF(master_raw!CP4="","",master_raw!CP4)</f>
        <v>25</v>
      </c>
      <c r="CQ4" t="str">
        <f>IF(master_raw!CQ4="","",master_raw!CQ4)</f>
        <v>A057-COG-X-BVM-T2Ti</v>
      </c>
      <c r="CR4">
        <f>IF(master_raw!CR4="","",master_raw!CR4)</f>
        <v>35</v>
      </c>
      <c r="CS4" t="str">
        <f>IF(master_raw!CS4="","",master_raw!CS4)</f>
        <v>A058-COG-X-BVM-T2Ti</v>
      </c>
      <c r="CT4">
        <f>IF(master_raw!CT4="","",master_raw!CT4)</f>
        <v>33</v>
      </c>
      <c r="CU4" t="str">
        <f>IF(master_raw!CU4="","",master_raw!CU4)</f>
        <v>A059-COG-X-BVM-T2Ti</v>
      </c>
      <c r="CV4">
        <f>IF(master_raw!CV4="","",master_raw!CV4)</f>
        <v>53</v>
      </c>
      <c r="CW4" t="str">
        <f>IF(master_raw!CW4="","",master_raw!CW4)</f>
        <v>A060-COG-X-BVM-T2Ti</v>
      </c>
      <c r="CX4">
        <f>IF(master_raw!CX4="","",master_raw!CX4)</f>
        <v>47</v>
      </c>
      <c r="CY4" t="str">
        <f>IF(master_raw!CY4="","",master_raw!CY4)</f>
        <v>A061-COG-X-BVM-T2Ti</v>
      </c>
      <c r="CZ4">
        <f>IF(master_raw!CZ4="","",master_raw!CZ4)</f>
        <v>42</v>
      </c>
      <c r="DA4" t="str">
        <f>IF(master_raw!DA4="","",master_raw!DA4)</f>
        <v>A062-COG-X-BVM-T2Ti</v>
      </c>
      <c r="DB4">
        <f>IF(master_raw!DB4="","",master_raw!DB4)</f>
        <v>43</v>
      </c>
      <c r="DC4" t="str">
        <f>IF(master_raw!DC4="","",master_raw!DC4)</f>
        <v>A063-COG-X-BVM-T2Ti</v>
      </c>
      <c r="DD4">
        <f>IF(master_raw!DD4="","",master_raw!DD4)</f>
        <v>65</v>
      </c>
      <c r="DE4" t="str">
        <f>IF(master_raw!DE4="","",master_raw!DE4)</f>
        <v>A064-COG-X-BVM-T2Ti</v>
      </c>
      <c r="DF4">
        <f>IF(master_raw!DF4="","",master_raw!DF4)</f>
        <v>27</v>
      </c>
      <c r="DG4" t="str">
        <f>IF(master_raw!DG4="","",master_raw!DG4)</f>
        <v>A065-COG-X-BVM-T2Ti</v>
      </c>
      <c r="DH4">
        <f>IF(master_raw!DH4="","",master_raw!DH4)</f>
        <v>56</v>
      </c>
      <c r="DI4" t="str">
        <f>IF(master_raw!DI4="","",master_raw!DI4)</f>
        <v>A066-COG-X-BVM-T2Ti</v>
      </c>
      <c r="DJ4">
        <f>IF(master_raw!DJ4="","",master_raw!DJ4)</f>
        <v>20</v>
      </c>
      <c r="DK4" t="str">
        <f>IF(master_raw!DK4="","",master_raw!DK4)</f>
        <v>A067-COG-X-BVM-T2Ti</v>
      </c>
      <c r="DL4">
        <f>IF(master_raw!DL4="","",master_raw!DL4)</f>
        <v>34</v>
      </c>
      <c r="DM4" t="str">
        <f>IF(master_raw!DM4="","",master_raw!DM4)</f>
        <v>A068-COG-X-BVM-T2Ti</v>
      </c>
      <c r="DN4">
        <f>IF(master_raw!DN4="","",master_raw!DN4)</f>
        <v>25</v>
      </c>
      <c r="DO4" t="str">
        <f>IF(master_raw!DO4="","",master_raw!DO4)</f>
        <v>A069-COG-X-BVM-T2Ti</v>
      </c>
      <c r="DP4">
        <f>IF(master_raw!DP4="","",master_raw!DP4)</f>
        <v>36</v>
      </c>
      <c r="DQ4" t="str">
        <f>IF(master_raw!DQ4="","",master_raw!DQ4)</f>
        <v>A070-COG-X-BVM-T2Ti</v>
      </c>
      <c r="DR4">
        <f>IF(master_raw!DR4="","",master_raw!DR4)</f>
        <v>30</v>
      </c>
      <c r="DS4" t="str">
        <f>IF(master_raw!DS4="","",master_raw!DS4)</f>
        <v>A071-COG-X-BVM-T2Ti</v>
      </c>
      <c r="DT4" t="str">
        <f>IF(master_raw!DT4="","",master_raw!DT4)</f>
        <v/>
      </c>
      <c r="DU4" t="str">
        <f>IF(master_raw!DU4="","",master_raw!DU4)</f>
        <v>A072-COG-X-BVM-T2Ti</v>
      </c>
      <c r="DV4">
        <f>IF(master_raw!DV4="","",master_raw!DV4)</f>
        <v>20</v>
      </c>
      <c r="DW4" t="str">
        <f>IF(master_raw!DW4="","",master_raw!DW4)</f>
        <v>A073-COG-X-BVM-T2Ti</v>
      </c>
      <c r="DX4">
        <f>IF(master_raw!DX4="","",master_raw!DX4)</f>
        <v>27</v>
      </c>
      <c r="DY4" t="str">
        <f>IF(master_raw!DY4="","",master_raw!DY4)</f>
        <v>A074-COG-X-BVM-T2Ti</v>
      </c>
      <c r="DZ4">
        <f>IF(master_raw!DZ4="","",master_raw!DZ4)</f>
        <v>32</v>
      </c>
      <c r="EA4" t="str">
        <f>IF(master_raw!EA4="","",master_raw!EA4)</f>
        <v>A075-COG-X-BVM-T2Ti</v>
      </c>
      <c r="EB4">
        <f>IF(master_raw!EB4="","",master_raw!EB4)</f>
        <v>50</v>
      </c>
      <c r="EC4" t="str">
        <f>IF(master_raw!EC4="","",master_raw!EC4)</f>
        <v>A076-COG-X-BVM-T2Ti</v>
      </c>
      <c r="ED4">
        <f>IF(master_raw!ED4="","",master_raw!ED4)</f>
        <v>36</v>
      </c>
      <c r="EE4" t="str">
        <f>IF(master_raw!EE4="","",master_raw!EE4)</f>
        <v>A077-COG-X-BVM-T2Ti</v>
      </c>
      <c r="EF4">
        <f>IF(master_raw!EF4="","",master_raw!EF4)</f>
        <v>32</v>
      </c>
      <c r="EG4" t="str">
        <f>IF(master_raw!EG4="","",master_raw!EG4)</f>
        <v>A078-COG-X-BVM-T2Ti</v>
      </c>
      <c r="EH4">
        <f>IF(master_raw!EH4="","",master_raw!EH4)</f>
        <v>45</v>
      </c>
      <c r="EI4" t="str">
        <f>IF(master_raw!EI4="","",master_raw!EI4)</f>
        <v>A079-COG-X-BVM-T2Ti</v>
      </c>
      <c r="EJ4">
        <f>IF(master_raw!EJ4="","",master_raw!EJ4)</f>
        <v>32</v>
      </c>
      <c r="EK4" t="str">
        <f>IF(master_raw!EK4="","",master_raw!EK4)</f>
        <v>A080-COG-X-BVM-T2Ti</v>
      </c>
      <c r="EL4">
        <f>IF(master_raw!EL4="","",master_raw!EL4)</f>
        <v>34</v>
      </c>
      <c r="EM4" t="str">
        <f>IF(master_raw!EM4="","",master_raw!EM4)</f>
        <v>A081-COG-X-BVM-T2Ti</v>
      </c>
      <c r="EN4">
        <f>IF(master_raw!EN4="","",master_raw!EN4)</f>
        <v>57</v>
      </c>
      <c r="EO4" t="str">
        <f>IF(master_raw!EO4="","",master_raw!EO4)</f>
        <v>A082-COG-X-BVM-T2Ti</v>
      </c>
      <c r="EP4">
        <f>IF(master_raw!EP4="","",master_raw!EP4)</f>
        <v>47</v>
      </c>
      <c r="EQ4" t="str">
        <f>IF(master_raw!EQ4="","",master_raw!EQ4)</f>
        <v>A083-COG-X-BVM-T2Ti</v>
      </c>
      <c r="ER4">
        <f>IF(master_raw!ER4="","",master_raw!ER4)</f>
        <v>41</v>
      </c>
      <c r="ES4" t="str">
        <f>IF(master_raw!ES4="","",master_raw!ES4)</f>
        <v>A084-COG-X-BVM-T2Ti</v>
      </c>
      <c r="ET4">
        <f>IF(master_raw!ET4="","",master_raw!ET4)</f>
        <v>30</v>
      </c>
      <c r="EU4" t="str">
        <f>IF(master_raw!EU4="","",master_raw!EU4)</f>
        <v>A085-COG-X-BVM-T2Ti</v>
      </c>
      <c r="EV4">
        <f>IF(master_raw!EV4="","",master_raw!EV4)</f>
        <v>45</v>
      </c>
      <c r="EW4" t="str">
        <f>IF(master_raw!EW4="","",master_raw!EW4)</f>
        <v>A086-COG-X-BVM-T2Ti</v>
      </c>
      <c r="EX4">
        <f>IF(master_raw!EX4="","",master_raw!EX4)</f>
        <v>26</v>
      </c>
      <c r="EY4" t="str">
        <f>IF(master_raw!EY4="","",master_raw!EY4)</f>
        <v>A087-COG-X-BVM-T2Ti</v>
      </c>
      <c r="EZ4">
        <f>IF(master_raw!EZ4="","",master_raw!EZ4)</f>
        <v>38</v>
      </c>
      <c r="FA4" t="str">
        <f>IF(master_raw!FA4="","",master_raw!FA4)</f>
        <v>A088-COG-X-BVM-T2Ti</v>
      </c>
      <c r="FB4">
        <f>IF(master_raw!FB4="","",master_raw!FB4)</f>
        <v>37</v>
      </c>
      <c r="FC4" t="str">
        <f>IF(master_raw!FC4="","",master_raw!FC4)</f>
        <v>A089-COG-X-BVM-T2Ti</v>
      </c>
      <c r="FD4">
        <f>IF(master_raw!FD4="","",master_raw!FD4)</f>
        <v>30</v>
      </c>
      <c r="FE4" t="str">
        <f>IF(master_raw!FE4="","",master_raw!FE4)</f>
        <v>A090-COG-X-BVM-T2Ti</v>
      </c>
      <c r="FF4">
        <f>IF(master_raw!FF4="","",master_raw!FF4)</f>
        <v>31</v>
      </c>
      <c r="FG4" t="str">
        <f>IF(master_raw!FG4="","",master_raw!FG4)</f>
        <v>A091-COG-X-BVM-T2Ti</v>
      </c>
      <c r="FH4">
        <f>IF(master_raw!FH4="","",master_raw!FH4)</f>
        <v>41</v>
      </c>
      <c r="FI4" t="str">
        <f>IF(master_raw!FI4="","",master_raw!FI4)</f>
        <v>A092-COG-X-BVM-T2Ti</v>
      </c>
      <c r="FJ4">
        <f>IF(master_raw!FJ4="","",master_raw!FJ4)</f>
        <v>48</v>
      </c>
      <c r="FK4" t="str">
        <f>IF(master_raw!FK4="","",master_raw!FK4)</f>
        <v>A093-COG-X-BVM-T2Ti</v>
      </c>
      <c r="FL4">
        <f>IF(master_raw!FL4="","",master_raw!FL4)</f>
        <v>49</v>
      </c>
      <c r="FM4" t="str">
        <f>IF(master_raw!FM4="","",master_raw!FM4)</f>
        <v>A094-COG-X-BVM-T2Ti</v>
      </c>
      <c r="FN4">
        <f>IF(master_raw!FN4="","",master_raw!FN4)</f>
        <v>50</v>
      </c>
      <c r="FO4" t="str">
        <f>IF(master_raw!FO4="","",master_raw!FO4)</f>
        <v>A095-COG-X-BVM-T2Ti</v>
      </c>
      <c r="FP4">
        <f>IF(master_raw!FP4="","",master_raw!FP4)</f>
        <v>52</v>
      </c>
      <c r="FQ4" t="str">
        <f>IF(master_raw!FQ4="","",master_raw!FQ4)</f>
        <v>A096-COG-X-BVM-T2Ti</v>
      </c>
      <c r="FR4">
        <f>IF(master_raw!FR4="","",master_raw!FR4)</f>
        <v>84</v>
      </c>
      <c r="FS4" t="str">
        <f>IF(master_raw!FS4="","",master_raw!FS4)</f>
        <v>A097-COG-X-BVM-T2Ti</v>
      </c>
      <c r="FT4">
        <f>IF(master_raw!FT4="","",master_raw!FT4)</f>
        <v>21</v>
      </c>
      <c r="FU4" t="str">
        <f>IF(master_raw!FU4="","",master_raw!FU4)</f>
        <v>A098-COG-X-BVM-T2Ti</v>
      </c>
      <c r="FV4">
        <f>IF(master_raw!FV4="","",master_raw!FV4)</f>
        <v>39</v>
      </c>
      <c r="FW4" t="str">
        <f>IF(master_raw!FW4="","",master_raw!FW4)</f>
        <v>A099-COG-X-BVM-T2Ti</v>
      </c>
      <c r="FX4">
        <f>IF(master_raw!FX4="","",master_raw!FX4)</f>
        <v>55</v>
      </c>
      <c r="FY4" t="str">
        <f>IF(master_raw!FY4="","",master_raw!FY4)</f>
        <v>A100-COG-X-BVM-T2Ti</v>
      </c>
      <c r="FZ4">
        <f>IF(master_raw!FZ4="","",master_raw!FZ4)</f>
        <v>25</v>
      </c>
      <c r="GA4" t="str">
        <f>IF(master_raw!GA4="","",master_raw!GA4)</f>
        <v>A101-COG-X-BVM-T2Ti</v>
      </c>
      <c r="GB4">
        <f>IF(master_raw!GB4="","",master_raw!GB4)</f>
        <v>82</v>
      </c>
      <c r="GC4" t="str">
        <f>IF(master_raw!GC4="","",master_raw!GC4)</f>
        <v>A102-COG-X-BVM-T2Ti</v>
      </c>
      <c r="GD4">
        <f>IF(master_raw!GD4="","",master_raw!GD4)</f>
        <v>41</v>
      </c>
      <c r="GE4" t="str">
        <f>IF(master_raw!GE4="","",master_raw!GE4)</f>
        <v>A103-COG-X-BVM-T2Ti</v>
      </c>
      <c r="GF4">
        <f>IF(master_raw!GF4="","",master_raw!GF4)</f>
        <v>72</v>
      </c>
      <c r="GG4" t="str">
        <f>IF(master_raw!GG4="","",master_raw!GG4)</f>
        <v>A104-COG-X-BVM-T2Ti</v>
      </c>
      <c r="GH4">
        <f>IF(master_raw!GH4="","",master_raw!GH4)</f>
        <v>65</v>
      </c>
      <c r="GI4" t="str">
        <f>IF(master_raw!GI4="","",master_raw!GI4)</f>
        <v>A105-COG-X-BVM-T2Ti</v>
      </c>
      <c r="GJ4">
        <f>IF(master_raw!GJ4="","",master_raw!GJ4)</f>
        <v>36</v>
      </c>
      <c r="GK4" t="str">
        <f>IF(master_raw!GK4="","",master_raw!GK4)</f>
        <v>A106-COG-X-BVM-T2Ti</v>
      </c>
      <c r="GL4">
        <f>IF(master_raw!GL4="","",master_raw!GL4)</f>
        <v>70</v>
      </c>
      <c r="GM4" t="str">
        <f>IF(master_raw!GM4="","",master_raw!GM4)</f>
        <v>A107-COG-X-BVM-T2Ti</v>
      </c>
      <c r="GN4">
        <f>IF(master_raw!GN4="","",master_raw!GN4)</f>
        <v>43</v>
      </c>
      <c r="GO4" t="str">
        <f>IF(master_raw!GO4="","",master_raw!GO4)</f>
        <v>A108-COG-X-BVM-T2Ti</v>
      </c>
      <c r="GP4">
        <f>IF(master_raw!GP4="","",master_raw!GP4)</f>
        <v>31</v>
      </c>
      <c r="GQ4" t="str">
        <f>IF(master_raw!GQ4="","",master_raw!GQ4)</f>
        <v>A109-COG-X-BVM-T2Ti</v>
      </c>
      <c r="GR4">
        <f>IF(master_raw!GR4="","",master_raw!GR4)</f>
        <v>36</v>
      </c>
    </row>
    <row r="5" spans="1:200" x14ac:dyDescent="0.25">
      <c r="A5" t="str">
        <f>IF(master_raw!A5="","",master_raw!A5)</f>
        <v>A010-COG-X-BVM-T2Sc</v>
      </c>
      <c r="B5">
        <f>IF(master_raw!B5="","",ROUNDDOWN(master_raw!B5,0))</f>
        <v>12</v>
      </c>
      <c r="C5" t="str">
        <f>IF(master_raw!C5="","",master_raw!C5)</f>
        <v>A011-COG-X-BVM-T2Sc</v>
      </c>
      <c r="D5">
        <f>IF(master_raw!D5="","",ROUNDDOWN(master_raw!D5,0))</f>
        <v>12</v>
      </c>
      <c r="E5" t="str">
        <f>IF(master_raw!E5="","",master_raw!E5)</f>
        <v>A012-COG-X-BVM-T2Sc</v>
      </c>
      <c r="F5">
        <f>IF(master_raw!F5="","",ROUNDDOWN(master_raw!F5,0))</f>
        <v>11</v>
      </c>
      <c r="G5" t="str">
        <f>IF(master_raw!G5="","",master_raw!G5)</f>
        <v>A013-COG-X-BVM-T2Sc</v>
      </c>
      <c r="H5">
        <f>IF(master_raw!H5="","",ROUNDDOWN(master_raw!H5,0))</f>
        <v>9</v>
      </c>
      <c r="I5" t="str">
        <f>IF(master_raw!I5="","",master_raw!I5)</f>
        <v>A014-COG-X-BVM-T2Sc</v>
      </c>
      <c r="J5">
        <f>IF(master_raw!J5="","",ROUNDDOWN(master_raw!J5,0))</f>
        <v>12</v>
      </c>
      <c r="K5" t="str">
        <f>IF(master_raw!K5="","",master_raw!K5)</f>
        <v>A015-COG-X-BVM-T2Sc</v>
      </c>
      <c r="L5">
        <f>IF(master_raw!L5="","",ROUNDDOWN(master_raw!L5,0))</f>
        <v>12</v>
      </c>
      <c r="M5" t="str">
        <f>IF(master_raw!M5="","",master_raw!M5)</f>
        <v>A016-COG-X-BVM-T2Sc</v>
      </c>
      <c r="N5">
        <f>IF(master_raw!N5="","",ROUNDDOWN(master_raw!N5,0))</f>
        <v>11</v>
      </c>
      <c r="O5" t="str">
        <f>IF(master_raw!O5="","",master_raw!O5)</f>
        <v>A017-COG-X-BVM-T2Sc</v>
      </c>
      <c r="P5">
        <f>IF(master_raw!P5="","",ROUNDDOWN(master_raw!P5,0))</f>
        <v>11</v>
      </c>
      <c r="Q5" t="str">
        <f>IF(master_raw!Q5="","",master_raw!Q5)</f>
        <v>A018-COG-X-BVM-T2Sc</v>
      </c>
      <c r="R5">
        <f>IF(master_raw!R5="","",ROUNDDOWN(master_raw!R5,0))</f>
        <v>12</v>
      </c>
      <c r="S5" t="str">
        <f>IF(master_raw!S5="","",master_raw!S5)</f>
        <v>A019-COG-X-BVM-T2Sc</v>
      </c>
      <c r="T5">
        <f>IF(master_raw!T5="","",ROUNDDOWN(master_raw!T5,0))</f>
        <v>11</v>
      </c>
      <c r="U5" t="str">
        <f>IF(master_raw!U5="","",master_raw!U5)</f>
        <v>A020-COG-X-BVM-T2Sc</v>
      </c>
      <c r="V5">
        <f>IF(master_raw!V5="","",ROUNDDOWN(master_raw!V5,0))</f>
        <v>11</v>
      </c>
      <c r="W5" t="str">
        <f>IF(master_raw!W5="","",master_raw!W5)</f>
        <v>A021-COG-X-BVM-T2Sc</v>
      </c>
      <c r="X5">
        <f>IF(master_raw!X5="","",ROUNDDOWN(master_raw!X5,0))</f>
        <v>11</v>
      </c>
      <c r="Y5" t="str">
        <f>IF(master_raw!Y5="","",master_raw!Y5)</f>
        <v>A022-COG-X-BVM-T2Sc</v>
      </c>
      <c r="Z5">
        <f>IF(master_raw!Z5="","",ROUNDDOWN(master_raw!Z5,0))</f>
        <v>9</v>
      </c>
      <c r="AA5" t="str">
        <f>IF(master_raw!AA5="","",master_raw!AA5)</f>
        <v>A023-COG-X-BVM-T2Sc</v>
      </c>
      <c r="AB5">
        <f>IF(master_raw!AB5="","",ROUNDDOWN(master_raw!AB5,0))</f>
        <v>9</v>
      </c>
      <c r="AC5" t="str">
        <f>IF(master_raw!AC5="","",master_raw!AC5)</f>
        <v>A024-COG-X-BVM-T2Sc</v>
      </c>
      <c r="AD5">
        <f>IF(master_raw!AD5="","",ROUNDDOWN(master_raw!AD5,0))</f>
        <v>11</v>
      </c>
      <c r="AE5" t="str">
        <f>IF(master_raw!AE5="","",master_raw!AE5)</f>
        <v>A025-COG-X-BVM-T2Sc</v>
      </c>
      <c r="AF5">
        <f>IF(master_raw!AF5="","",ROUNDDOWN(master_raw!AF5,0))</f>
        <v>12</v>
      </c>
      <c r="AG5" t="str">
        <f>IF(master_raw!AG5="","",master_raw!AG5)</f>
        <v>A026-COG-X-BVM-T2Sc</v>
      </c>
      <c r="AH5">
        <f>IF(master_raw!AH5="","",ROUNDDOWN(master_raw!AH5,0))</f>
        <v>10</v>
      </c>
      <c r="AI5" t="str">
        <f>IF(master_raw!AI5="","",master_raw!AI5)</f>
        <v>A027-COG-X-BVM-T2Sc</v>
      </c>
      <c r="AJ5">
        <f>IF(master_raw!AJ5="","",ROUNDDOWN(master_raw!AJ5,0))</f>
        <v>12</v>
      </c>
      <c r="AK5" t="str">
        <f>IF(master_raw!AK5="","",master_raw!AK5)</f>
        <v>A028-COG-X-BVM-T2Sc</v>
      </c>
      <c r="AL5">
        <f>IF(master_raw!AL5="","",ROUNDDOWN(master_raw!AL5,0))</f>
        <v>12</v>
      </c>
      <c r="AM5" t="str">
        <f>IF(master_raw!AM5="","",master_raw!AM5)</f>
        <v>A029-COG-X-BVM-T2Sc</v>
      </c>
      <c r="AN5">
        <f>IF(master_raw!AN5="","",ROUNDDOWN(master_raw!AN5,0))</f>
        <v>12</v>
      </c>
      <c r="AO5" t="str">
        <f>IF(master_raw!AO5="","",master_raw!AO5)</f>
        <v>A030-COG-X-BVM-T2Sc</v>
      </c>
      <c r="AP5">
        <f>IF(master_raw!AP5="","",ROUNDDOWN(master_raw!AP5,0))</f>
        <v>12</v>
      </c>
      <c r="AQ5" t="str">
        <f>IF(master_raw!AQ5="","",master_raw!AQ5)</f>
        <v>A031-COG-X-BVM-T2Sc</v>
      </c>
      <c r="AR5">
        <f>IF(master_raw!AR5="","",ROUNDDOWN(master_raw!AR5,0))</f>
        <v>12</v>
      </c>
      <c r="AS5" t="str">
        <f>IF(master_raw!AS5="","",master_raw!AS5)</f>
        <v>A032-COG-X-BVM-T2Sc</v>
      </c>
      <c r="AT5">
        <f>IF(master_raw!AT5="","",ROUNDDOWN(master_raw!AT5,0))</f>
        <v>12</v>
      </c>
      <c r="AU5" t="str">
        <f>IF(master_raw!AU5="","",master_raw!AU5)</f>
        <v>A033-COG-X-BVM-T2Sc</v>
      </c>
      <c r="AV5">
        <f>IF(master_raw!AV5="","",ROUNDDOWN(master_raw!AV5,0))</f>
        <v>9</v>
      </c>
      <c r="AW5" t="str">
        <f>IF(master_raw!AW5="","",master_raw!AW5)</f>
        <v>A034-COG-X-BVM-T2Sc</v>
      </c>
      <c r="AX5">
        <f>IF(master_raw!AX5="","",ROUNDDOWN(master_raw!AX5,0))</f>
        <v>12</v>
      </c>
      <c r="AY5" t="str">
        <f>IF(master_raw!AY5="","",master_raw!AY5)</f>
        <v>A035-COG-X-BVM-T2Sc</v>
      </c>
      <c r="AZ5">
        <f>IF(master_raw!AZ5="","",ROUNDDOWN(master_raw!AZ5,0))</f>
        <v>12</v>
      </c>
      <c r="BA5" t="str">
        <f>IF(master_raw!BA5="","",master_raw!BA5)</f>
        <v>A036-COG-X-BVM-T2Sc</v>
      </c>
      <c r="BB5">
        <f>IF(master_raw!BB5="","",ROUNDDOWN(master_raw!BB5,0))</f>
        <v>8</v>
      </c>
      <c r="BC5" t="str">
        <f>IF(master_raw!BC5="","",master_raw!BC5)</f>
        <v>A037-COG-X-BVM-T2Sc</v>
      </c>
      <c r="BD5">
        <f>IF(master_raw!BD5="","",ROUNDDOWN(master_raw!BD5,0))</f>
        <v>12</v>
      </c>
      <c r="BE5" t="str">
        <f>IF(master_raw!BE5="","",master_raw!BE5)</f>
        <v>A038-COG-X-BVM-T2Sc</v>
      </c>
      <c r="BF5">
        <f>IF(master_raw!BF5="","",ROUNDDOWN(master_raw!BF5,0))</f>
        <v>9</v>
      </c>
      <c r="BG5" t="str">
        <f>IF(master_raw!BG5="","",master_raw!BG5)</f>
        <v>A039-COG-X-BVM-T2Sc</v>
      </c>
      <c r="BH5">
        <f>IF(master_raw!BH5="","",ROUNDDOWN(master_raw!BH5,0))</f>
        <v>11</v>
      </c>
      <c r="BI5" t="str">
        <f>IF(master_raw!BI5="","",master_raw!BI5)</f>
        <v>A040-COG-X-BVM-T2Sc</v>
      </c>
      <c r="BJ5">
        <f>IF(master_raw!BJ5="","",ROUNDDOWN(master_raw!BJ5,0))</f>
        <v>8</v>
      </c>
      <c r="BK5" t="str">
        <f>IF(master_raw!BK5="","",master_raw!BK5)</f>
        <v>A041-COG-X-BVM-T2Sc</v>
      </c>
      <c r="BL5">
        <f>IF(master_raw!BL5="","",ROUNDDOWN(master_raw!BL5,0))</f>
        <v>12</v>
      </c>
      <c r="BM5" t="str">
        <f>IF(master_raw!BM5="","",master_raw!BM5)</f>
        <v>A042-COG-X-BVM-T2Sc</v>
      </c>
      <c r="BN5">
        <f>IF(master_raw!BN5="","",ROUNDDOWN(master_raw!BN5,0))</f>
        <v>11</v>
      </c>
      <c r="BO5" t="str">
        <f>IF(master_raw!BO5="","",master_raw!BO5)</f>
        <v>A043-COG-X-BVM-T2Sc</v>
      </c>
      <c r="BP5">
        <f>IF(master_raw!BP5="","",ROUNDDOWN(master_raw!BP5,0))</f>
        <v>12</v>
      </c>
      <c r="BQ5" t="str">
        <f>IF(master_raw!BQ5="","",master_raw!BQ5)</f>
        <v>A044-COG-X-BVM-T2Sc</v>
      </c>
      <c r="BR5">
        <f>IF(master_raw!BR5="","",ROUNDDOWN(master_raw!BR5,0))</f>
        <v>10</v>
      </c>
      <c r="BS5" t="str">
        <f>IF(master_raw!BS5="","",master_raw!BS5)</f>
        <v>A045-COG-X-BVM-T2Sc</v>
      </c>
      <c r="BT5">
        <f>IF(master_raw!BT5="","",ROUNDDOWN(master_raw!BT5,0))</f>
        <v>11</v>
      </c>
      <c r="BU5" t="str">
        <f>IF(master_raw!BU5="","",master_raw!BU5)</f>
        <v>A046-COG-X-BVM-T2Sc</v>
      </c>
      <c r="BV5">
        <f>IF(master_raw!BV5="","",ROUNDDOWN(master_raw!BV5,0))</f>
        <v>11</v>
      </c>
      <c r="BW5" t="str">
        <f>IF(master_raw!BW5="","",master_raw!BW5)</f>
        <v>A047-COG-X-BVM-T2Sc</v>
      </c>
      <c r="BX5">
        <f>IF(master_raw!BX5="","",ROUNDDOWN(master_raw!BX5,0))</f>
        <v>8</v>
      </c>
      <c r="BY5" t="str">
        <f>IF(master_raw!BY5="","",master_raw!BY5)</f>
        <v>A048-COG-X-BVM-T2Sc</v>
      </c>
      <c r="BZ5">
        <f>IF(master_raw!BZ5="","",ROUNDDOWN(master_raw!BZ5,0))</f>
        <v>11</v>
      </c>
      <c r="CA5" t="str">
        <f>IF(master_raw!CA5="","",master_raw!CA5)</f>
        <v>A049-COG-X-BVM-T2Sc</v>
      </c>
      <c r="CB5">
        <f>IF(master_raw!CB5="","",ROUNDDOWN(master_raw!CB5,0))</f>
        <v>12</v>
      </c>
      <c r="CC5" t="str">
        <f>IF(master_raw!CC5="","",master_raw!CC5)</f>
        <v>A050-COG-X-BVM-T2Sc</v>
      </c>
      <c r="CD5">
        <f>IF(master_raw!CD5="","",ROUNDDOWN(master_raw!CD5,0))</f>
        <v>12</v>
      </c>
      <c r="CE5" t="str">
        <f>IF(master_raw!CE5="","",master_raw!CE5)</f>
        <v>A051-COG-X-BVM-T2Sc</v>
      </c>
      <c r="CF5">
        <f>IF(master_raw!CF5="","",ROUNDDOWN(master_raw!CF5,0))</f>
        <v>7</v>
      </c>
      <c r="CG5" t="str">
        <f>IF(master_raw!CG5="","",master_raw!CG5)</f>
        <v>A052-COG-X-BVM-T2Sc</v>
      </c>
      <c r="CH5">
        <f>IF(master_raw!CH5="","",ROUNDDOWN(master_raw!CH5,0))</f>
        <v>11</v>
      </c>
      <c r="CI5" t="str">
        <f>IF(master_raw!CI5="","",master_raw!CI5)</f>
        <v>A053-COG-X-BVM-T2Sc</v>
      </c>
      <c r="CJ5">
        <f>IF(master_raw!CJ5="","",ROUNDDOWN(master_raw!CJ5,0))</f>
        <v>11</v>
      </c>
      <c r="CK5" t="str">
        <f>IF(master_raw!CK5="","",master_raw!CK5)</f>
        <v>A054-COG-X-BVM-T2Sc</v>
      </c>
      <c r="CL5">
        <f>IF(master_raw!CL5="","",ROUNDDOWN(master_raw!CL5,0))</f>
        <v>12</v>
      </c>
      <c r="CM5" t="str">
        <f>IF(master_raw!CM5="","",master_raw!CM5)</f>
        <v>A055-COG-X-BVM-T2Sc</v>
      </c>
      <c r="CN5">
        <f>IF(master_raw!CN5="","",ROUNDDOWN(master_raw!CN5,0))</f>
        <v>7</v>
      </c>
      <c r="CO5" t="str">
        <f>IF(master_raw!CO5="","",master_raw!CO5)</f>
        <v>A056-COG-X-BVM-T2Sc</v>
      </c>
      <c r="CP5">
        <f>IF(master_raw!CP5="","",ROUNDDOWN(master_raw!CP5,0))</f>
        <v>11</v>
      </c>
      <c r="CQ5" t="str">
        <f>IF(master_raw!CQ5="","",master_raw!CQ5)</f>
        <v>A057-COG-X-BVM-T2Sc</v>
      </c>
      <c r="CR5">
        <f>IF(master_raw!CR5="","",ROUNDDOWN(master_raw!CR5,0))</f>
        <v>12</v>
      </c>
      <c r="CS5" t="str">
        <f>IF(master_raw!CS5="","",master_raw!CS5)</f>
        <v>A058-COG-X-BVM-T2Sc</v>
      </c>
      <c r="CT5">
        <f>IF(master_raw!CT5="","",ROUNDDOWN(master_raw!CT5,0))</f>
        <v>10</v>
      </c>
      <c r="CU5" t="str">
        <f>IF(master_raw!CU5="","",master_raw!CU5)</f>
        <v>A059-COG-X-BVM-T2Sc</v>
      </c>
      <c r="CV5">
        <f>IF(master_raw!CV5="","",ROUNDDOWN(master_raw!CV5,0))</f>
        <v>12</v>
      </c>
      <c r="CW5" t="str">
        <f>IF(master_raw!CW5="","",master_raw!CW5)</f>
        <v>A060-COG-X-BVM-T2Sc</v>
      </c>
      <c r="CX5">
        <f>IF(master_raw!CX5="","",ROUNDDOWN(master_raw!CX5,0))</f>
        <v>11</v>
      </c>
      <c r="CY5" t="str">
        <f>IF(master_raw!CY5="","",master_raw!CY5)</f>
        <v>A061-COG-X-BVM-T2Sc</v>
      </c>
      <c r="CZ5">
        <f>IF(master_raw!CZ5="","",ROUNDDOWN(master_raw!CZ5,0))</f>
        <v>11</v>
      </c>
      <c r="DA5" t="str">
        <f>IF(master_raw!DA5="","",master_raw!DA5)</f>
        <v>A062-COG-X-BVM-T2Sc</v>
      </c>
      <c r="DB5">
        <f>IF(master_raw!DB5="","",ROUNDDOWN(master_raw!DB5,0))</f>
        <v>11</v>
      </c>
      <c r="DC5" t="str">
        <f>IF(master_raw!DC5="","",master_raw!DC5)</f>
        <v>A063-COG-X-BVM-T2Sc</v>
      </c>
      <c r="DD5">
        <f>IF(master_raw!DD5="","",ROUNDDOWN(master_raw!DD5,0))</f>
        <v>11</v>
      </c>
      <c r="DE5" t="str">
        <f>IF(master_raw!DE5="","",master_raw!DE5)</f>
        <v>A064-COG-X-BVM-T2Sc</v>
      </c>
      <c r="DF5">
        <f>IF(master_raw!DF5="","",ROUNDDOWN(master_raw!DF5,0))</f>
        <v>12</v>
      </c>
      <c r="DG5" t="str">
        <f>IF(master_raw!DG5="","",master_raw!DG5)</f>
        <v>A065-COG-X-BVM-T2Sc</v>
      </c>
      <c r="DH5">
        <f>IF(master_raw!DH5="","",ROUNDDOWN(master_raw!DH5,0))</f>
        <v>7</v>
      </c>
      <c r="DI5" t="str">
        <f>IF(master_raw!DI5="","",master_raw!DI5)</f>
        <v>A066-COG-X-BVM-T2Sc</v>
      </c>
      <c r="DJ5">
        <f>IF(master_raw!DJ5="","",ROUNDDOWN(master_raw!DJ5,0))</f>
        <v>6</v>
      </c>
      <c r="DK5" t="str">
        <f>IF(master_raw!DK5="","",master_raw!DK5)</f>
        <v>A067-COG-X-BVM-T2Sc</v>
      </c>
      <c r="DL5">
        <f>IF(master_raw!DL5="","",ROUNDDOWN(master_raw!DL5,0))</f>
        <v>7</v>
      </c>
      <c r="DM5" t="str">
        <f>IF(master_raw!DM5="","",master_raw!DM5)</f>
        <v>A068-COG-X-BVM-T2Sc</v>
      </c>
      <c r="DN5">
        <f>IF(master_raw!DN5="","",ROUNDDOWN(master_raw!DN5,0))</f>
        <v>11</v>
      </c>
      <c r="DO5" t="str">
        <f>IF(master_raw!DO5="","",master_raw!DO5)</f>
        <v>A069-COG-X-BVM-T2Sc</v>
      </c>
      <c r="DP5">
        <f>IF(master_raw!DP5="","",ROUNDDOWN(master_raw!DP5,0))</f>
        <v>11</v>
      </c>
      <c r="DQ5" t="str">
        <f>IF(master_raw!DQ5="","",master_raw!DQ5)</f>
        <v>A070-COG-X-BVM-T2Sc</v>
      </c>
      <c r="DR5">
        <f>IF(master_raw!DR5="","",ROUNDDOWN(master_raw!DR5,0))</f>
        <v>11</v>
      </c>
      <c r="DS5" t="str">
        <f>IF(master_raw!DS5="","",master_raw!DS5)</f>
        <v>A071-COG-X-BVM-T2Sc</v>
      </c>
      <c r="DT5">
        <f>IF(master_raw!DT5="","",ROUNDDOWN(master_raw!DT5,0))</f>
        <v>11</v>
      </c>
      <c r="DU5" t="str">
        <f>IF(master_raw!DU5="","",master_raw!DU5)</f>
        <v>A072-COG-X-BVM-T2Sc</v>
      </c>
      <c r="DV5">
        <f>IF(master_raw!DV5="","",ROUNDDOWN(master_raw!DV5,0))</f>
        <v>12</v>
      </c>
      <c r="DW5" t="str">
        <f>IF(master_raw!DW5="","",master_raw!DW5)</f>
        <v>A073-COG-X-BVM-T2Sc</v>
      </c>
      <c r="DX5">
        <f>IF(master_raw!DX5="","",ROUNDDOWN(master_raw!DX5,0))</f>
        <v>9</v>
      </c>
      <c r="DY5" t="str">
        <f>IF(master_raw!DY5="","",master_raw!DY5)</f>
        <v>A074-COG-X-BVM-T2Sc</v>
      </c>
      <c r="DZ5">
        <f>IF(master_raw!DZ5="","",ROUNDDOWN(master_raw!DZ5,0))</f>
        <v>10</v>
      </c>
      <c r="EA5" t="str">
        <f>IF(master_raw!EA5="","",master_raw!EA5)</f>
        <v>A075-COG-X-BVM-T2Sc</v>
      </c>
      <c r="EB5">
        <f>IF(master_raw!EB5="","",ROUNDDOWN(master_raw!EB5,0))</f>
        <v>9</v>
      </c>
      <c r="EC5" t="str">
        <f>IF(master_raw!EC5="","",master_raw!EC5)</f>
        <v>A076-COG-X-BVM-T2Sc</v>
      </c>
      <c r="ED5">
        <f>IF(master_raw!ED5="","",ROUNDDOWN(master_raw!ED5,0))</f>
        <v>7</v>
      </c>
      <c r="EE5" t="str">
        <f>IF(master_raw!EE5="","",master_raw!EE5)</f>
        <v>A077-COG-X-BVM-T2Sc</v>
      </c>
      <c r="EF5">
        <f>IF(master_raw!EF5="","",ROUNDDOWN(master_raw!EF5,0))</f>
        <v>12</v>
      </c>
      <c r="EG5" t="str">
        <f>IF(master_raw!EG5="","",master_raw!EG5)</f>
        <v>A078-COG-X-BVM-T2Sc</v>
      </c>
      <c r="EH5">
        <f>IF(master_raw!EH5="","",ROUNDDOWN(master_raw!EH5,0))</f>
        <v>6</v>
      </c>
      <c r="EI5" t="str">
        <f>IF(master_raw!EI5="","",master_raw!EI5)</f>
        <v>A079-COG-X-BVM-T2Sc</v>
      </c>
      <c r="EJ5">
        <f>IF(master_raw!EJ5="","",ROUNDDOWN(master_raw!EJ5,0))</f>
        <v>12</v>
      </c>
      <c r="EK5" t="str">
        <f>IF(master_raw!EK5="","",master_raw!EK5)</f>
        <v>A080-COG-X-BVM-T2Sc</v>
      </c>
      <c r="EL5">
        <f>IF(master_raw!EL5="","",ROUNDDOWN(master_raw!EL5,0))</f>
        <v>11</v>
      </c>
      <c r="EM5" t="str">
        <f>IF(master_raw!EM5="","",master_raw!EM5)</f>
        <v>A081-COG-X-BVM-T2Sc</v>
      </c>
      <c r="EN5">
        <f>IF(master_raw!EN5="","",ROUNDDOWN(master_raw!EN5,0))</f>
        <v>10</v>
      </c>
      <c r="EO5" t="str">
        <f>IF(master_raw!EO5="","",master_raw!EO5)</f>
        <v>A082-COG-X-BVM-T2Sc</v>
      </c>
      <c r="EP5">
        <f>IF(master_raw!EP5="","",ROUNDDOWN(master_raw!EP5,0))</f>
        <v>11</v>
      </c>
      <c r="EQ5" t="str">
        <f>IF(master_raw!EQ5="","",master_raw!EQ5)</f>
        <v>A083-COG-X-BVM-T2Sc</v>
      </c>
      <c r="ER5">
        <f>IF(master_raw!ER5="","",ROUNDDOWN(master_raw!ER5,0))</f>
        <v>9</v>
      </c>
      <c r="ES5" t="str">
        <f>IF(master_raw!ES5="","",master_raw!ES5)</f>
        <v>A084-COG-X-BVM-T2Sc</v>
      </c>
      <c r="ET5">
        <f>IF(master_raw!ET5="","",ROUNDDOWN(master_raw!ET5,0))</f>
        <v>6</v>
      </c>
      <c r="EU5" t="str">
        <f>IF(master_raw!EU5="","",master_raw!EU5)</f>
        <v>A085-COG-X-BVM-T2Sc</v>
      </c>
      <c r="EV5">
        <f>IF(master_raw!EV5="","",ROUNDDOWN(master_raw!EV5,0))</f>
        <v>9</v>
      </c>
      <c r="EW5" t="str">
        <f>IF(master_raw!EW5="","",master_raw!EW5)</f>
        <v>A086-COG-X-BVM-T2Sc</v>
      </c>
      <c r="EX5">
        <f>IF(master_raw!EX5="","",ROUNDDOWN(master_raw!EX5,0))</f>
        <v>12</v>
      </c>
      <c r="EY5" t="str">
        <f>IF(master_raw!EY5="","",master_raw!EY5)</f>
        <v>A087-COG-X-BVM-T2Sc</v>
      </c>
      <c r="EZ5">
        <f>IF(master_raw!EZ5="","",ROUNDDOWN(master_raw!EZ5,0))</f>
        <v>11</v>
      </c>
      <c r="FA5" t="str">
        <f>IF(master_raw!FA5="","",master_raw!FA5)</f>
        <v>A088-COG-X-BVM-T2Sc</v>
      </c>
      <c r="FB5">
        <f>IF(master_raw!FB5="","",ROUNDDOWN(master_raw!FB5,0))</f>
        <v>10</v>
      </c>
      <c r="FC5" t="str">
        <f>IF(master_raw!FC5="","",master_raw!FC5)</f>
        <v>A089-COG-X-BVM-T2Sc</v>
      </c>
      <c r="FD5">
        <f>IF(master_raw!FD5="","",ROUNDDOWN(master_raw!FD5,0))</f>
        <v>10</v>
      </c>
      <c r="FE5" t="str">
        <f>IF(master_raw!FE5="","",master_raw!FE5)</f>
        <v>A090-COG-X-BVM-T2Sc</v>
      </c>
      <c r="FF5">
        <f>IF(master_raw!FF5="","",ROUNDDOWN(master_raw!FF5,0))</f>
        <v>10</v>
      </c>
      <c r="FG5" t="str">
        <f>IF(master_raw!FG5="","",master_raw!FG5)</f>
        <v>A091-COG-X-BVM-T2Sc</v>
      </c>
      <c r="FH5">
        <f>IF(master_raw!FH5="","",ROUNDDOWN(master_raw!FH5,0))</f>
        <v>8</v>
      </c>
      <c r="FI5" t="str">
        <f>IF(master_raw!FI5="","",master_raw!FI5)</f>
        <v>A092-COG-X-BVM-T2Sc</v>
      </c>
      <c r="FJ5">
        <f>IF(master_raw!FJ5="","",ROUNDDOWN(master_raw!FJ5,0))</f>
        <v>11</v>
      </c>
      <c r="FK5" t="str">
        <f>IF(master_raw!FK5="","",master_raw!FK5)</f>
        <v>A093-COG-X-BVM-T2Sc</v>
      </c>
      <c r="FL5">
        <f>IF(master_raw!FL5="","",ROUNDDOWN(master_raw!FL5,0))</f>
        <v>11</v>
      </c>
      <c r="FM5" t="str">
        <f>IF(master_raw!FM5="","",master_raw!FM5)</f>
        <v>A094-COG-X-BVM-T2Sc</v>
      </c>
      <c r="FN5">
        <f>IF(master_raw!FN5="","",ROUNDDOWN(master_raw!FN5,0))</f>
        <v>8</v>
      </c>
      <c r="FO5" t="str">
        <f>IF(master_raw!FO5="","",master_raw!FO5)</f>
        <v>A095-COG-X-BVM-T2Sc</v>
      </c>
      <c r="FP5">
        <f>IF(master_raw!FP5="","",ROUNDDOWN(master_raw!FP5,0))</f>
        <v>11</v>
      </c>
      <c r="FQ5" t="str">
        <f>IF(master_raw!FQ5="","",master_raw!FQ5)</f>
        <v>A096-COG-X-BVM-T2Sc</v>
      </c>
      <c r="FR5">
        <f>IF(master_raw!FR5="","",ROUNDDOWN(master_raw!FR5,0))</f>
        <v>9</v>
      </c>
      <c r="FS5" t="str">
        <f>IF(master_raw!FS5="","",master_raw!FS5)</f>
        <v>A097-COG-X-BVM-T2Sc</v>
      </c>
      <c r="FT5">
        <f>IF(master_raw!FT5="","",ROUNDDOWN(master_raw!FT5,0))</f>
        <v>5</v>
      </c>
      <c r="FU5" t="str">
        <f>IF(master_raw!FU5="","",master_raw!FU5)</f>
        <v>A098-COG-X-BVM-T2Sc</v>
      </c>
      <c r="FV5">
        <f>IF(master_raw!FV5="","",ROUNDDOWN(master_raw!FV5,0))</f>
        <v>9</v>
      </c>
      <c r="FW5" t="str">
        <f>IF(master_raw!FW5="","",master_raw!FW5)</f>
        <v>A099-COG-X-BVM-T2Sc</v>
      </c>
      <c r="FX5">
        <f>IF(master_raw!FX5="","",ROUNDDOWN(master_raw!FX5,0))</f>
        <v>9</v>
      </c>
      <c r="FY5" t="str">
        <f>IF(master_raw!FY5="","",master_raw!FY5)</f>
        <v>A100-COG-X-BVM-T2Sc</v>
      </c>
      <c r="FZ5">
        <f>IF(master_raw!FZ5="","",ROUNDDOWN(master_raw!FZ5,0))</f>
        <v>3</v>
      </c>
      <c r="GA5" t="str">
        <f>IF(master_raw!GA5="","",master_raw!GA5)</f>
        <v>A101-COG-X-BVM-T2Sc</v>
      </c>
      <c r="GB5">
        <f>IF(master_raw!GB5="","",ROUNDDOWN(master_raw!GB5,0))</f>
        <v>10</v>
      </c>
      <c r="GC5" t="str">
        <f>IF(master_raw!GC5="","",master_raw!GC5)</f>
        <v>A102-COG-X-BVM-T2Sc</v>
      </c>
      <c r="GD5">
        <f>IF(master_raw!GD5="","",ROUNDDOWN(master_raw!GD5,0))</f>
        <v>11</v>
      </c>
      <c r="GE5" t="str">
        <f>IF(master_raw!GE5="","",master_raw!GE5)</f>
        <v>A103-COG-X-BVM-T2Sc</v>
      </c>
      <c r="GF5">
        <f>IF(master_raw!GF5="","",ROUNDDOWN(master_raw!GF5,0))</f>
        <v>7</v>
      </c>
      <c r="GG5" t="str">
        <f>IF(master_raw!GG5="","",master_raw!GG5)</f>
        <v>A104-COG-X-BVM-T2Sc</v>
      </c>
      <c r="GH5">
        <f>IF(master_raw!GH5="","",ROUNDDOWN(master_raw!GH5,0))</f>
        <v>11</v>
      </c>
      <c r="GI5" t="str">
        <f>IF(master_raw!GI5="","",master_raw!GI5)</f>
        <v>A105-COG-X-BVM-T2Sc</v>
      </c>
      <c r="GJ5">
        <f>IF(master_raw!GJ5="","",ROUNDDOWN(master_raw!GJ5,0))</f>
        <v>4</v>
      </c>
      <c r="GK5" t="str">
        <f>IF(master_raw!GK5="","",master_raw!GK5)</f>
        <v>A106-COG-X-BVM-T2Sc</v>
      </c>
      <c r="GL5">
        <f>IF(master_raw!GL5="","",ROUNDDOWN(master_raw!GL5,0))</f>
        <v>11</v>
      </c>
      <c r="GM5" t="str">
        <f>IF(master_raw!GM5="","",master_raw!GM5)</f>
        <v>A107-COG-X-BVM-T2Sc</v>
      </c>
      <c r="GN5">
        <f>IF(master_raw!GN5="","",ROUNDDOWN(master_raw!GN5,0))</f>
        <v>6</v>
      </c>
      <c r="GO5" t="str">
        <f>IF(master_raw!GO5="","",master_raw!GO5)</f>
        <v>A108-COG-X-BVM-T2Sc</v>
      </c>
      <c r="GP5">
        <f>IF(master_raw!GP5="","",ROUNDDOWN(master_raw!GP5,0))</f>
        <v>9</v>
      </c>
      <c r="GQ5" t="str">
        <f>IF(master_raw!GQ5="","",master_raw!GQ5)</f>
        <v>A109-COG-X-BVM-T2Sc</v>
      </c>
      <c r="GR5">
        <f>IF(master_raw!GR5="","",ROUNDDOWN(master_raw!GR5,0))</f>
        <v>3</v>
      </c>
    </row>
    <row r="6" spans="1:200" x14ac:dyDescent="0.25">
      <c r="A6" t="str">
        <f>IF(master_raw!A6="","",master_raw!A6)</f>
        <v>A010-COG-X-BVM-T3Ti</v>
      </c>
      <c r="B6">
        <f>IF(master_raw!B6="","",master_raw!B6)</f>
        <v>66</v>
      </c>
      <c r="C6" t="str">
        <f>IF(master_raw!C6="","",master_raw!C6)</f>
        <v>A011-COG-X-BVM-T3Ti</v>
      </c>
      <c r="D6" t="str">
        <f>IF(master_raw!D6="","",master_raw!D6)</f>
        <v/>
      </c>
      <c r="E6" t="str">
        <f>IF(master_raw!E6="","",master_raw!E6)</f>
        <v>A012-COG-X-BVM-T3Ti</v>
      </c>
      <c r="F6" t="str">
        <f>IF(master_raw!F6="","",master_raw!F6)</f>
        <v/>
      </c>
      <c r="G6" t="str">
        <f>IF(master_raw!G6="","",master_raw!G6)</f>
        <v>A013-COG-X-BVM-T3Ti</v>
      </c>
      <c r="H6">
        <f>IF(master_raw!H6="","",master_raw!H6)</f>
        <v>35</v>
      </c>
      <c r="I6" t="str">
        <f>IF(master_raw!I6="","",master_raw!I6)</f>
        <v>A014-COG-X-BVM-T3Ti</v>
      </c>
      <c r="J6">
        <f>IF(master_raw!J6="","",master_raw!J6)</f>
        <v>47</v>
      </c>
      <c r="K6" t="str">
        <f>IF(master_raw!K6="","",master_raw!K6)</f>
        <v>A015-COG-X-BVM-T3Ti</v>
      </c>
      <c r="L6">
        <f>IF(master_raw!L6="","",master_raw!L6)</f>
        <v>30</v>
      </c>
      <c r="M6" t="str">
        <f>IF(master_raw!M6="","",master_raw!M6)</f>
        <v>A016-COG-X-BVM-T3Ti</v>
      </c>
      <c r="N6">
        <f>IF(master_raw!N6="","",master_raw!N6)</f>
        <v>21</v>
      </c>
      <c r="O6" t="str">
        <f>IF(master_raw!O6="","",master_raw!O6)</f>
        <v>A017-COG-X-BVM-T3Ti</v>
      </c>
      <c r="P6">
        <f>IF(master_raw!P6="","",master_raw!P6)</f>
        <v>25</v>
      </c>
      <c r="Q6" t="str">
        <f>IF(master_raw!Q6="","",master_raw!Q6)</f>
        <v>A018-COG-X-BVM-T3Ti</v>
      </c>
      <c r="R6">
        <f>IF(master_raw!R6="","",master_raw!R6)</f>
        <v>32</v>
      </c>
      <c r="S6" t="str">
        <f>IF(master_raw!S6="","",master_raw!S6)</f>
        <v>A019-COG-X-BVM-T3Ti</v>
      </c>
      <c r="T6">
        <f>IF(master_raw!T6="","",master_raw!T6)</f>
        <v>29</v>
      </c>
      <c r="U6" t="str">
        <f>IF(master_raw!U6="","",master_raw!U6)</f>
        <v>A020-COG-X-BVM-T3Ti</v>
      </c>
      <c r="V6">
        <f>IF(master_raw!V6="","",master_raw!V6)</f>
        <v>38</v>
      </c>
      <c r="W6" t="str">
        <f>IF(master_raw!W6="","",master_raw!W6)</f>
        <v>A021-COG-X-BVM-T3Ti</v>
      </c>
      <c r="X6">
        <f>IF(master_raw!X6="","",master_raw!X6)</f>
        <v>28</v>
      </c>
      <c r="Y6" t="str">
        <f>IF(master_raw!Y6="","",master_raw!Y6)</f>
        <v>A022-COG-X-BVM-T3Ti</v>
      </c>
      <c r="Z6">
        <f>IF(master_raw!Z6="","",master_raw!Z6)</f>
        <v>24</v>
      </c>
      <c r="AA6" t="str">
        <f>IF(master_raw!AA6="","",master_raw!AA6)</f>
        <v>A023-COG-X-BVM-T3Ti</v>
      </c>
      <c r="AB6">
        <f>IF(master_raw!AB6="","",master_raw!AB6)</f>
        <v>71</v>
      </c>
      <c r="AC6" t="str">
        <f>IF(master_raw!AC6="","",master_raw!AC6)</f>
        <v>A024-COG-X-BVM-T3Ti</v>
      </c>
      <c r="AD6">
        <f>IF(master_raw!AD6="","",master_raw!AD6)</f>
        <v>49</v>
      </c>
      <c r="AE6" t="str">
        <f>IF(master_raw!AE6="","",master_raw!AE6)</f>
        <v>A025-COG-X-BVM-T3Ti</v>
      </c>
      <c r="AF6">
        <f>IF(master_raw!AF6="","",master_raw!AF6)</f>
        <v>55</v>
      </c>
      <c r="AG6" t="str">
        <f>IF(master_raw!AG6="","",master_raw!AG6)</f>
        <v>A026-COG-X-BVM-T3Ti</v>
      </c>
      <c r="AH6">
        <f>IF(master_raw!AH6="","",master_raw!AH6)</f>
        <v>34</v>
      </c>
      <c r="AI6" t="str">
        <f>IF(master_raw!AI6="","",master_raw!AI6)</f>
        <v>A027-COG-X-BVM-T3Ti</v>
      </c>
      <c r="AJ6">
        <f>IF(master_raw!AJ6="","",master_raw!AJ6)</f>
        <v>32</v>
      </c>
      <c r="AK6" t="str">
        <f>IF(master_raw!AK6="","",master_raw!AK6)</f>
        <v>A028-COG-X-BVM-T3Ti</v>
      </c>
      <c r="AL6">
        <f>IF(master_raw!AL6="","",master_raw!AL6)</f>
        <v>21</v>
      </c>
      <c r="AM6" t="str">
        <f>IF(master_raw!AM6="","",master_raw!AM6)</f>
        <v>A029-COG-X-BVM-T3Ti</v>
      </c>
      <c r="AN6">
        <f>IF(master_raw!AN6="","",master_raw!AN6)</f>
        <v>20</v>
      </c>
      <c r="AO6" t="str">
        <f>IF(master_raw!AO6="","",master_raw!AO6)</f>
        <v>A030-COG-X-BVM-T3Ti</v>
      </c>
      <c r="AP6">
        <f>IF(master_raw!AP6="","",master_raw!AP6)</f>
        <v>18</v>
      </c>
      <c r="AQ6" t="str">
        <f>IF(master_raw!AQ6="","",master_raw!AQ6)</f>
        <v>A031-COG-X-BVM-T3Ti</v>
      </c>
      <c r="AR6">
        <f>IF(master_raw!AR6="","",master_raw!AR6)</f>
        <v>25</v>
      </c>
      <c r="AS6" t="str">
        <f>IF(master_raw!AS6="","",master_raw!AS6)</f>
        <v>A032-COG-X-BVM-T3Ti</v>
      </c>
      <c r="AT6">
        <f>IF(master_raw!AT6="","",master_raw!AT6)</f>
        <v>41</v>
      </c>
      <c r="AU6" t="str">
        <f>IF(master_raw!AU6="","",master_raw!AU6)</f>
        <v>A033-COG-X-BVM-T3Ti</v>
      </c>
      <c r="AV6">
        <f>IF(master_raw!AV6="","",master_raw!AV6)</f>
        <v>35</v>
      </c>
      <c r="AW6" t="str">
        <f>IF(master_raw!AW6="","",master_raw!AW6)</f>
        <v>A034-COG-X-BVM-T3Ti</v>
      </c>
      <c r="AX6">
        <f>IF(master_raw!AX6="","",master_raw!AX6)</f>
        <v>35</v>
      </c>
      <c r="AY6" t="str">
        <f>IF(master_raw!AY6="","",master_raw!AY6)</f>
        <v>A035-COG-X-BVM-T3Ti</v>
      </c>
      <c r="AZ6">
        <f>IF(master_raw!AZ6="","",master_raw!AZ6)</f>
        <v>36</v>
      </c>
      <c r="BA6" t="str">
        <f>IF(master_raw!BA6="","",master_raw!BA6)</f>
        <v>A036-COG-X-BVM-T3Ti</v>
      </c>
      <c r="BB6">
        <f>IF(master_raw!BB6="","",master_raw!BB6)</f>
        <v>61</v>
      </c>
      <c r="BC6" t="str">
        <f>IF(master_raw!BC6="","",master_raw!BC6)</f>
        <v>A037-COG-X-BVM-T3Ti</v>
      </c>
      <c r="BD6">
        <f>IF(master_raw!BD6="","",master_raw!BD6)</f>
        <v>25</v>
      </c>
      <c r="BE6" t="str">
        <f>IF(master_raw!BE6="","",master_raw!BE6)</f>
        <v>A038-COG-X-BVM-T3Ti</v>
      </c>
      <c r="BF6">
        <f>IF(master_raw!BF6="","",master_raw!BF6)</f>
        <v>33</v>
      </c>
      <c r="BG6" t="str">
        <f>IF(master_raw!BG6="","",master_raw!BG6)</f>
        <v>A039-COG-X-BVM-T3Ti</v>
      </c>
      <c r="BH6">
        <f>IF(master_raw!BH6="","",master_raw!BH6)</f>
        <v>31</v>
      </c>
      <c r="BI6" t="str">
        <f>IF(master_raw!BI6="","",master_raw!BI6)</f>
        <v>A040-COG-X-BVM-T3Ti</v>
      </c>
      <c r="BJ6">
        <f>IF(master_raw!BJ6="","",master_raw!BJ6)</f>
        <v>25</v>
      </c>
      <c r="BK6" t="str">
        <f>IF(master_raw!BK6="","",master_raw!BK6)</f>
        <v>A041-COG-X-BVM-T3Ti</v>
      </c>
      <c r="BL6">
        <f>IF(master_raw!BL6="","",master_raw!BL6)</f>
        <v>22</v>
      </c>
      <c r="BM6" t="str">
        <f>IF(master_raw!BM6="","",master_raw!BM6)</f>
        <v>A042-COG-X-BVM-T3Ti</v>
      </c>
      <c r="BN6">
        <f>IF(master_raw!BN6="","",master_raw!BN6)</f>
        <v>33</v>
      </c>
      <c r="BO6" t="str">
        <f>IF(master_raw!BO6="","",master_raw!BO6)</f>
        <v>A043-COG-X-BVM-T3Ti</v>
      </c>
      <c r="BP6">
        <f>IF(master_raw!BP6="","",master_raw!BP6)</f>
        <v>41</v>
      </c>
      <c r="BQ6" t="str">
        <f>IF(master_raw!BQ6="","",master_raw!BQ6)</f>
        <v>A044-COG-X-BVM-T3Ti</v>
      </c>
      <c r="BR6">
        <f>IF(master_raw!BR6="","",master_raw!BR6)</f>
        <v>38</v>
      </c>
      <c r="BS6" t="str">
        <f>IF(master_raw!BS6="","",master_raw!BS6)</f>
        <v>A045-COG-X-BVM-T3Ti</v>
      </c>
      <c r="BT6">
        <f>IF(master_raw!BT6="","",master_raw!BT6)</f>
        <v>36</v>
      </c>
      <c r="BU6" t="str">
        <f>IF(master_raw!BU6="","",master_raw!BU6)</f>
        <v>A046-COG-X-BVM-T3Ti</v>
      </c>
      <c r="BV6">
        <f>IF(master_raw!BV6="","",master_raw!BV6)</f>
        <v>28</v>
      </c>
      <c r="BW6" t="str">
        <f>IF(master_raw!BW6="","",master_raw!BW6)</f>
        <v>A047-COG-X-BVM-T3Ti</v>
      </c>
      <c r="BX6">
        <f>IF(master_raw!BX6="","",master_raw!BX6)</f>
        <v>30</v>
      </c>
      <c r="BY6" t="str">
        <f>IF(master_raw!BY6="","",master_raw!BY6)</f>
        <v>A048-COG-X-BVM-T3Ti</v>
      </c>
      <c r="BZ6">
        <f>IF(master_raw!BZ6="","",master_raw!BZ6)</f>
        <v>14</v>
      </c>
      <c r="CA6" t="str">
        <f>IF(master_raw!CA6="","",master_raw!CA6)</f>
        <v>A049-COG-X-BVM-T3Ti</v>
      </c>
      <c r="CB6">
        <f>IF(master_raw!CB6="","",master_raw!CB6)</f>
        <v>39</v>
      </c>
      <c r="CC6" t="str">
        <f>IF(master_raw!CC6="","",master_raw!CC6)</f>
        <v>A050-COG-X-BVM-T3Ti</v>
      </c>
      <c r="CD6">
        <f>IF(master_raw!CD6="","",master_raw!CD6)</f>
        <v>27</v>
      </c>
      <c r="CE6" t="str">
        <f>IF(master_raw!CE6="","",master_raw!CE6)</f>
        <v>A051-COG-X-BVM-T3Ti</v>
      </c>
      <c r="CF6">
        <f>IF(master_raw!CF6="","",master_raw!CF6)</f>
        <v>35</v>
      </c>
      <c r="CG6" t="str">
        <f>IF(master_raw!CG6="","",master_raw!CG6)</f>
        <v>A052-COG-X-BVM-T3Ti</v>
      </c>
      <c r="CH6">
        <f>IF(master_raw!CH6="","",master_raw!CH6)</f>
        <v>58</v>
      </c>
      <c r="CI6" t="str">
        <f>IF(master_raw!CI6="","",master_raw!CI6)</f>
        <v>A053-COG-X-BVM-T3Ti</v>
      </c>
      <c r="CJ6">
        <f>IF(master_raw!CJ6="","",master_raw!CJ6)</f>
        <v>42</v>
      </c>
      <c r="CK6" t="str">
        <f>IF(master_raw!CK6="","",master_raw!CK6)</f>
        <v>A054-COG-X-BVM-T3Ti</v>
      </c>
      <c r="CL6">
        <f>IF(master_raw!CL6="","",master_raw!CL6)</f>
        <v>34</v>
      </c>
      <c r="CM6" t="str">
        <f>IF(master_raw!CM6="","",master_raw!CM6)</f>
        <v>A055-COG-X-BVM-T3Ti</v>
      </c>
      <c r="CN6">
        <f>IF(master_raw!CN6="","",master_raw!CN6)</f>
        <v>36</v>
      </c>
      <c r="CO6" t="str">
        <f>IF(master_raw!CO6="","",master_raw!CO6)</f>
        <v>A056-COG-X-BVM-T3Ti</v>
      </c>
      <c r="CP6">
        <f>IF(master_raw!CP6="","",master_raw!CP6)</f>
        <v>32</v>
      </c>
      <c r="CQ6" t="str">
        <f>IF(master_raw!CQ6="","",master_raw!CQ6)</f>
        <v>A057-COG-X-BVM-T3Ti</v>
      </c>
      <c r="CR6">
        <f>IF(master_raw!CR6="","",master_raw!CR6)</f>
        <v>35</v>
      </c>
      <c r="CS6" t="str">
        <f>IF(master_raw!CS6="","",master_raw!CS6)</f>
        <v>A058-COG-X-BVM-T3Ti</v>
      </c>
      <c r="CT6">
        <f>IF(master_raw!CT6="","",master_raw!CT6)</f>
        <v>25</v>
      </c>
      <c r="CU6" t="str">
        <f>IF(master_raw!CU6="","",master_raw!CU6)</f>
        <v>A059-COG-X-BVM-T3Ti</v>
      </c>
      <c r="CV6">
        <f>IF(master_raw!CV6="","",master_raw!CV6)</f>
        <v>52</v>
      </c>
      <c r="CW6" t="str">
        <f>IF(master_raw!CW6="","",master_raw!CW6)</f>
        <v>A060-COG-X-BVM-T3Ti</v>
      </c>
      <c r="CX6">
        <f>IF(master_raw!CX6="","",master_raw!CX6)</f>
        <v>43</v>
      </c>
      <c r="CY6" t="str">
        <f>IF(master_raw!CY6="","",master_raw!CY6)</f>
        <v>A061-COG-X-BVM-T3Ti</v>
      </c>
      <c r="CZ6">
        <f>IF(master_raw!CZ6="","",master_raw!CZ6)</f>
        <v>37</v>
      </c>
      <c r="DA6" t="str">
        <f>IF(master_raw!DA6="","",master_raw!DA6)</f>
        <v>A062-COG-X-BVM-T3Ti</v>
      </c>
      <c r="DB6">
        <f>IF(master_raw!DB6="","",master_raw!DB6)</f>
        <v>23</v>
      </c>
      <c r="DC6" t="str">
        <f>IF(master_raw!DC6="","",master_raw!DC6)</f>
        <v>A063-COG-X-BVM-T3Ti</v>
      </c>
      <c r="DD6">
        <f>IF(master_raw!DD6="","",master_raw!DD6)</f>
        <v>35</v>
      </c>
      <c r="DE6" t="str">
        <f>IF(master_raw!DE6="","",master_raw!DE6)</f>
        <v>A064-COG-X-BVM-T3Ti</v>
      </c>
      <c r="DF6">
        <f>IF(master_raw!DF6="","",master_raw!DF6)</f>
        <v>28</v>
      </c>
      <c r="DG6" t="str">
        <f>IF(master_raw!DG6="","",master_raw!DG6)</f>
        <v>A065-COG-X-BVM-T3Ti</v>
      </c>
      <c r="DH6">
        <f>IF(master_raw!DH6="","",master_raw!DH6)</f>
        <v>44</v>
      </c>
      <c r="DI6" t="str">
        <f>IF(master_raw!DI6="","",master_raw!DI6)</f>
        <v>A066-COG-X-BVM-T3Ti</v>
      </c>
      <c r="DJ6">
        <f>IF(master_raw!DJ6="","",master_raw!DJ6)</f>
        <v>23</v>
      </c>
      <c r="DK6" t="str">
        <f>IF(master_raw!DK6="","",master_raw!DK6)</f>
        <v>A067-COG-X-BVM-T3Ti</v>
      </c>
      <c r="DL6">
        <f>IF(master_raw!DL6="","",master_raw!DL6)</f>
        <v>23</v>
      </c>
      <c r="DM6" t="str">
        <f>IF(master_raw!DM6="","",master_raw!DM6)</f>
        <v>A068-COG-X-BVM-T3Ti</v>
      </c>
      <c r="DN6">
        <f>IF(master_raw!DN6="","",master_raw!DN6)</f>
        <v>21</v>
      </c>
      <c r="DO6" t="str">
        <f>IF(master_raw!DO6="","",master_raw!DO6)</f>
        <v>A069-COG-X-BVM-T3Ti</v>
      </c>
      <c r="DP6">
        <f>IF(master_raw!DP6="","",master_raw!DP6)</f>
        <v>52</v>
      </c>
      <c r="DQ6" t="str">
        <f>IF(master_raw!DQ6="","",master_raw!DQ6)</f>
        <v>A070-COG-X-BVM-T3Ti</v>
      </c>
      <c r="DR6">
        <f>IF(master_raw!DR6="","",master_raw!DR6)</f>
        <v>32</v>
      </c>
      <c r="DS6" t="str">
        <f>IF(master_raw!DS6="","",master_raw!DS6)</f>
        <v>A071-COG-X-BVM-T3Ti</v>
      </c>
      <c r="DT6" t="str">
        <f>IF(master_raw!DT6="","",master_raw!DT6)</f>
        <v/>
      </c>
      <c r="DU6" t="str">
        <f>IF(master_raw!DU6="","",master_raw!DU6)</f>
        <v>A072-COG-X-BVM-T3Ti</v>
      </c>
      <c r="DV6">
        <f>IF(master_raw!DV6="","",master_raw!DV6)</f>
        <v>17</v>
      </c>
      <c r="DW6" t="str">
        <f>IF(master_raw!DW6="","",master_raw!DW6)</f>
        <v>A073-COG-X-BVM-T3Ti</v>
      </c>
      <c r="DX6">
        <f>IF(master_raw!DX6="","",master_raw!DX6)</f>
        <v>30</v>
      </c>
      <c r="DY6" t="str">
        <f>IF(master_raw!DY6="","",master_raw!DY6)</f>
        <v>A074-COG-X-BVM-T3Ti</v>
      </c>
      <c r="DZ6">
        <f>IF(master_raw!DZ6="","",master_raw!DZ6)</f>
        <v>24</v>
      </c>
      <c r="EA6" t="str">
        <f>IF(master_raw!EA6="","",master_raw!EA6)</f>
        <v>A075-COG-X-BVM-T3Ti</v>
      </c>
      <c r="EB6">
        <f>IF(master_raw!EB6="","",master_raw!EB6)</f>
        <v>31</v>
      </c>
      <c r="EC6" t="str">
        <f>IF(master_raw!EC6="","",master_raw!EC6)</f>
        <v>A076-COG-X-BVM-T3Ti</v>
      </c>
      <c r="ED6">
        <f>IF(master_raw!ED6="","",master_raw!ED6)</f>
        <v>37</v>
      </c>
      <c r="EE6" t="str">
        <f>IF(master_raw!EE6="","",master_raw!EE6)</f>
        <v>A077-COG-X-BVM-T3Ti</v>
      </c>
      <c r="EF6">
        <f>IF(master_raw!EF6="","",master_raw!EF6)</f>
        <v>37</v>
      </c>
      <c r="EG6" t="str">
        <f>IF(master_raw!EG6="","",master_raw!EG6)</f>
        <v>A078-COG-X-BVM-T3Ti</v>
      </c>
      <c r="EH6">
        <f>IF(master_raw!EH6="","",master_raw!EH6)</f>
        <v>45</v>
      </c>
      <c r="EI6" t="str">
        <f>IF(master_raw!EI6="","",master_raw!EI6)</f>
        <v>A079-COG-X-BVM-T3Ti</v>
      </c>
      <c r="EJ6">
        <f>IF(master_raw!EJ6="","",master_raw!EJ6)</f>
        <v>36</v>
      </c>
      <c r="EK6" t="str">
        <f>IF(master_raw!EK6="","",master_raw!EK6)</f>
        <v>A080-COG-X-BVM-T3Ti</v>
      </c>
      <c r="EL6">
        <f>IF(master_raw!EL6="","",master_raw!EL6)</f>
        <v>40</v>
      </c>
      <c r="EM6" t="str">
        <f>IF(master_raw!EM6="","",master_raw!EM6)</f>
        <v>A081-COG-X-BVM-T3Ti</v>
      </c>
      <c r="EN6">
        <f>IF(master_raw!EN6="","",master_raw!EN6)</f>
        <v>46</v>
      </c>
      <c r="EO6" t="str">
        <f>IF(master_raw!EO6="","",master_raw!EO6)</f>
        <v>A082-COG-X-BVM-T3Ti</v>
      </c>
      <c r="EP6">
        <f>IF(master_raw!EP6="","",master_raw!EP6)</f>
        <v>43</v>
      </c>
      <c r="EQ6" t="str">
        <f>IF(master_raw!EQ6="","",master_raw!EQ6)</f>
        <v>A083-COG-X-BVM-T3Ti</v>
      </c>
      <c r="ER6">
        <f>IF(master_raw!ER6="","",master_raw!ER6)</f>
        <v>39</v>
      </c>
      <c r="ES6" t="str">
        <f>IF(master_raw!ES6="","",master_raw!ES6)</f>
        <v>A084-COG-X-BVM-T3Ti</v>
      </c>
      <c r="ET6">
        <f>IF(master_raw!ET6="","",master_raw!ET6)</f>
        <v>30</v>
      </c>
      <c r="EU6" t="str">
        <f>IF(master_raw!EU6="","",master_raw!EU6)</f>
        <v>A085-COG-X-BVM-T3Ti</v>
      </c>
      <c r="EV6">
        <f>IF(master_raw!EV6="","",master_raw!EV6)</f>
        <v>45</v>
      </c>
      <c r="EW6" t="str">
        <f>IF(master_raw!EW6="","",master_raw!EW6)</f>
        <v>A086-COG-X-BVM-T3Ti</v>
      </c>
      <c r="EX6">
        <f>IF(master_raw!EX6="","",master_raw!EX6)</f>
        <v>26</v>
      </c>
      <c r="EY6" t="str">
        <f>IF(master_raw!EY6="","",master_raw!EY6)</f>
        <v>A087-COG-X-BVM-T3Ti</v>
      </c>
      <c r="EZ6">
        <f>IF(master_raw!EZ6="","",master_raw!EZ6)</f>
        <v>32</v>
      </c>
      <c r="FA6" t="str">
        <f>IF(master_raw!FA6="","",master_raw!FA6)</f>
        <v>A088-COG-X-BVM-T3Ti</v>
      </c>
      <c r="FB6">
        <f>IF(master_raw!FB6="","",master_raw!FB6)</f>
        <v>37</v>
      </c>
      <c r="FC6" t="str">
        <f>IF(master_raw!FC6="","",master_raw!FC6)</f>
        <v>A089-COG-X-BVM-T3Ti</v>
      </c>
      <c r="FD6">
        <f>IF(master_raw!FD6="","",master_raw!FD6)</f>
        <v>31</v>
      </c>
      <c r="FE6" t="str">
        <f>IF(master_raw!FE6="","",master_raw!FE6)</f>
        <v>A090-COG-X-BVM-T3Ti</v>
      </c>
      <c r="FF6">
        <f>IF(master_raw!FF6="","",master_raw!FF6)</f>
        <v>33</v>
      </c>
      <c r="FG6" t="str">
        <f>IF(master_raw!FG6="","",master_raw!FG6)</f>
        <v>A091-COG-X-BVM-T3Ti</v>
      </c>
      <c r="FH6">
        <f>IF(master_raw!FH6="","",master_raw!FH6)</f>
        <v>37</v>
      </c>
      <c r="FI6" t="str">
        <f>IF(master_raw!FI6="","",master_raw!FI6)</f>
        <v>A092-COG-X-BVM-T3Ti</v>
      </c>
      <c r="FJ6">
        <f>IF(master_raw!FJ6="","",master_raw!FJ6)</f>
        <v>42</v>
      </c>
      <c r="FK6" t="str">
        <f>IF(master_raw!FK6="","",master_raw!FK6)</f>
        <v>A093-COG-X-BVM-T3Ti</v>
      </c>
      <c r="FL6">
        <f>IF(master_raw!FL6="","",master_raw!FL6)</f>
        <v>44</v>
      </c>
      <c r="FM6" t="str">
        <f>IF(master_raw!FM6="","",master_raw!FM6)</f>
        <v>A094-COG-X-BVM-T3Ti</v>
      </c>
      <c r="FN6">
        <f>IF(master_raw!FN6="","",master_raw!FN6)</f>
        <v>38</v>
      </c>
      <c r="FO6" t="str">
        <f>IF(master_raw!FO6="","",master_raw!FO6)</f>
        <v>A095-COG-X-BVM-T3Ti</v>
      </c>
      <c r="FP6">
        <f>IF(master_raw!FP6="","",master_raw!FP6)</f>
        <v>32</v>
      </c>
      <c r="FQ6" t="str">
        <f>IF(master_raw!FQ6="","",master_raw!FQ6)</f>
        <v>A096-COG-X-BVM-T3Ti</v>
      </c>
      <c r="FR6">
        <f>IF(master_raw!FR6="","",master_raw!FR6)</f>
        <v>73</v>
      </c>
      <c r="FS6" t="str">
        <f>IF(master_raw!FS6="","",master_raw!FS6)</f>
        <v>A097-COG-X-BVM-T3Ti</v>
      </c>
      <c r="FT6">
        <f>IF(master_raw!FT6="","",master_raw!FT6)</f>
        <v>30</v>
      </c>
      <c r="FU6" t="str">
        <f>IF(master_raw!FU6="","",master_raw!FU6)</f>
        <v>A098-COG-X-BVM-T3Ti</v>
      </c>
      <c r="FV6">
        <f>IF(master_raw!FV6="","",master_raw!FV6)</f>
        <v>38</v>
      </c>
      <c r="FW6" t="str">
        <f>IF(master_raw!FW6="","",master_raw!FW6)</f>
        <v>A099-COG-X-BVM-T3Ti</v>
      </c>
      <c r="FX6">
        <f>IF(master_raw!FX6="","",master_raw!FX6)</f>
        <v>45</v>
      </c>
      <c r="FY6" t="str">
        <f>IF(master_raw!FY6="","",master_raw!FY6)</f>
        <v>A100-COG-X-BVM-T3Ti</v>
      </c>
      <c r="FZ6">
        <f>IF(master_raw!FZ6="","",master_raw!FZ6)</f>
        <v>30</v>
      </c>
      <c r="GA6" t="str">
        <f>IF(master_raw!GA6="","",master_raw!GA6)</f>
        <v>A101-COG-X-BVM-T3Ti</v>
      </c>
      <c r="GB6">
        <f>IF(master_raw!GB6="","",master_raw!GB6)</f>
        <v>73</v>
      </c>
      <c r="GC6" t="str">
        <f>IF(master_raw!GC6="","",master_raw!GC6)</f>
        <v>A102-COG-X-BVM-T3Ti</v>
      </c>
      <c r="GD6">
        <f>IF(master_raw!GD6="","",master_raw!GD6)</f>
        <v>41</v>
      </c>
      <c r="GE6" t="str">
        <f>IF(master_raw!GE6="","",master_raw!GE6)</f>
        <v>A103-COG-X-BVM-T3Ti</v>
      </c>
      <c r="GF6">
        <f>IF(master_raw!GF6="","",master_raw!GF6)</f>
        <v>70</v>
      </c>
      <c r="GG6" t="str">
        <f>IF(master_raw!GG6="","",master_raw!GG6)</f>
        <v>A104-COG-X-BVM-T3Ti</v>
      </c>
      <c r="GH6">
        <f>IF(master_raw!GH6="","",master_raw!GH6)</f>
        <v>44</v>
      </c>
      <c r="GI6" t="str">
        <f>IF(master_raw!GI6="","",master_raw!GI6)</f>
        <v>A105-COG-X-BVM-T3Ti</v>
      </c>
      <c r="GJ6">
        <f>IF(master_raw!GJ6="","",master_raw!GJ6)</f>
        <v>62</v>
      </c>
      <c r="GK6" t="str">
        <f>IF(master_raw!GK6="","",master_raw!GK6)</f>
        <v>A106-COG-X-BVM-T3Ti</v>
      </c>
      <c r="GL6">
        <f>IF(master_raw!GL6="","",master_raw!GL6)</f>
        <v>50</v>
      </c>
      <c r="GM6" t="str">
        <f>IF(master_raw!GM6="","",master_raw!GM6)</f>
        <v>A107-COG-X-BVM-T3Ti</v>
      </c>
      <c r="GN6">
        <f>IF(master_raw!GN6="","",master_raw!GN6)</f>
        <v>33</v>
      </c>
      <c r="GO6" t="str">
        <f>IF(master_raw!GO6="","",master_raw!GO6)</f>
        <v>A108-COG-X-BVM-T3Ti</v>
      </c>
      <c r="GP6">
        <f>IF(master_raw!GP6="","",master_raw!GP6)</f>
        <v>46</v>
      </c>
      <c r="GQ6" t="str">
        <f>IF(master_raw!GQ6="","",master_raw!GQ6)</f>
        <v>A109-COG-X-BVM-T3Ti</v>
      </c>
      <c r="GR6">
        <f>IF(master_raw!GR6="","",master_raw!GR6)</f>
        <v>39</v>
      </c>
    </row>
    <row r="7" spans="1:200" x14ac:dyDescent="0.25">
      <c r="A7" t="str">
        <f>IF(master_raw!A7="","",master_raw!A7)</f>
        <v>A010-COG-X-BVM-T3Sc</v>
      </c>
      <c r="B7">
        <f>IF(master_raw!B7="","",ROUNDDOWN(master_raw!B7,0))</f>
        <v>12</v>
      </c>
      <c r="C7" t="str">
        <f>IF(master_raw!C7="","",master_raw!C7)</f>
        <v>A011-COG-X-BVM-T3Sc</v>
      </c>
      <c r="D7">
        <f>IF(master_raw!D7="","",ROUNDDOWN(master_raw!D7,0))</f>
        <v>12</v>
      </c>
      <c r="E7" t="str">
        <f>IF(master_raw!E7="","",master_raw!E7)</f>
        <v>A012-COG-X-BVM-T3Sc</v>
      </c>
      <c r="F7">
        <f>IF(master_raw!F7="","",ROUNDDOWN(master_raw!F7,0))</f>
        <v>12</v>
      </c>
      <c r="G7" t="str">
        <f>IF(master_raw!G7="","",master_raw!G7)</f>
        <v>A013-COG-X-BVM-T3Sc</v>
      </c>
      <c r="H7">
        <f>IF(master_raw!H7="","",ROUNDDOWN(master_raw!H7,0))</f>
        <v>11</v>
      </c>
      <c r="I7" t="str">
        <f>IF(master_raw!I7="","",master_raw!I7)</f>
        <v>A014-COG-X-BVM-T3Sc</v>
      </c>
      <c r="J7">
        <f>IF(master_raw!J7="","",ROUNDDOWN(master_raw!J7,0))</f>
        <v>12</v>
      </c>
      <c r="K7" t="str">
        <f>IF(master_raw!K7="","",master_raw!K7)</f>
        <v>A015-COG-X-BVM-T3Sc</v>
      </c>
      <c r="L7">
        <f>IF(master_raw!L7="","",ROUNDDOWN(master_raw!L7,0))</f>
        <v>12</v>
      </c>
      <c r="M7" t="str">
        <f>IF(master_raw!M7="","",master_raw!M7)</f>
        <v>A016-COG-X-BVM-T3Sc</v>
      </c>
      <c r="N7">
        <f>IF(master_raw!N7="","",ROUNDDOWN(master_raw!N7,0))</f>
        <v>12</v>
      </c>
      <c r="O7" t="str">
        <f>IF(master_raw!O7="","",master_raw!O7)</f>
        <v>A017-COG-X-BVM-T3Sc</v>
      </c>
      <c r="P7">
        <f>IF(master_raw!P7="","",ROUNDDOWN(master_raw!P7,0))</f>
        <v>12</v>
      </c>
      <c r="Q7" t="str">
        <f>IF(master_raw!Q7="","",master_raw!Q7)</f>
        <v>A018-COG-X-BVM-T3Sc</v>
      </c>
      <c r="R7">
        <f>IF(master_raw!R7="","",ROUNDDOWN(master_raw!R7,0))</f>
        <v>12</v>
      </c>
      <c r="S7" t="str">
        <f>IF(master_raw!S7="","",master_raw!S7)</f>
        <v>A019-COG-X-BVM-T3Sc</v>
      </c>
      <c r="T7">
        <f>IF(master_raw!T7="","",ROUNDDOWN(master_raw!T7,0))</f>
        <v>11</v>
      </c>
      <c r="U7" t="str">
        <f>IF(master_raw!U7="","",master_raw!U7)</f>
        <v>A020-COG-X-BVM-T3Sc</v>
      </c>
      <c r="V7">
        <f>IF(master_raw!V7="","",ROUNDDOWN(master_raw!V7,0))</f>
        <v>12</v>
      </c>
      <c r="W7" t="str">
        <f>IF(master_raw!W7="","",master_raw!W7)</f>
        <v>A021-COG-X-BVM-T3Sc</v>
      </c>
      <c r="X7">
        <f>IF(master_raw!X7="","",ROUNDDOWN(master_raw!X7,0))</f>
        <v>12</v>
      </c>
      <c r="Y7" t="str">
        <f>IF(master_raw!Y7="","",master_raw!Y7)</f>
        <v>A022-COG-X-BVM-T3Sc</v>
      </c>
      <c r="Z7">
        <f>IF(master_raw!Z7="","",ROUNDDOWN(master_raw!Z7,0))</f>
        <v>12</v>
      </c>
      <c r="AA7" t="str">
        <f>IF(master_raw!AA7="","",master_raw!AA7)</f>
        <v>A023-COG-X-BVM-T3Sc</v>
      </c>
      <c r="AB7">
        <f>IF(master_raw!AB7="","",ROUNDDOWN(master_raw!AB7,0))</f>
        <v>10</v>
      </c>
      <c r="AC7" t="str">
        <f>IF(master_raw!AC7="","",master_raw!AC7)</f>
        <v>A024-COG-X-BVM-T3Sc</v>
      </c>
      <c r="AD7">
        <f>IF(master_raw!AD7="","",ROUNDDOWN(master_raw!AD7,0))</f>
        <v>12</v>
      </c>
      <c r="AE7" t="str">
        <f>IF(master_raw!AE7="","",master_raw!AE7)</f>
        <v>A025-COG-X-BVM-T3Sc</v>
      </c>
      <c r="AF7">
        <f>IF(master_raw!AF7="","",ROUNDDOWN(master_raw!AF7,0))</f>
        <v>12</v>
      </c>
      <c r="AG7" t="str">
        <f>IF(master_raw!AG7="","",master_raw!AG7)</f>
        <v>A026-COG-X-BVM-T3Sc</v>
      </c>
      <c r="AH7">
        <f>IF(master_raw!AH7="","",ROUNDDOWN(master_raw!AH7,0))</f>
        <v>12</v>
      </c>
      <c r="AI7" t="str">
        <f>IF(master_raw!AI7="","",master_raw!AI7)</f>
        <v>A027-COG-X-BVM-T3Sc</v>
      </c>
      <c r="AJ7">
        <f>IF(master_raw!AJ7="","",ROUNDDOWN(master_raw!AJ7,0))</f>
        <v>12</v>
      </c>
      <c r="AK7" t="str">
        <f>IF(master_raw!AK7="","",master_raw!AK7)</f>
        <v>A028-COG-X-BVM-T3Sc</v>
      </c>
      <c r="AL7">
        <f>IF(master_raw!AL7="","",ROUNDDOWN(master_raw!AL7,0))</f>
        <v>12</v>
      </c>
      <c r="AM7" t="str">
        <f>IF(master_raw!AM7="","",master_raw!AM7)</f>
        <v>A029-COG-X-BVM-T3Sc</v>
      </c>
      <c r="AN7">
        <f>IF(master_raw!AN7="","",ROUNDDOWN(master_raw!AN7,0))</f>
        <v>12</v>
      </c>
      <c r="AO7" t="str">
        <f>IF(master_raw!AO7="","",master_raw!AO7)</f>
        <v>A030-COG-X-BVM-T3Sc</v>
      </c>
      <c r="AP7">
        <f>IF(master_raw!AP7="","",ROUNDDOWN(master_raw!AP7,0))</f>
        <v>12</v>
      </c>
      <c r="AQ7" t="str">
        <f>IF(master_raw!AQ7="","",master_raw!AQ7)</f>
        <v>A031-COG-X-BVM-T3Sc</v>
      </c>
      <c r="AR7">
        <f>IF(master_raw!AR7="","",ROUNDDOWN(master_raw!AR7,0))</f>
        <v>12</v>
      </c>
      <c r="AS7" t="str">
        <f>IF(master_raw!AS7="","",master_raw!AS7)</f>
        <v>A032-COG-X-BVM-T3Sc</v>
      </c>
      <c r="AT7">
        <f>IF(master_raw!AT7="","",ROUNDDOWN(master_raw!AT7,0))</f>
        <v>12</v>
      </c>
      <c r="AU7" t="str">
        <f>IF(master_raw!AU7="","",master_raw!AU7)</f>
        <v>A033-COG-X-BVM-T3Sc</v>
      </c>
      <c r="AV7">
        <f>IF(master_raw!AV7="","",ROUNDDOWN(master_raw!AV7,0))</f>
        <v>12</v>
      </c>
      <c r="AW7" t="str">
        <f>IF(master_raw!AW7="","",master_raw!AW7)</f>
        <v>A034-COG-X-BVM-T3Sc</v>
      </c>
      <c r="AX7">
        <f>IF(master_raw!AX7="","",ROUNDDOWN(master_raw!AX7,0))</f>
        <v>12</v>
      </c>
      <c r="AY7" t="str">
        <f>IF(master_raw!AY7="","",master_raw!AY7)</f>
        <v>A035-COG-X-BVM-T3Sc</v>
      </c>
      <c r="AZ7">
        <f>IF(master_raw!AZ7="","",ROUNDDOWN(master_raw!AZ7,0))</f>
        <v>12</v>
      </c>
      <c r="BA7" t="str">
        <f>IF(master_raw!BA7="","",master_raw!BA7)</f>
        <v>A036-COG-X-BVM-T3Sc</v>
      </c>
      <c r="BB7">
        <f>IF(master_raw!BB7="","",ROUNDDOWN(master_raw!BB7,0))</f>
        <v>12</v>
      </c>
      <c r="BC7" t="str">
        <f>IF(master_raw!BC7="","",master_raw!BC7)</f>
        <v>A037-COG-X-BVM-T3Sc</v>
      </c>
      <c r="BD7">
        <f>IF(master_raw!BD7="","",ROUNDDOWN(master_raw!BD7,0))</f>
        <v>12</v>
      </c>
      <c r="BE7" t="str">
        <f>IF(master_raw!BE7="","",master_raw!BE7)</f>
        <v>A038-COG-X-BVM-T3Sc</v>
      </c>
      <c r="BF7">
        <f>IF(master_raw!BF7="","",ROUNDDOWN(master_raw!BF7,0))</f>
        <v>11</v>
      </c>
      <c r="BG7" t="str">
        <f>IF(master_raw!BG7="","",master_raw!BG7)</f>
        <v>A039-COG-X-BVM-T3Sc</v>
      </c>
      <c r="BH7">
        <f>IF(master_raw!BH7="","",ROUNDDOWN(master_raw!BH7,0))</f>
        <v>12</v>
      </c>
      <c r="BI7" t="str">
        <f>IF(master_raw!BI7="","",master_raw!BI7)</f>
        <v>A040-COG-X-BVM-T3Sc</v>
      </c>
      <c r="BJ7">
        <f>IF(master_raw!BJ7="","",ROUNDDOWN(master_raw!BJ7,0))</f>
        <v>9</v>
      </c>
      <c r="BK7" t="str">
        <f>IF(master_raw!BK7="","",master_raw!BK7)</f>
        <v>A041-COG-X-BVM-T3Sc</v>
      </c>
      <c r="BL7">
        <f>IF(master_raw!BL7="","",ROUNDDOWN(master_raw!BL7,0))</f>
        <v>12</v>
      </c>
      <c r="BM7" t="str">
        <f>IF(master_raw!BM7="","",master_raw!BM7)</f>
        <v>A042-COG-X-BVM-T3Sc</v>
      </c>
      <c r="BN7">
        <f>IF(master_raw!BN7="","",ROUNDDOWN(master_raw!BN7,0))</f>
        <v>10</v>
      </c>
      <c r="BO7" t="str">
        <f>IF(master_raw!BO7="","",master_raw!BO7)</f>
        <v>A043-COG-X-BVM-T3Sc</v>
      </c>
      <c r="BP7">
        <f>IF(master_raw!BP7="","",ROUNDDOWN(master_raw!BP7,0))</f>
        <v>12</v>
      </c>
      <c r="BQ7" t="str">
        <f>IF(master_raw!BQ7="","",master_raw!BQ7)</f>
        <v>A044-COG-X-BVM-T3Sc</v>
      </c>
      <c r="BR7">
        <f>IF(master_raw!BR7="","",ROUNDDOWN(master_raw!BR7,0))</f>
        <v>12</v>
      </c>
      <c r="BS7" t="str">
        <f>IF(master_raw!BS7="","",master_raw!BS7)</f>
        <v>A045-COG-X-BVM-T3Sc</v>
      </c>
      <c r="BT7">
        <f>IF(master_raw!BT7="","",ROUNDDOWN(master_raw!BT7,0))</f>
        <v>11</v>
      </c>
      <c r="BU7" t="str">
        <f>IF(master_raw!BU7="","",master_raw!BU7)</f>
        <v>A046-COG-X-BVM-T3Sc</v>
      </c>
      <c r="BV7">
        <f>IF(master_raw!BV7="","",ROUNDDOWN(master_raw!BV7,0))</f>
        <v>12</v>
      </c>
      <c r="BW7" t="str">
        <f>IF(master_raw!BW7="","",master_raw!BW7)</f>
        <v>A047-COG-X-BVM-T3Sc</v>
      </c>
      <c r="BX7">
        <f>IF(master_raw!BX7="","",ROUNDDOWN(master_raw!BX7,0))</f>
        <v>7</v>
      </c>
      <c r="BY7" t="str">
        <f>IF(master_raw!BY7="","",master_raw!BY7)</f>
        <v>A048-COG-X-BVM-T3Sc</v>
      </c>
      <c r="BZ7">
        <f>IF(master_raw!BZ7="","",ROUNDDOWN(master_raw!BZ7,0))</f>
        <v>12</v>
      </c>
      <c r="CA7" t="str">
        <f>IF(master_raw!CA7="","",master_raw!CA7)</f>
        <v>A049-COG-X-BVM-T3Sc</v>
      </c>
      <c r="CB7">
        <f>IF(master_raw!CB7="","",ROUNDDOWN(master_raw!CB7,0))</f>
        <v>12</v>
      </c>
      <c r="CC7" t="str">
        <f>IF(master_raw!CC7="","",master_raw!CC7)</f>
        <v>A050-COG-X-BVM-T3Sc</v>
      </c>
      <c r="CD7">
        <f>IF(master_raw!CD7="","",ROUNDDOWN(master_raw!CD7,0))</f>
        <v>12</v>
      </c>
      <c r="CE7" t="str">
        <f>IF(master_raw!CE7="","",master_raw!CE7)</f>
        <v>A051-COG-X-BVM-T3Sc</v>
      </c>
      <c r="CF7">
        <f>IF(master_raw!CF7="","",ROUNDDOWN(master_raw!CF7,0))</f>
        <v>11</v>
      </c>
      <c r="CG7" t="str">
        <f>IF(master_raw!CG7="","",master_raw!CG7)</f>
        <v>A052-COG-X-BVM-T3Sc</v>
      </c>
      <c r="CH7">
        <f>IF(master_raw!CH7="","",ROUNDDOWN(master_raw!CH7,0))</f>
        <v>12</v>
      </c>
      <c r="CI7" t="str">
        <f>IF(master_raw!CI7="","",master_raw!CI7)</f>
        <v>A053-COG-X-BVM-T3Sc</v>
      </c>
      <c r="CJ7">
        <f>IF(master_raw!CJ7="","",ROUNDDOWN(master_raw!CJ7,0))</f>
        <v>11</v>
      </c>
      <c r="CK7" t="str">
        <f>IF(master_raw!CK7="","",master_raw!CK7)</f>
        <v>A054-COG-X-BVM-T3Sc</v>
      </c>
      <c r="CL7">
        <f>IF(master_raw!CL7="","",ROUNDDOWN(master_raw!CL7,0))</f>
        <v>12</v>
      </c>
      <c r="CM7" t="str">
        <f>IF(master_raw!CM7="","",master_raw!CM7)</f>
        <v>A055-COG-X-BVM-T3Sc</v>
      </c>
      <c r="CN7">
        <f>IF(master_raw!CN7="","",ROUNDDOWN(master_raw!CN7,0))</f>
        <v>11</v>
      </c>
      <c r="CO7" t="str">
        <f>IF(master_raw!CO7="","",master_raw!CO7)</f>
        <v>A056-COG-X-BVM-T3Sc</v>
      </c>
      <c r="CP7">
        <f>IF(master_raw!CP7="","",ROUNDDOWN(master_raw!CP7,0))</f>
        <v>12</v>
      </c>
      <c r="CQ7" t="str">
        <f>IF(master_raw!CQ7="","",master_raw!CQ7)</f>
        <v>A057-COG-X-BVM-T3Sc</v>
      </c>
      <c r="CR7">
        <f>IF(master_raw!CR7="","",ROUNDDOWN(master_raw!CR7,0))</f>
        <v>12</v>
      </c>
      <c r="CS7" t="str">
        <f>IF(master_raw!CS7="","",master_raw!CS7)</f>
        <v>A058-COG-X-BVM-T3Sc</v>
      </c>
      <c r="CT7">
        <f>IF(master_raw!CT7="","",ROUNDDOWN(master_raw!CT7,0))</f>
        <v>12</v>
      </c>
      <c r="CU7" t="str">
        <f>IF(master_raw!CU7="","",master_raw!CU7)</f>
        <v>A059-COG-X-BVM-T3Sc</v>
      </c>
      <c r="CV7">
        <f>IF(master_raw!CV7="","",ROUNDDOWN(master_raw!CV7,0))</f>
        <v>12</v>
      </c>
      <c r="CW7" t="str">
        <f>IF(master_raw!CW7="","",master_raw!CW7)</f>
        <v>A060-COG-X-BVM-T3Sc</v>
      </c>
      <c r="CX7">
        <f>IF(master_raw!CX7="","",ROUNDDOWN(master_raw!CX7,0))</f>
        <v>11</v>
      </c>
      <c r="CY7" t="str">
        <f>IF(master_raw!CY7="","",master_raw!CY7)</f>
        <v>A061-COG-X-BVM-T3Sc</v>
      </c>
      <c r="CZ7">
        <f>IF(master_raw!CZ7="","",ROUNDDOWN(master_raw!CZ7,0))</f>
        <v>11</v>
      </c>
      <c r="DA7" t="str">
        <f>IF(master_raw!DA7="","",master_raw!DA7)</f>
        <v>A062-COG-X-BVM-T3Sc</v>
      </c>
      <c r="DB7">
        <f>IF(master_raw!DB7="","",ROUNDDOWN(master_raw!DB7,0))</f>
        <v>12</v>
      </c>
      <c r="DC7" t="str">
        <f>IF(master_raw!DC7="","",master_raw!DC7)</f>
        <v>A063-COG-X-BVM-T3Sc</v>
      </c>
      <c r="DD7">
        <f>IF(master_raw!DD7="","",ROUNDDOWN(master_raw!DD7,0))</f>
        <v>11</v>
      </c>
      <c r="DE7" t="str">
        <f>IF(master_raw!DE7="","",master_raw!DE7)</f>
        <v>A064-COG-X-BVM-T3Sc</v>
      </c>
      <c r="DF7">
        <f>IF(master_raw!DF7="","",ROUNDDOWN(master_raw!DF7,0))</f>
        <v>12</v>
      </c>
      <c r="DG7" t="str">
        <f>IF(master_raw!DG7="","",master_raw!DG7)</f>
        <v>A065-COG-X-BVM-T3Sc</v>
      </c>
      <c r="DH7">
        <f>IF(master_raw!DH7="","",ROUNDDOWN(master_raw!DH7,0))</f>
        <v>8</v>
      </c>
      <c r="DI7" t="str">
        <f>IF(master_raw!DI7="","",master_raw!DI7)</f>
        <v>A066-COG-X-BVM-T3Sc</v>
      </c>
      <c r="DJ7">
        <f>IF(master_raw!DJ7="","",ROUNDDOWN(master_raw!DJ7,0))</f>
        <v>10</v>
      </c>
      <c r="DK7" t="str">
        <f>IF(master_raw!DK7="","",master_raw!DK7)</f>
        <v>A067-COG-X-BVM-T3Sc</v>
      </c>
      <c r="DL7">
        <f>IF(master_raw!DL7="","",ROUNDDOWN(master_raw!DL7,0))</f>
        <v>11</v>
      </c>
      <c r="DM7" t="str">
        <f>IF(master_raw!DM7="","",master_raw!DM7)</f>
        <v>A068-COG-X-BVM-T3Sc</v>
      </c>
      <c r="DN7">
        <f>IF(master_raw!DN7="","",ROUNDDOWN(master_raw!DN7,0))</f>
        <v>12</v>
      </c>
      <c r="DO7" t="str">
        <f>IF(master_raw!DO7="","",master_raw!DO7)</f>
        <v>A069-COG-X-BVM-T3Sc</v>
      </c>
      <c r="DP7">
        <f>IF(master_raw!DP7="","",ROUNDDOWN(master_raw!DP7,0))</f>
        <v>11</v>
      </c>
      <c r="DQ7" t="str">
        <f>IF(master_raw!DQ7="","",master_raw!DQ7)</f>
        <v>A070-COG-X-BVM-T3Sc</v>
      </c>
      <c r="DR7">
        <f>IF(master_raw!DR7="","",ROUNDDOWN(master_raw!DR7,0))</f>
        <v>11</v>
      </c>
      <c r="DS7" t="str">
        <f>IF(master_raw!DS7="","",master_raw!DS7)</f>
        <v>A071-COG-X-BVM-T3Sc</v>
      </c>
      <c r="DT7">
        <f>IF(master_raw!DT7="","",ROUNDDOWN(master_raw!DT7,0))</f>
        <v>12</v>
      </c>
      <c r="DU7" t="str">
        <f>IF(master_raw!DU7="","",master_raw!DU7)</f>
        <v>A072-COG-X-BVM-T3Sc</v>
      </c>
      <c r="DV7">
        <f>IF(master_raw!DV7="","",ROUNDDOWN(master_raw!DV7,0))</f>
        <v>12</v>
      </c>
      <c r="DW7" t="str">
        <f>IF(master_raw!DW7="","",master_raw!DW7)</f>
        <v>A073-COG-X-BVM-T3Sc</v>
      </c>
      <c r="DX7">
        <f>IF(master_raw!DX7="","",ROUNDDOWN(master_raw!DX7,0))</f>
        <v>11</v>
      </c>
      <c r="DY7" t="str">
        <f>IF(master_raw!DY7="","",master_raw!DY7)</f>
        <v>A074-COG-X-BVM-T3Sc</v>
      </c>
      <c r="DZ7">
        <f>IF(master_raw!DZ7="","",ROUNDDOWN(master_raw!DZ7,0))</f>
        <v>12</v>
      </c>
      <c r="EA7" t="str">
        <f>IF(master_raw!EA7="","",master_raw!EA7)</f>
        <v>A075-COG-X-BVM-T3Sc</v>
      </c>
      <c r="EB7">
        <f>IF(master_raw!EB7="","",ROUNDDOWN(master_raw!EB7,0))</f>
        <v>11</v>
      </c>
      <c r="EC7" t="str">
        <f>IF(master_raw!EC7="","",master_raw!EC7)</f>
        <v>A076-COG-X-BVM-T3Sc</v>
      </c>
      <c r="ED7">
        <f>IF(master_raw!ED7="","",ROUNDDOWN(master_raw!ED7,0))</f>
        <v>9</v>
      </c>
      <c r="EE7" t="str">
        <f>IF(master_raw!EE7="","",master_raw!EE7)</f>
        <v>A077-COG-X-BVM-T3Sc</v>
      </c>
      <c r="EF7">
        <f>IF(master_raw!EF7="","",ROUNDDOWN(master_raw!EF7,0))</f>
        <v>12</v>
      </c>
      <c r="EG7" t="str">
        <f>IF(master_raw!EG7="","",master_raw!EG7)</f>
        <v>A078-COG-X-BVM-T3Sc</v>
      </c>
      <c r="EH7">
        <f>IF(master_raw!EH7="","",ROUNDDOWN(master_raw!EH7,0))</f>
        <v>11</v>
      </c>
      <c r="EI7" t="str">
        <f>IF(master_raw!EI7="","",master_raw!EI7)</f>
        <v>A079-COG-X-BVM-T3Sc</v>
      </c>
      <c r="EJ7">
        <f>IF(master_raw!EJ7="","",ROUNDDOWN(master_raw!EJ7,0))</f>
        <v>11</v>
      </c>
      <c r="EK7" t="str">
        <f>IF(master_raw!EK7="","",master_raw!EK7)</f>
        <v>A080-COG-X-BVM-T3Sc</v>
      </c>
      <c r="EL7">
        <f>IF(master_raw!EL7="","",ROUNDDOWN(master_raw!EL7,0))</f>
        <v>11</v>
      </c>
      <c r="EM7" t="str">
        <f>IF(master_raw!EM7="","",master_raw!EM7)</f>
        <v>A081-COG-X-BVM-T3Sc</v>
      </c>
      <c r="EN7">
        <f>IF(master_raw!EN7="","",ROUNDDOWN(master_raw!EN7,0))</f>
        <v>12</v>
      </c>
      <c r="EO7" t="str">
        <f>IF(master_raw!EO7="","",master_raw!EO7)</f>
        <v>A082-COG-X-BVM-T3Sc</v>
      </c>
      <c r="EP7">
        <f>IF(master_raw!EP7="","",ROUNDDOWN(master_raw!EP7,0))</f>
        <v>12</v>
      </c>
      <c r="EQ7" t="str">
        <f>IF(master_raw!EQ7="","",master_raw!EQ7)</f>
        <v>A083-COG-X-BVM-T3Sc</v>
      </c>
      <c r="ER7">
        <f>IF(master_raw!ER7="","",ROUNDDOWN(master_raw!ER7,0))</f>
        <v>10</v>
      </c>
      <c r="ES7" t="str">
        <f>IF(master_raw!ES7="","",master_raw!ES7)</f>
        <v>A084-COG-X-BVM-T3Sc</v>
      </c>
      <c r="ET7">
        <f>IF(master_raw!ET7="","",ROUNDDOWN(master_raw!ET7,0))</f>
        <v>8</v>
      </c>
      <c r="EU7" t="str">
        <f>IF(master_raw!EU7="","",master_raw!EU7)</f>
        <v>A085-COG-X-BVM-T3Sc</v>
      </c>
      <c r="EV7">
        <f>IF(master_raw!EV7="","",ROUNDDOWN(master_raw!EV7,0))</f>
        <v>12</v>
      </c>
      <c r="EW7" t="str">
        <f>IF(master_raw!EW7="","",master_raw!EW7)</f>
        <v>A086-COG-X-BVM-T3Sc</v>
      </c>
      <c r="EX7">
        <f>IF(master_raw!EX7="","",ROUNDDOWN(master_raw!EX7,0))</f>
        <v>11</v>
      </c>
      <c r="EY7" t="str">
        <f>IF(master_raw!EY7="","",master_raw!EY7)</f>
        <v>A087-COG-X-BVM-T3Sc</v>
      </c>
      <c r="EZ7">
        <f>IF(master_raw!EZ7="","",ROUNDDOWN(master_raw!EZ7,0))</f>
        <v>12</v>
      </c>
      <c r="FA7" t="str">
        <f>IF(master_raw!FA7="","",master_raw!FA7)</f>
        <v>A088-COG-X-BVM-T3Sc</v>
      </c>
      <c r="FB7">
        <f>IF(master_raw!FB7="","",ROUNDDOWN(master_raw!FB7,0))</f>
        <v>12</v>
      </c>
      <c r="FC7" t="str">
        <f>IF(master_raw!FC7="","",master_raw!FC7)</f>
        <v>A089-COG-X-BVM-T3Sc</v>
      </c>
      <c r="FD7">
        <f>IF(master_raw!FD7="","",ROUNDDOWN(master_raw!FD7,0))</f>
        <v>12</v>
      </c>
      <c r="FE7" t="str">
        <f>IF(master_raw!FE7="","",master_raw!FE7)</f>
        <v>A090-COG-X-BVM-T3Sc</v>
      </c>
      <c r="FF7">
        <f>IF(master_raw!FF7="","",ROUNDDOWN(master_raw!FF7,0))</f>
        <v>11</v>
      </c>
      <c r="FG7" t="str">
        <f>IF(master_raw!FG7="","",master_raw!FG7)</f>
        <v>A091-COG-X-BVM-T3Sc</v>
      </c>
      <c r="FH7">
        <f>IF(master_raw!FH7="","",ROUNDDOWN(master_raw!FH7,0))</f>
        <v>11</v>
      </c>
      <c r="FI7" t="str">
        <f>IF(master_raw!FI7="","",master_raw!FI7)</f>
        <v>A092-COG-X-BVM-T3Sc</v>
      </c>
      <c r="FJ7">
        <f>IF(master_raw!FJ7="","",ROUNDDOWN(master_raw!FJ7,0))</f>
        <v>11</v>
      </c>
      <c r="FK7" t="str">
        <f>IF(master_raw!FK7="","",master_raw!FK7)</f>
        <v>A093-COG-X-BVM-T3Sc</v>
      </c>
      <c r="FL7">
        <f>IF(master_raw!FL7="","",ROUNDDOWN(master_raw!FL7,0))</f>
        <v>11</v>
      </c>
      <c r="FM7" t="str">
        <f>IF(master_raw!FM7="","",master_raw!FM7)</f>
        <v>A094-COG-X-BVM-T3Sc</v>
      </c>
      <c r="FN7">
        <f>IF(master_raw!FN7="","",ROUNDDOWN(master_raw!FN7,0))</f>
        <v>10</v>
      </c>
      <c r="FO7" t="str">
        <f>IF(master_raw!FO7="","",master_raw!FO7)</f>
        <v>A095-COG-X-BVM-T3Sc</v>
      </c>
      <c r="FP7">
        <f>IF(master_raw!FP7="","",ROUNDDOWN(master_raw!FP7,0))</f>
        <v>11</v>
      </c>
      <c r="FQ7" t="str">
        <f>IF(master_raw!FQ7="","",master_raw!FQ7)</f>
        <v>A096-COG-X-BVM-T3Sc</v>
      </c>
      <c r="FR7">
        <f>IF(master_raw!FR7="","",ROUNDDOWN(master_raw!FR7,0))</f>
        <v>11</v>
      </c>
      <c r="FS7" t="str">
        <f>IF(master_raw!FS7="","",master_raw!FS7)</f>
        <v>A097-COG-X-BVM-T3Sc</v>
      </c>
      <c r="FT7">
        <f>IF(master_raw!FT7="","",ROUNDDOWN(master_raw!FT7,0))</f>
        <v>7</v>
      </c>
      <c r="FU7" t="str">
        <f>IF(master_raw!FU7="","",master_raw!FU7)</f>
        <v>A098-COG-X-BVM-T3Sc</v>
      </c>
      <c r="FV7">
        <f>IF(master_raw!FV7="","",ROUNDDOWN(master_raw!FV7,0))</f>
        <v>11</v>
      </c>
      <c r="FW7" t="str">
        <f>IF(master_raw!FW7="","",master_raw!FW7)</f>
        <v>A099-COG-X-BVM-T3Sc</v>
      </c>
      <c r="FX7">
        <f>IF(master_raw!FX7="","",ROUNDDOWN(master_raw!FX7,0))</f>
        <v>11</v>
      </c>
      <c r="FY7" t="str">
        <f>IF(master_raw!FY7="","",master_raw!FY7)</f>
        <v>A100-COG-X-BVM-T3Sc</v>
      </c>
      <c r="FZ7">
        <f>IF(master_raw!FZ7="","",ROUNDDOWN(master_raw!FZ7,0))</f>
        <v>7</v>
      </c>
      <c r="GA7" t="str">
        <f>IF(master_raw!GA7="","",master_raw!GA7)</f>
        <v>A101-COG-X-BVM-T3Sc</v>
      </c>
      <c r="GB7">
        <f>IF(master_raw!GB7="","",ROUNDDOWN(master_raw!GB7,0))</f>
        <v>11</v>
      </c>
      <c r="GC7" t="str">
        <f>IF(master_raw!GC7="","",master_raw!GC7)</f>
        <v>A102-COG-X-BVM-T3Sc</v>
      </c>
      <c r="GD7">
        <f>IF(master_raw!GD7="","",ROUNDDOWN(master_raw!GD7,0))</f>
        <v>12</v>
      </c>
      <c r="GE7" t="str">
        <f>IF(master_raw!GE7="","",master_raw!GE7)</f>
        <v>A103-COG-X-BVM-T3Sc</v>
      </c>
      <c r="GF7">
        <f>IF(master_raw!GF7="","",ROUNDDOWN(master_raw!GF7,0))</f>
        <v>11</v>
      </c>
      <c r="GG7" t="str">
        <f>IF(master_raw!GG7="","",master_raw!GG7)</f>
        <v>A104-COG-X-BVM-T3Sc</v>
      </c>
      <c r="GH7">
        <f>IF(master_raw!GH7="","",ROUNDDOWN(master_raw!GH7,0))</f>
        <v>12</v>
      </c>
      <c r="GI7" t="str">
        <f>IF(master_raw!GI7="","",master_raw!GI7)</f>
        <v>A105-COG-X-BVM-T3Sc</v>
      </c>
      <c r="GJ7">
        <f>IF(master_raw!GJ7="","",ROUNDDOWN(master_raw!GJ7,0))</f>
        <v>8</v>
      </c>
      <c r="GK7" t="str">
        <f>IF(master_raw!GK7="","",master_raw!GK7)</f>
        <v>A106-COG-X-BVM-T3Sc</v>
      </c>
      <c r="GL7">
        <f>IF(master_raw!GL7="","",ROUNDDOWN(master_raw!GL7,0))</f>
        <v>12</v>
      </c>
      <c r="GM7" t="str">
        <f>IF(master_raw!GM7="","",master_raw!GM7)</f>
        <v>A107-COG-X-BVM-T3Sc</v>
      </c>
      <c r="GN7">
        <f>IF(master_raw!GN7="","",ROUNDDOWN(master_raw!GN7,0))</f>
        <v>8</v>
      </c>
      <c r="GO7" t="str">
        <f>IF(master_raw!GO7="","",master_raw!GO7)</f>
        <v>A108-COG-X-BVM-T3Sc</v>
      </c>
      <c r="GP7">
        <f>IF(master_raw!GP7="","",ROUNDDOWN(master_raw!GP7,0))</f>
        <v>11</v>
      </c>
      <c r="GQ7" t="str">
        <f>IF(master_raw!GQ7="","",master_raw!GQ7)</f>
        <v>A109-COG-X-BVM-T3Sc</v>
      </c>
      <c r="GR7">
        <f>IF(master_raw!GR7="","",ROUNDDOWN(master_raw!GR7,0))</f>
        <v>9</v>
      </c>
    </row>
    <row r="8" spans="1:200" x14ac:dyDescent="0.25">
      <c r="A8" t="str">
        <f>IF(master_raw!A8="","",master_raw!A8)</f>
        <v>A010-COG-X-BVM-TDTD</v>
      </c>
      <c r="B8">
        <f>IF(master_raw!B8="","",master_raw!B8)</f>
        <v>1320</v>
      </c>
      <c r="C8" t="str">
        <f>IF(master_raw!C8="","",master_raw!C8)</f>
        <v>A011-COG-X-BVM-TDTD</v>
      </c>
      <c r="D8">
        <f>IF(master_raw!D8="","",master_raw!D8)</f>
        <v>1500</v>
      </c>
      <c r="E8" t="str">
        <f>IF(master_raw!E8="","",master_raw!E8)</f>
        <v>A012-COG-X-BVM-TDTD</v>
      </c>
      <c r="F8">
        <f>IF(master_raw!F8="","",master_raw!F8)</f>
        <v>1500</v>
      </c>
      <c r="G8" t="str">
        <f>IF(master_raw!G8="","",master_raw!G8)</f>
        <v>A013-COG-X-BVM-TDTD</v>
      </c>
      <c r="H8">
        <f>IF(master_raw!H8="","",master_raw!H8)</f>
        <v>1200</v>
      </c>
      <c r="I8" t="str">
        <f>IF(master_raw!I8="","",master_raw!I8)</f>
        <v>A014-COG-X-BVM-TDTD</v>
      </c>
      <c r="J8">
        <f>IF(master_raw!J8="","",master_raw!J8)</f>
        <v>1388</v>
      </c>
      <c r="K8" t="str">
        <f>IF(master_raw!K8="","",master_raw!K8)</f>
        <v>A015-COG-X-BVM-TDTD</v>
      </c>
      <c r="L8">
        <f>IF(master_raw!L8="","",master_raw!L8)</f>
        <v>895</v>
      </c>
      <c r="M8" t="str">
        <f>IF(master_raw!M8="","",master_raw!M8)</f>
        <v>A016-COG-X-BVM-TDTD</v>
      </c>
      <c r="N8">
        <f>IF(master_raw!N8="","",master_raw!N8)</f>
        <v>911</v>
      </c>
      <c r="O8" t="str">
        <f>IF(master_raw!O8="","",master_raw!O8)</f>
        <v>A017-COG-X-BVM-TDTD</v>
      </c>
      <c r="P8">
        <f>IF(master_raw!P8="","",master_raw!P8)</f>
        <v>1200</v>
      </c>
      <c r="Q8" t="str">
        <f>IF(master_raw!Q8="","",master_raw!Q8)</f>
        <v>A018-COG-X-BVM-TDTD</v>
      </c>
      <c r="R8">
        <f>IF(master_raw!R8="","",master_raw!R8)</f>
        <v>1200</v>
      </c>
      <c r="S8" t="str">
        <f>IF(master_raw!S8="","",master_raw!S8)</f>
        <v>A019-COG-X-BVM-TDTD</v>
      </c>
      <c r="T8">
        <f>IF(master_raw!T8="","",master_raw!T8)</f>
        <v>1200</v>
      </c>
      <c r="U8" t="str">
        <f>IF(master_raw!U8="","",master_raw!U8)</f>
        <v>A020-COG-X-BVM-TDTD</v>
      </c>
      <c r="V8">
        <f>IF(master_raw!V8="","",master_raw!V8)</f>
        <v>1150</v>
      </c>
      <c r="W8" t="str">
        <f>IF(master_raw!W8="","",master_raw!W8)</f>
        <v>A021-COG-X-BVM-TDTD</v>
      </c>
      <c r="X8">
        <f>IF(master_raw!X8="","",master_raw!X8)</f>
        <v>1500</v>
      </c>
      <c r="Y8" t="str">
        <f>IF(master_raw!Y8="","",master_raw!Y8)</f>
        <v>A022-COG-X-BVM-TDTD</v>
      </c>
      <c r="Z8">
        <f>IF(master_raw!Z8="","",master_raw!Z8)</f>
        <v>931</v>
      </c>
      <c r="AA8" t="str">
        <f>IF(master_raw!AA8="","",master_raw!AA8)</f>
        <v>A023-COG-X-BVM-TDTD</v>
      </c>
      <c r="AB8">
        <f>IF(master_raw!AB8="","",master_raw!AB8)</f>
        <v>1260</v>
      </c>
      <c r="AC8" t="str">
        <f>IF(master_raw!AC8="","",master_raw!AC8)</f>
        <v>A024-COG-X-BVM-TDTD</v>
      </c>
      <c r="AD8">
        <f>IF(master_raw!AD8="","",master_raw!AD8)</f>
        <v>1080</v>
      </c>
      <c r="AE8" t="str">
        <f>IF(master_raw!AE8="","",master_raw!AE8)</f>
        <v>A025-COG-X-BVM-TDTD</v>
      </c>
      <c r="AF8">
        <f>IF(master_raw!AF8="","",master_raw!AF8)</f>
        <v>1320</v>
      </c>
      <c r="AG8" t="str">
        <f>IF(master_raw!AG8="","",master_raw!AG8)</f>
        <v>A026-COG-X-BVM-TDTD</v>
      </c>
      <c r="AH8">
        <f>IF(master_raw!AH8="","",master_raw!AH8)</f>
        <v>1200</v>
      </c>
      <c r="AI8" t="str">
        <f>IF(master_raw!AI8="","",master_raw!AI8)</f>
        <v>A027-COG-X-BVM-TDTD</v>
      </c>
      <c r="AJ8">
        <f>IF(master_raw!AJ8="","",master_raw!AJ8)</f>
        <v>1260</v>
      </c>
      <c r="AK8" t="str">
        <f>IF(master_raw!AK8="","",master_raw!AK8)</f>
        <v>A028-COG-X-BVM-TDTD</v>
      </c>
      <c r="AL8">
        <f>IF(master_raw!AL8="","",master_raw!AL8)</f>
        <v>1320</v>
      </c>
      <c r="AM8" t="str">
        <f>IF(master_raw!AM8="","",master_raw!AM8)</f>
        <v>A029-COG-X-BVM-TDTD</v>
      </c>
      <c r="AN8">
        <f>IF(master_raw!AN8="","",master_raw!AN8)</f>
        <v>1500</v>
      </c>
      <c r="AO8" t="str">
        <f>IF(master_raw!AO8="","",master_raw!AO8)</f>
        <v>A030-COG-X-BVM-TDTD</v>
      </c>
      <c r="AP8">
        <f>IF(master_raw!AP8="","",master_raw!AP8)</f>
        <v>1080</v>
      </c>
      <c r="AQ8" t="str">
        <f>IF(master_raw!AQ8="","",master_raw!AQ8)</f>
        <v>A031-COG-X-BVM-TDTD</v>
      </c>
      <c r="AR8">
        <f>IF(master_raw!AR8="","",master_raw!AR8)</f>
        <v>1500</v>
      </c>
      <c r="AS8" t="str">
        <f>IF(master_raw!AS8="","",master_raw!AS8)</f>
        <v>A032-COG-X-BVM-TDTD</v>
      </c>
      <c r="AT8">
        <f>IF(master_raw!AT8="","",master_raw!AT8)</f>
        <v>1560</v>
      </c>
      <c r="AU8" t="str">
        <f>IF(master_raw!AU8="","",master_raw!AU8)</f>
        <v>A033-COG-X-BVM-TDTD</v>
      </c>
      <c r="AV8">
        <f>IF(master_raw!AV8="","",master_raw!AV8)</f>
        <v>1200</v>
      </c>
      <c r="AW8" t="str">
        <f>IF(master_raw!AW8="","",master_raw!AW8)</f>
        <v>A034-COG-X-BVM-TDTD</v>
      </c>
      <c r="AX8">
        <f>IF(master_raw!AX8="","",master_raw!AX8)</f>
        <v>1200</v>
      </c>
      <c r="AY8" t="str">
        <f>IF(master_raw!AY8="","",master_raw!AY8)</f>
        <v>A035-COG-X-BVM-TDTD</v>
      </c>
      <c r="AZ8">
        <f>IF(master_raw!AZ8="","",master_raw!AZ8)</f>
        <v>1560</v>
      </c>
      <c r="BA8" t="str">
        <f>IF(master_raw!BA8="","",master_raw!BA8)</f>
        <v>A036-COG-X-BVM-TDTD</v>
      </c>
      <c r="BB8">
        <f>IF(master_raw!BB8="","",master_raw!BB8)</f>
        <v>1250</v>
      </c>
      <c r="BC8" t="str">
        <f>IF(master_raw!BC8="","",master_raw!BC8)</f>
        <v>A037-COG-X-BVM-TDTD</v>
      </c>
      <c r="BD8">
        <f>IF(master_raw!BD8="","",master_raw!BD8)</f>
        <v>1200</v>
      </c>
      <c r="BE8" t="str">
        <f>IF(master_raw!BE8="","",master_raw!BE8)</f>
        <v>A038-COG-X-BVM-TDTD</v>
      </c>
      <c r="BF8">
        <f>IF(master_raw!BF8="","",master_raw!BF8)</f>
        <v>1320</v>
      </c>
      <c r="BG8" t="str">
        <f>IF(master_raw!BG8="","",master_raw!BG8)</f>
        <v>A039-COG-X-BVM-TDTD</v>
      </c>
      <c r="BH8">
        <f>IF(master_raw!BH8="","",master_raw!BH8)</f>
        <v>1440</v>
      </c>
      <c r="BI8" t="str">
        <f>IF(master_raw!BI8="","",master_raw!BI8)</f>
        <v>A040-COG-X-BVM-TDTD</v>
      </c>
      <c r="BJ8">
        <f>IF(master_raw!BJ8="","",master_raw!BJ8)</f>
        <v>1200</v>
      </c>
      <c r="BK8" t="str">
        <f>IF(master_raw!BK8="","",master_raw!BK8)</f>
        <v>A041-COG-X-BVM-TDTD</v>
      </c>
      <c r="BL8">
        <f>IF(master_raw!BL8="","",master_raw!BL8)</f>
        <v>1500</v>
      </c>
      <c r="BM8" t="str">
        <f>IF(master_raw!BM8="","",master_raw!BM8)</f>
        <v>A042-COG-X-BVM-TDTD</v>
      </c>
      <c r="BN8">
        <f>IF(master_raw!BN8="","",master_raw!BN8)</f>
        <v>1320</v>
      </c>
      <c r="BO8" t="str">
        <f>IF(master_raw!BO8="","",master_raw!BO8)</f>
        <v>A043-COG-X-BVM-TDTD</v>
      </c>
      <c r="BP8">
        <f>IF(master_raw!BP8="","",master_raw!BP8)</f>
        <v>1200</v>
      </c>
      <c r="BQ8" t="str">
        <f>IF(master_raw!BQ8="","",master_raw!BQ8)</f>
        <v>A044-COG-X-BVM-TDTD</v>
      </c>
      <c r="BR8">
        <f>IF(master_raw!BR8="","",master_raw!BR8)</f>
        <v>1200</v>
      </c>
      <c r="BS8" t="str">
        <f>IF(master_raw!BS8="","",master_raw!BS8)</f>
        <v>A045-COG-X-BVM-TDTD</v>
      </c>
      <c r="BT8">
        <f>IF(master_raw!BT8="","",master_raw!BT8)</f>
        <v>1200</v>
      </c>
      <c r="BU8" t="str">
        <f>IF(master_raw!BU8="","",master_raw!BU8)</f>
        <v>A046-COG-X-BVM-TDTD</v>
      </c>
      <c r="BV8">
        <f>IF(master_raw!BV8="","",master_raw!BV8)</f>
        <v>1260</v>
      </c>
      <c r="BW8" t="str">
        <f>IF(master_raw!BW8="","",master_raw!BW8)</f>
        <v>A047-COG-X-BVM-TDTD</v>
      </c>
      <c r="BX8">
        <f>IF(master_raw!BX8="","",master_raw!BX8)</f>
        <v>1500</v>
      </c>
      <c r="BY8" t="str">
        <f>IF(master_raw!BY8="","",master_raw!BY8)</f>
        <v>A048-COG-X-BVM-TDTD</v>
      </c>
      <c r="BZ8">
        <f>IF(master_raw!BZ8="","",master_raw!BZ8)</f>
        <v>1500</v>
      </c>
      <c r="CA8" t="str">
        <f>IF(master_raw!CA8="","",master_raw!CA8)</f>
        <v>A049-COG-X-BVM-TDTD</v>
      </c>
      <c r="CB8">
        <f>IF(master_raw!CB8="","",master_raw!CB8)</f>
        <v>1260</v>
      </c>
      <c r="CC8" t="str">
        <f>IF(master_raw!CC8="","",master_raw!CC8)</f>
        <v>A050-COG-X-BVM-TDTD</v>
      </c>
      <c r="CD8">
        <f>IF(master_raw!CD8="","",master_raw!CD8)</f>
        <v>1080</v>
      </c>
      <c r="CE8" t="str">
        <f>IF(master_raw!CE8="","",master_raw!CE8)</f>
        <v>A051-COG-X-BVM-TDTD</v>
      </c>
      <c r="CF8">
        <f>IF(master_raw!CF8="","",master_raw!CF8)</f>
        <v>1620</v>
      </c>
      <c r="CG8" t="str">
        <f>IF(master_raw!CG8="","",master_raw!CG8)</f>
        <v>A052-COG-X-BVM-TDTD</v>
      </c>
      <c r="CH8">
        <f>IF(master_raw!CH8="","",master_raw!CH8)</f>
        <v>1140</v>
      </c>
      <c r="CI8" t="str">
        <f>IF(master_raw!CI8="","",master_raw!CI8)</f>
        <v>A053-COG-X-BVM-TDTD</v>
      </c>
      <c r="CJ8">
        <f>IF(master_raw!CJ8="","",master_raw!CJ8)</f>
        <v>1320</v>
      </c>
      <c r="CK8" t="str">
        <f>IF(master_raw!CK8="","",master_raw!CK8)</f>
        <v>A054-COG-X-BVM-TDTD</v>
      </c>
      <c r="CL8">
        <f>IF(master_raw!CL8="","",master_raw!CL8)</f>
        <v>1260</v>
      </c>
      <c r="CM8" t="str">
        <f>IF(master_raw!CM8="","",master_raw!CM8)</f>
        <v>A055-COG-X-BVM-TDTD</v>
      </c>
      <c r="CN8">
        <f>IF(master_raw!CN8="","",master_raw!CN8)</f>
        <v>1200</v>
      </c>
      <c r="CO8" t="str">
        <f>IF(master_raw!CO8="","",master_raw!CO8)</f>
        <v>A056-COG-X-BVM-TDTD</v>
      </c>
      <c r="CP8">
        <f>IF(master_raw!CP8="","",master_raw!CP8)</f>
        <v>1200</v>
      </c>
      <c r="CQ8" t="str">
        <f>IF(master_raw!CQ8="","",master_raw!CQ8)</f>
        <v>A057-COG-X-BVM-TDTD</v>
      </c>
      <c r="CR8">
        <f>IF(master_raw!CR8="","",master_raw!CR8)</f>
        <v>1440</v>
      </c>
      <c r="CS8" t="str">
        <f>IF(master_raw!CS8="","",master_raw!CS8)</f>
        <v>A058-COG-X-BVM-TDTD</v>
      </c>
      <c r="CT8">
        <f>IF(master_raw!CT8="","",master_raw!CT8)</f>
        <v>1380</v>
      </c>
      <c r="CU8" t="str">
        <f>IF(master_raw!CU8="","",master_raw!CU8)</f>
        <v>A059-COG-X-BVM-TDTD</v>
      </c>
      <c r="CV8">
        <f>IF(master_raw!CV8="","",master_raw!CV8)</f>
        <v>1620</v>
      </c>
      <c r="CW8" t="str">
        <f>IF(master_raw!CW8="","",master_raw!CW8)</f>
        <v>A060-COG-X-BVM-TDTD</v>
      </c>
      <c r="CX8">
        <f>IF(master_raw!CX8="","",master_raw!CX8)</f>
        <v>1260</v>
      </c>
      <c r="CY8" t="str">
        <f>IF(master_raw!CY8="","",master_raw!CY8)</f>
        <v>A061-COG-X-BVM-TDTD</v>
      </c>
      <c r="CZ8">
        <f>IF(master_raw!CZ8="","",master_raw!CZ8)</f>
        <v>1140</v>
      </c>
      <c r="DA8" t="str">
        <f>IF(master_raw!DA8="","",master_raw!DA8)</f>
        <v>A062-COG-X-BVM-TDTD</v>
      </c>
      <c r="DB8">
        <f>IF(master_raw!DB8="","",master_raw!DB8)</f>
        <v>1260</v>
      </c>
      <c r="DC8" t="str">
        <f>IF(master_raw!DC8="","",master_raw!DC8)</f>
        <v>A063-COG-X-BVM-TDTD</v>
      </c>
      <c r="DD8">
        <f>IF(master_raw!DD8="","",master_raw!DD8)</f>
        <v>1200</v>
      </c>
      <c r="DE8" t="str">
        <f>IF(master_raw!DE8="","",master_raw!DE8)</f>
        <v>A064-COG-X-BVM-TDTD</v>
      </c>
      <c r="DF8">
        <f>IF(master_raw!DF8="","",master_raw!DF8)</f>
        <v>1380</v>
      </c>
      <c r="DG8" t="str">
        <f>IF(master_raw!DG8="","",master_raw!DG8)</f>
        <v>A065-COG-X-BVM-TDTD</v>
      </c>
      <c r="DH8">
        <f>IF(master_raw!DH8="","",master_raw!DH8)</f>
        <v>1560</v>
      </c>
      <c r="DI8" t="str">
        <f>IF(master_raw!DI8="","",master_raw!DI8)</f>
        <v>A066-COG-X-BVM-TDTD</v>
      </c>
      <c r="DJ8">
        <f>IF(master_raw!DJ8="","",master_raw!DJ8)</f>
        <v>1080</v>
      </c>
      <c r="DK8" t="str">
        <f>IF(master_raw!DK8="","",master_raw!DK8)</f>
        <v>A067-COG-X-BVM-TDTD</v>
      </c>
      <c r="DL8">
        <f>IF(master_raw!DL8="","",master_raw!DL8)</f>
        <v>1020</v>
      </c>
      <c r="DM8" t="str">
        <f>IF(master_raw!DM8="","",master_raw!DM8)</f>
        <v>A068-COG-X-BVM-TDTD</v>
      </c>
      <c r="DN8">
        <f>IF(master_raw!DN8="","",master_raw!DN8)</f>
        <v>1140</v>
      </c>
      <c r="DO8" t="str">
        <f>IF(master_raw!DO8="","",master_raw!DO8)</f>
        <v>A069-COG-X-BVM-TDTD</v>
      </c>
      <c r="DP8">
        <f>IF(master_raw!DP8="","",master_raw!DP8)</f>
        <v>1440</v>
      </c>
      <c r="DQ8" t="str">
        <f>IF(master_raw!DQ8="","",master_raw!DQ8)</f>
        <v>A070-COG-X-BVM-TDTD</v>
      </c>
      <c r="DR8">
        <f>IF(master_raw!DR8="","",master_raw!DR8)</f>
        <v>1080</v>
      </c>
      <c r="DS8" t="str">
        <f>IF(master_raw!DS8="","",master_raw!DS8)</f>
        <v>A071-COG-X-BVM-TDTD</v>
      </c>
      <c r="DT8">
        <f>IF(master_raw!DT8="","",master_raw!DT8)</f>
        <v>1500</v>
      </c>
      <c r="DU8" t="str">
        <f>IF(master_raw!DU8="","",master_raw!DU8)</f>
        <v>A072-COG-X-BVM-TDTD</v>
      </c>
      <c r="DV8">
        <f>IF(master_raw!DV8="","",master_raw!DV8)</f>
        <v>1200</v>
      </c>
      <c r="DW8" t="str">
        <f>IF(master_raw!DW8="","",master_raw!DW8)</f>
        <v>A073-COG-X-BVM-TDTD</v>
      </c>
      <c r="DX8">
        <f>IF(master_raw!DX8="","",master_raw!DX8)</f>
        <v>1200</v>
      </c>
      <c r="DY8" t="str">
        <f>IF(master_raw!DY8="","",master_raw!DY8)</f>
        <v>A074-COG-X-BVM-TDTD</v>
      </c>
      <c r="DZ8">
        <f>IF(master_raw!DZ8="","",master_raw!DZ8)</f>
        <v>1200</v>
      </c>
      <c r="EA8" t="str">
        <f>IF(master_raw!EA8="","",master_raw!EA8)</f>
        <v>A075-COG-X-BVM-TDTD</v>
      </c>
      <c r="EB8">
        <f>IF(master_raw!EB8="","",master_raw!EB8)</f>
        <v>1260</v>
      </c>
      <c r="EC8" t="str">
        <f>IF(master_raw!EC8="","",master_raw!EC8)</f>
        <v>A076-COG-X-BVM-TDTD</v>
      </c>
      <c r="ED8">
        <f>IF(master_raw!ED8="","",master_raw!ED8)</f>
        <v>1500</v>
      </c>
      <c r="EE8" t="str">
        <f>IF(master_raw!EE8="","",master_raw!EE8)</f>
        <v>A077-COG-X-BVM-TDTD</v>
      </c>
      <c r="EF8">
        <f>IF(master_raw!EF8="","",master_raw!EF8)</f>
        <v>1500</v>
      </c>
      <c r="EG8" t="str">
        <f>IF(master_raw!EG8="","",master_raw!EG8)</f>
        <v>A078-COG-X-BVM-TDTD</v>
      </c>
      <c r="EH8">
        <f>IF(master_raw!EH8="","",master_raw!EH8)</f>
        <v>1080</v>
      </c>
      <c r="EI8" t="str">
        <f>IF(master_raw!EI8="","",master_raw!EI8)</f>
        <v>A079-COG-X-BVM-TDTD</v>
      </c>
      <c r="EJ8">
        <f>IF(master_raw!EJ8="","",master_raw!EJ8)</f>
        <v>1440</v>
      </c>
      <c r="EK8" t="str">
        <f>IF(master_raw!EK8="","",master_raw!EK8)</f>
        <v>A080-COG-X-BVM-TDTD</v>
      </c>
      <c r="EL8">
        <f>IF(master_raw!EL8="","",master_raw!EL8)</f>
        <v>1200</v>
      </c>
      <c r="EM8" t="str">
        <f>IF(master_raw!EM8="","",master_raw!EM8)</f>
        <v>A081-COG-X-BVM-TDTD</v>
      </c>
      <c r="EN8">
        <f>IF(master_raw!EN8="","",master_raw!EN8)</f>
        <v>1200</v>
      </c>
      <c r="EO8" t="str">
        <f>IF(master_raw!EO8="","",master_raw!EO8)</f>
        <v>A082-COG-X-BVM-TDTD</v>
      </c>
      <c r="EP8">
        <f>IF(master_raw!EP8="","",master_raw!EP8)</f>
        <v>1680</v>
      </c>
      <c r="EQ8" t="str">
        <f>IF(master_raw!EQ8="","",master_raw!EQ8)</f>
        <v>A083-COG-X-BVM-TDTD</v>
      </c>
      <c r="ER8">
        <f>IF(master_raw!ER8="","",master_raw!ER8)</f>
        <v>1200</v>
      </c>
      <c r="ES8" t="str">
        <f>IF(master_raw!ES8="","",master_raw!ES8)</f>
        <v>A084-COG-X-BVM-TDTD</v>
      </c>
      <c r="ET8">
        <f>IF(master_raw!ET8="","",master_raw!ET8)</f>
        <v>1980</v>
      </c>
      <c r="EU8" t="str">
        <f>IF(master_raw!EU8="","",master_raw!EU8)</f>
        <v>A085-COG-X-BVM-TDTD</v>
      </c>
      <c r="EV8">
        <f>IF(master_raw!EV8="","",master_raw!EV8)</f>
        <v>1500</v>
      </c>
      <c r="EW8" t="str">
        <f>IF(master_raw!EW8="","",master_raw!EW8)</f>
        <v>A086-COG-X-BVM-TDTD</v>
      </c>
      <c r="EX8">
        <f>IF(master_raw!EX8="","",master_raw!EX8)</f>
        <v>1260</v>
      </c>
      <c r="EY8" t="str">
        <f>IF(master_raw!EY8="","",master_raw!EY8)</f>
        <v>A087-COG-X-BVM-TDTD</v>
      </c>
      <c r="EZ8">
        <f>IF(master_raw!EZ8="","",master_raw!EZ8)</f>
        <v>1260</v>
      </c>
      <c r="FA8" t="str">
        <f>IF(master_raw!FA8="","",master_raw!FA8)</f>
        <v>A088-COG-X-BVM-TDTD</v>
      </c>
      <c r="FB8">
        <f>IF(master_raw!FB8="","",master_raw!FB8)</f>
        <v>1620</v>
      </c>
      <c r="FC8" t="str">
        <f>IF(master_raw!FC8="","",master_raw!FC8)</f>
        <v>A089-COG-X-BVM-TDTD</v>
      </c>
      <c r="FD8">
        <f>IF(master_raw!FD8="","",master_raw!FD8)</f>
        <v>1260</v>
      </c>
      <c r="FE8" t="str">
        <f>IF(master_raw!FE8="","",master_raw!FE8)</f>
        <v>A090-COG-X-BVM-TDTD</v>
      </c>
      <c r="FF8">
        <f>IF(master_raw!FF8="","",master_raw!FF8)</f>
        <v>1320</v>
      </c>
      <c r="FG8" t="str">
        <f>IF(master_raw!FG8="","",master_raw!FG8)</f>
        <v>A091-COG-X-BVM-TDTD</v>
      </c>
      <c r="FH8">
        <f>IF(master_raw!FH8="","",master_raw!FH8)</f>
        <v>1260</v>
      </c>
      <c r="FI8" t="str">
        <f>IF(master_raw!FI8="","",master_raw!FI8)</f>
        <v>A092-COG-X-BVM-TDTD</v>
      </c>
      <c r="FJ8">
        <f>IF(master_raw!FJ8="","",master_raw!FJ8)</f>
        <v>1320</v>
      </c>
      <c r="FK8" t="str">
        <f>IF(master_raw!FK8="","",master_raw!FK8)</f>
        <v>A093-COG-X-BVM-TDTD</v>
      </c>
      <c r="FL8">
        <f>IF(master_raw!FL8="","",master_raw!FL8)</f>
        <v>1620</v>
      </c>
      <c r="FM8" t="str">
        <f>IF(master_raw!FM8="","",master_raw!FM8)</f>
        <v>A094-COG-X-BVM-TDTD</v>
      </c>
      <c r="FN8">
        <f>IF(master_raw!FN8="","",master_raw!FN8)</f>
        <v>1200</v>
      </c>
      <c r="FO8" t="str">
        <f>IF(master_raw!FO8="","",master_raw!FO8)</f>
        <v>A095-COG-X-BVM-TDTD</v>
      </c>
      <c r="FP8">
        <f>IF(master_raw!FP8="","",master_raw!FP8)</f>
        <v>1320</v>
      </c>
      <c r="FQ8" t="str">
        <f>IF(master_raw!FQ8="","",master_raw!FQ8)</f>
        <v>A096-COG-X-BVM-TDTD</v>
      </c>
      <c r="FR8">
        <f>IF(master_raw!FR8="","",master_raw!FR8)</f>
        <v>2340</v>
      </c>
      <c r="FS8" t="str">
        <f>IF(master_raw!FS8="","",master_raw!FS8)</f>
        <v>A097-COG-X-BVM-TDTD</v>
      </c>
      <c r="FT8">
        <f>IF(master_raw!FT8="","",master_raw!FT8)</f>
        <v>1320</v>
      </c>
      <c r="FU8" t="str">
        <f>IF(master_raw!FU8="","",master_raw!FU8)</f>
        <v>A098-COG-X-BVM-TDTD</v>
      </c>
      <c r="FV8">
        <f>IF(master_raw!FV8="","",master_raw!FV8)</f>
        <v>1200</v>
      </c>
      <c r="FW8" t="str">
        <f>IF(master_raw!FW8="","",master_raw!FW8)</f>
        <v>A099-COG-X-BVM-TDTD</v>
      </c>
      <c r="FX8">
        <f>IF(master_raw!FX8="","",master_raw!FX8)</f>
        <v>1560</v>
      </c>
      <c r="FY8" t="str">
        <f>IF(master_raw!FY8="","",master_raw!FY8)</f>
        <v>A100-COG-X-BVM-TDTD</v>
      </c>
      <c r="FZ8">
        <f>IF(master_raw!FZ8="","",master_raw!FZ8)</f>
        <v>1500</v>
      </c>
      <c r="GA8" t="str">
        <f>IF(master_raw!GA8="","",master_raw!GA8)</f>
        <v>A101-COG-X-BVM-TDTD</v>
      </c>
      <c r="GB8">
        <f>IF(master_raw!GB8="","",master_raw!GB8)</f>
        <v>1500</v>
      </c>
      <c r="GC8" t="str">
        <f>IF(master_raw!GC8="","",master_raw!GC8)</f>
        <v>A102-COG-X-BVM-TDTD</v>
      </c>
      <c r="GD8">
        <f>IF(master_raw!GD8="","",master_raw!GD8)</f>
        <v>1620</v>
      </c>
      <c r="GE8" t="str">
        <f>IF(master_raw!GE8="","",master_raw!GE8)</f>
        <v>A103-COG-X-BVM-TDTD</v>
      </c>
      <c r="GF8">
        <f>IF(master_raw!GF8="","",master_raw!GF8)</f>
        <v>1500</v>
      </c>
      <c r="GG8" t="str">
        <f>IF(master_raw!GG8="","",master_raw!GG8)</f>
        <v>A104-COG-X-BVM-TDTD</v>
      </c>
      <c r="GH8">
        <f>IF(master_raw!GH8="","",master_raw!GH8)</f>
        <v>1200</v>
      </c>
      <c r="GI8" t="str">
        <f>IF(master_raw!GI8="","",master_raw!GI8)</f>
        <v>A105-COG-X-BVM-TDTD</v>
      </c>
      <c r="GJ8">
        <f>IF(master_raw!GJ8="","",master_raw!GJ8)</f>
        <v>1260</v>
      </c>
      <c r="GK8" t="str">
        <f>IF(master_raw!GK8="","",master_raw!GK8)</f>
        <v>A106-COG-X-BVM-TDTD</v>
      </c>
      <c r="GL8">
        <f>IF(master_raw!GL8="","",master_raw!GL8)</f>
        <v>1380</v>
      </c>
      <c r="GM8" t="str">
        <f>IF(master_raw!GM8="","",master_raw!GM8)</f>
        <v>A107-COG-X-BVM-TDTD</v>
      </c>
      <c r="GN8">
        <f>IF(master_raw!GN8="","",master_raw!GN8)</f>
        <v>1380</v>
      </c>
      <c r="GO8" t="str">
        <f>IF(master_raw!GO8="","",master_raw!GO8)</f>
        <v>A108-COG-X-BVM-TDTD</v>
      </c>
      <c r="GP8">
        <f>IF(master_raw!GP8="","",master_raw!GP8)</f>
        <v>1260</v>
      </c>
      <c r="GQ8" t="str">
        <f>IF(master_raw!GQ8="","",master_raw!GQ8)</f>
        <v>A109-COG-X-BVM-TDTD</v>
      </c>
      <c r="GR8">
        <f>IF(master_raw!GR8="","",master_raw!GR8)</f>
        <v>1320</v>
      </c>
    </row>
    <row r="9" spans="1:200" x14ac:dyDescent="0.25">
      <c r="A9" t="str">
        <f>IF(master_raw!A9="","",master_raw!A9)</f>
        <v>A010-COG-X-BVM-TDTi</v>
      </c>
      <c r="B9">
        <f>IF(master_raw!B9="","",master_raw!B9)</f>
        <v>53</v>
      </c>
      <c r="C9" t="str">
        <f>IF(master_raw!C9="","",master_raw!C9)</f>
        <v>A011-COG-X-BVM-TDTi</v>
      </c>
      <c r="D9" t="str">
        <f>IF(master_raw!D9="","",master_raw!D9)</f>
        <v/>
      </c>
      <c r="E9" t="str">
        <f>IF(master_raw!E9="","",master_raw!E9)</f>
        <v>A012-COG-X-BVM-TDTi</v>
      </c>
      <c r="F9" t="str">
        <f>IF(master_raw!F9="","",master_raw!F9)</f>
        <v/>
      </c>
      <c r="G9" t="str">
        <f>IF(master_raw!G9="","",master_raw!G9)</f>
        <v>A013-COG-X-BVM-TDTi</v>
      </c>
      <c r="H9">
        <f>IF(master_raw!H9="","",master_raw!H9)</f>
        <v>16</v>
      </c>
      <c r="I9" t="str">
        <f>IF(master_raw!I9="","",master_raw!I9)</f>
        <v>A014-COG-X-BVM-TDTi</v>
      </c>
      <c r="J9">
        <f>IF(master_raw!J9="","",master_raw!J9)</f>
        <v>28</v>
      </c>
      <c r="K9" t="str">
        <f>IF(master_raw!K9="","",master_raw!K9)</f>
        <v>A015-COG-X-BVM-TDTi</v>
      </c>
      <c r="L9">
        <f>IF(master_raw!L9="","",master_raw!L9)</f>
        <v>35</v>
      </c>
      <c r="M9" t="str">
        <f>IF(master_raw!M9="","",master_raw!M9)</f>
        <v>A016-COG-X-BVM-TDTi</v>
      </c>
      <c r="N9">
        <f>IF(master_raw!N9="","",master_raw!N9)</f>
        <v>22</v>
      </c>
      <c r="O9" t="str">
        <f>IF(master_raw!O9="","",master_raw!O9)</f>
        <v>A017-COG-X-BVM-TDTi</v>
      </c>
      <c r="P9">
        <f>IF(master_raw!P9="","",master_raw!P9)</f>
        <v>29</v>
      </c>
      <c r="Q9" t="str">
        <f>IF(master_raw!Q9="","",master_raw!Q9)</f>
        <v>A018-COG-X-BVM-TDTi</v>
      </c>
      <c r="R9">
        <f>IF(master_raw!R9="","",master_raw!R9)</f>
        <v>44</v>
      </c>
      <c r="S9" t="str">
        <f>IF(master_raw!S9="","",master_raw!S9)</f>
        <v>A019-COG-X-BVM-TDTi</v>
      </c>
      <c r="T9">
        <f>IF(master_raw!T9="","",master_raw!T9)</f>
        <v>22</v>
      </c>
      <c r="U9" t="str">
        <f>IF(master_raw!U9="","",master_raw!U9)</f>
        <v>A020-COG-X-BVM-TDTi</v>
      </c>
      <c r="V9">
        <f>IF(master_raw!V9="","",master_raw!V9)</f>
        <v>41</v>
      </c>
      <c r="W9" t="str">
        <f>IF(master_raw!W9="","",master_raw!W9)</f>
        <v>A021-COG-X-BVM-TDTi</v>
      </c>
      <c r="X9">
        <f>IF(master_raw!X9="","",master_raw!X9)</f>
        <v>19</v>
      </c>
      <c r="Y9" t="str">
        <f>IF(master_raw!Y9="","",master_raw!Y9)</f>
        <v>A022-COG-X-BVM-TDTi</v>
      </c>
      <c r="Z9">
        <f>IF(master_raw!Z9="","",master_raw!Z9)</f>
        <v>34</v>
      </c>
      <c r="AA9" t="str">
        <f>IF(master_raw!AA9="","",master_raw!AA9)</f>
        <v>A023-COG-X-BVM-TDTi</v>
      </c>
      <c r="AB9">
        <f>IF(master_raw!AB9="","",master_raw!AB9)</f>
        <v>1</v>
      </c>
      <c r="AC9" t="str">
        <f>IF(master_raw!AC9="","",master_raw!AC9)</f>
        <v>A024-COG-X-BVM-TDTi</v>
      </c>
      <c r="AD9">
        <f>IF(master_raw!AD9="","",master_raw!AD9)</f>
        <v>45</v>
      </c>
      <c r="AE9" t="str">
        <f>IF(master_raw!AE9="","",master_raw!AE9)</f>
        <v>A025-COG-X-BVM-TDTi</v>
      </c>
      <c r="AF9">
        <f>IF(master_raw!AF9="","",master_raw!AF9)</f>
        <v>62</v>
      </c>
      <c r="AG9" t="str">
        <f>IF(master_raw!AG9="","",master_raw!AG9)</f>
        <v>A026-COG-X-BVM-TDTi</v>
      </c>
      <c r="AH9">
        <f>IF(master_raw!AH9="","",master_raw!AH9)</f>
        <v>31</v>
      </c>
      <c r="AI9" t="str">
        <f>IF(master_raw!AI9="","",master_raw!AI9)</f>
        <v>A027-COG-X-BVM-TDTi</v>
      </c>
      <c r="AJ9">
        <f>IF(master_raw!AJ9="","",master_raw!AJ9)</f>
        <v>19</v>
      </c>
      <c r="AK9" t="str">
        <f>IF(master_raw!AK9="","",master_raw!AK9)</f>
        <v>A028-COG-X-BVM-TDTi</v>
      </c>
      <c r="AL9">
        <f>IF(master_raw!AL9="","",master_raw!AL9)</f>
        <v>20</v>
      </c>
      <c r="AM9" t="str">
        <f>IF(master_raw!AM9="","",master_raw!AM9)</f>
        <v>A029-COG-X-BVM-TDTi</v>
      </c>
      <c r="AN9">
        <f>IF(master_raw!AN9="","",master_raw!AN9)</f>
        <v>24</v>
      </c>
      <c r="AO9" t="str">
        <f>IF(master_raw!AO9="","",master_raw!AO9)</f>
        <v>A030-COG-X-BVM-TDTi</v>
      </c>
      <c r="AP9">
        <f>IF(master_raw!AP9="","",master_raw!AP9)</f>
        <v>20</v>
      </c>
      <c r="AQ9" t="str">
        <f>IF(master_raw!AQ9="","",master_raw!AQ9)</f>
        <v>A031-COG-X-BVM-TDTi</v>
      </c>
      <c r="AR9">
        <f>IF(master_raw!AR9="","",master_raw!AR9)</f>
        <v>20</v>
      </c>
      <c r="AS9" t="str">
        <f>IF(master_raw!AS9="","",master_raw!AS9)</f>
        <v>A032-COG-X-BVM-TDTi</v>
      </c>
      <c r="AT9">
        <f>IF(master_raw!AT9="","",master_raw!AT9)</f>
        <v>25</v>
      </c>
      <c r="AU9" t="str">
        <f>IF(master_raw!AU9="","",master_raw!AU9)</f>
        <v>A033-COG-X-BVM-TDTi</v>
      </c>
      <c r="AV9">
        <f>IF(master_raw!AV9="","",master_raw!AV9)</f>
        <v>23</v>
      </c>
      <c r="AW9" t="str">
        <f>IF(master_raw!AW9="","",master_raw!AW9)</f>
        <v>A034-COG-X-BVM-TDTi</v>
      </c>
      <c r="AX9">
        <f>IF(master_raw!AX9="","",master_raw!AX9)</f>
        <v>25</v>
      </c>
      <c r="AY9" t="str">
        <f>IF(master_raw!AY9="","",master_raw!AY9)</f>
        <v>A035-COG-X-BVM-TDTi</v>
      </c>
      <c r="AZ9">
        <f>IF(master_raw!AZ9="","",master_raw!AZ9)</f>
        <v>44</v>
      </c>
      <c r="BA9" t="str">
        <f>IF(master_raw!BA9="","",master_raw!BA9)</f>
        <v>A036-COG-X-BVM-TDTi</v>
      </c>
      <c r="BB9">
        <f>IF(master_raw!BB9="","",master_raw!BB9)</f>
        <v>58</v>
      </c>
      <c r="BC9" t="str">
        <f>IF(master_raw!BC9="","",master_raw!BC9)</f>
        <v>A037-COG-X-BVM-TDTi</v>
      </c>
      <c r="BD9">
        <f>IF(master_raw!BD9="","",master_raw!BD9)</f>
        <v>32</v>
      </c>
      <c r="BE9" t="str">
        <f>IF(master_raw!BE9="","",master_raw!BE9)</f>
        <v>A038-COG-X-BVM-TDTi</v>
      </c>
      <c r="BF9">
        <f>IF(master_raw!BF9="","",master_raw!BF9)</f>
        <v>48</v>
      </c>
      <c r="BG9" t="str">
        <f>IF(master_raw!BG9="","",master_raw!BG9)</f>
        <v>A039-COG-X-BVM-TDTi</v>
      </c>
      <c r="BH9">
        <f>IF(master_raw!BH9="","",master_raw!BH9)</f>
        <v>41</v>
      </c>
      <c r="BI9" t="str">
        <f>IF(master_raw!BI9="","",master_raw!BI9)</f>
        <v>A040-COG-X-BVM-TDTi</v>
      </c>
      <c r="BJ9">
        <f>IF(master_raw!BJ9="","",master_raw!BJ9)</f>
        <v>31</v>
      </c>
      <c r="BK9" t="str">
        <f>IF(master_raw!BK9="","",master_raw!BK9)</f>
        <v>A041-COG-X-BVM-TDTi</v>
      </c>
      <c r="BL9">
        <f>IF(master_raw!BL9="","",master_raw!BL9)</f>
        <v>30</v>
      </c>
      <c r="BM9" t="str">
        <f>IF(master_raw!BM9="","",master_raw!BM9)</f>
        <v>A042-COG-X-BVM-TDTi</v>
      </c>
      <c r="BN9">
        <f>IF(master_raw!BN9="","",master_raw!BN9)</f>
        <v>29</v>
      </c>
      <c r="BO9" t="str">
        <f>IF(master_raw!BO9="","",master_raw!BO9)</f>
        <v>A043-COG-X-BVM-TDTi</v>
      </c>
      <c r="BP9">
        <f>IF(master_raw!BP9="","",master_raw!BP9)</f>
        <v>29</v>
      </c>
      <c r="BQ9" t="str">
        <f>IF(master_raw!BQ9="","",master_raw!BQ9)</f>
        <v>A044-COG-X-BVM-TDTi</v>
      </c>
      <c r="BR9">
        <f>IF(master_raw!BR9="","",master_raw!BR9)</f>
        <v>27</v>
      </c>
      <c r="BS9" t="str">
        <f>IF(master_raw!BS9="","",master_raw!BS9)</f>
        <v>A045-COG-X-BVM-TDTi</v>
      </c>
      <c r="BT9">
        <f>IF(master_raw!BT9="","",master_raw!BT9)</f>
        <v>23</v>
      </c>
      <c r="BU9" t="str">
        <f>IF(master_raw!BU9="","",master_raw!BU9)</f>
        <v>A046-COG-X-BVM-TDTi</v>
      </c>
      <c r="BV9">
        <f>IF(master_raw!BV9="","",master_raw!BV9)</f>
        <v>28</v>
      </c>
      <c r="BW9" t="str">
        <f>IF(master_raw!BW9="","",master_raw!BW9)</f>
        <v>A047-COG-X-BVM-TDTi</v>
      </c>
      <c r="BX9">
        <f>IF(master_raw!BX9="","",master_raw!BX9)</f>
        <v>18</v>
      </c>
      <c r="BY9" t="str">
        <f>IF(master_raw!BY9="","",master_raw!BY9)</f>
        <v>A048-COG-X-BVM-TDTi</v>
      </c>
      <c r="BZ9">
        <f>IF(master_raw!BZ9="","",master_raw!BZ9)</f>
        <v>15</v>
      </c>
      <c r="CA9" t="str">
        <f>IF(master_raw!CA9="","",master_raw!CA9)</f>
        <v>A049-COG-X-BVM-TDTi</v>
      </c>
      <c r="CB9">
        <f>IF(master_raw!CB9="","",master_raw!CB9)</f>
        <v>35</v>
      </c>
      <c r="CC9" t="str">
        <f>IF(master_raw!CC9="","",master_raw!CC9)</f>
        <v>A050-COG-X-BVM-TDTi</v>
      </c>
      <c r="CD9">
        <f>IF(master_raw!CD9="","",master_raw!CD9)</f>
        <v>26</v>
      </c>
      <c r="CE9" t="str">
        <f>IF(master_raw!CE9="","",master_raw!CE9)</f>
        <v>A051-COG-X-BVM-TDTi</v>
      </c>
      <c r="CF9">
        <f>IF(master_raw!CF9="","",master_raw!CF9)</f>
        <v>31</v>
      </c>
      <c r="CG9" t="str">
        <f>IF(master_raw!CG9="","",master_raw!CG9)</f>
        <v>A052-COG-X-BVM-TDTi</v>
      </c>
      <c r="CH9">
        <f>IF(master_raw!CH9="","",master_raw!CH9)</f>
        <v>26</v>
      </c>
      <c r="CI9" t="str">
        <f>IF(master_raw!CI9="","",master_raw!CI9)</f>
        <v>A053-COG-X-BVM-TDTi</v>
      </c>
      <c r="CJ9">
        <f>IF(master_raw!CJ9="","",master_raw!CJ9)</f>
        <v>31</v>
      </c>
      <c r="CK9" t="str">
        <f>IF(master_raw!CK9="","",master_raw!CK9)</f>
        <v>A054-COG-X-BVM-TDTi</v>
      </c>
      <c r="CL9">
        <f>IF(master_raw!CL9="","",master_raw!CL9)</f>
        <v>21</v>
      </c>
      <c r="CM9" t="str">
        <f>IF(master_raw!CM9="","",master_raw!CM9)</f>
        <v>A055-COG-X-BVM-TDTi</v>
      </c>
      <c r="CN9">
        <f>IF(master_raw!CN9="","",master_raw!CN9)</f>
        <v>51</v>
      </c>
      <c r="CO9" t="str">
        <f>IF(master_raw!CO9="","",master_raw!CO9)</f>
        <v>A056-COG-X-BVM-TDTi</v>
      </c>
      <c r="CP9">
        <f>IF(master_raw!CP9="","",master_raw!CP9)</f>
        <v>38</v>
      </c>
      <c r="CQ9" t="str">
        <f>IF(master_raw!CQ9="","",master_raw!CQ9)</f>
        <v>A057-COG-X-BVM-TDTi</v>
      </c>
      <c r="CR9">
        <f>IF(master_raw!CR9="","",master_raw!CR9)</f>
        <v>21</v>
      </c>
      <c r="CS9" t="str">
        <f>IF(master_raw!CS9="","",master_raw!CS9)</f>
        <v>A058-COG-X-BVM-TDTi</v>
      </c>
      <c r="CT9">
        <f>IF(master_raw!CT9="","",master_raw!CT9)</f>
        <v>34</v>
      </c>
      <c r="CU9" t="str">
        <f>IF(master_raw!CU9="","",master_raw!CU9)</f>
        <v>A059-COG-X-BVM-TDTi</v>
      </c>
      <c r="CV9">
        <f>IF(master_raw!CV9="","",master_raw!CV9)</f>
        <v>40</v>
      </c>
      <c r="CW9" t="str">
        <f>IF(master_raw!CW9="","",master_raw!CW9)</f>
        <v>A060-COG-X-BVM-TDTi</v>
      </c>
      <c r="CX9">
        <f>IF(master_raw!CX9="","",master_raw!CX9)</f>
        <v>36</v>
      </c>
      <c r="CY9" t="str">
        <f>IF(master_raw!CY9="","",master_raw!CY9)</f>
        <v>A061-COG-X-BVM-TDTi</v>
      </c>
      <c r="CZ9">
        <f>IF(master_raw!CZ9="","",master_raw!CZ9)</f>
        <v>39</v>
      </c>
      <c r="DA9" t="str">
        <f>IF(master_raw!DA9="","",master_raw!DA9)</f>
        <v>A062-COG-X-BVM-TDTi</v>
      </c>
      <c r="DB9">
        <f>IF(master_raw!DB9="","",master_raw!DB9)</f>
        <v>22</v>
      </c>
      <c r="DC9" t="str">
        <f>IF(master_raw!DC9="","",master_raw!DC9)</f>
        <v>A063-COG-X-BVM-TDTi</v>
      </c>
      <c r="DD9">
        <f>IF(master_raw!DD9="","",master_raw!DD9)</f>
        <v>30</v>
      </c>
      <c r="DE9" t="str">
        <f>IF(master_raw!DE9="","",master_raw!DE9)</f>
        <v>A064-COG-X-BVM-TDTi</v>
      </c>
      <c r="DF9">
        <f>IF(master_raw!DF9="","",master_raw!DF9)</f>
        <v>15</v>
      </c>
      <c r="DG9" t="str">
        <f>IF(master_raw!DG9="","",master_raw!DG9)</f>
        <v>A065-COG-X-BVM-TDTi</v>
      </c>
      <c r="DH9">
        <f>IF(master_raw!DH9="","",master_raw!DH9)</f>
        <v>24</v>
      </c>
      <c r="DI9" t="str">
        <f>IF(master_raw!DI9="","",master_raw!DI9)</f>
        <v>A066-COG-X-BVM-TDTi</v>
      </c>
      <c r="DJ9">
        <f>IF(master_raw!DJ9="","",master_raw!DJ9)</f>
        <v>28</v>
      </c>
      <c r="DK9" t="str">
        <f>IF(master_raw!DK9="","",master_raw!DK9)</f>
        <v>A067-COG-X-BVM-TDTi</v>
      </c>
      <c r="DL9">
        <f>IF(master_raw!DL9="","",master_raw!DL9)</f>
        <v>26</v>
      </c>
      <c r="DM9" t="str">
        <f>IF(master_raw!DM9="","",master_raw!DM9)</f>
        <v>A068-COG-X-BVM-TDTi</v>
      </c>
      <c r="DN9">
        <f>IF(master_raw!DN9="","",master_raw!DN9)</f>
        <v>26</v>
      </c>
      <c r="DO9" t="str">
        <f>IF(master_raw!DO9="","",master_raw!DO9)</f>
        <v>A069-COG-X-BVM-TDTi</v>
      </c>
      <c r="DP9">
        <f>IF(master_raw!DP9="","",master_raw!DP9)</f>
        <v>36</v>
      </c>
      <c r="DQ9" t="str">
        <f>IF(master_raw!DQ9="","",master_raw!DQ9)</f>
        <v>A070-COG-X-BVM-TDTi</v>
      </c>
      <c r="DR9">
        <f>IF(master_raw!DR9="","",master_raw!DR9)</f>
        <v>20</v>
      </c>
      <c r="DS9" t="str">
        <f>IF(master_raw!DS9="","",master_raw!DS9)</f>
        <v>A071-COG-X-BVM-TDTi</v>
      </c>
      <c r="DT9" t="str">
        <f>IF(master_raw!DT9="","",master_raw!DT9)</f>
        <v/>
      </c>
      <c r="DU9" t="str">
        <f>IF(master_raw!DU9="","",master_raw!DU9)</f>
        <v>A072-COG-X-BVM-TDTi</v>
      </c>
      <c r="DV9">
        <f>IF(master_raw!DV9="","",master_raw!DV9)</f>
        <v>25</v>
      </c>
      <c r="DW9" t="str">
        <f>IF(master_raw!DW9="","",master_raw!DW9)</f>
        <v>A073-COG-X-BVM-TDTi</v>
      </c>
      <c r="DX9">
        <f>IF(master_raw!DX9="","",master_raw!DX9)</f>
        <v>36</v>
      </c>
      <c r="DY9" t="str">
        <f>IF(master_raw!DY9="","",master_raw!DY9)</f>
        <v>A074-COG-X-BVM-TDTi</v>
      </c>
      <c r="DZ9">
        <f>IF(master_raw!DZ9="","",master_raw!DZ9)</f>
        <v>24</v>
      </c>
      <c r="EA9" t="str">
        <f>IF(master_raw!EA9="","",master_raw!EA9)</f>
        <v>A075-COG-X-BVM-TDTi</v>
      </c>
      <c r="EB9">
        <f>IF(master_raw!EB9="","",master_raw!EB9)</f>
        <v>23</v>
      </c>
      <c r="EC9" t="str">
        <f>IF(master_raw!EC9="","",master_raw!EC9)</f>
        <v>A076-COG-X-BVM-TDTi</v>
      </c>
      <c r="ED9">
        <f>IF(master_raw!ED9="","",master_raw!ED9)</f>
        <v>25</v>
      </c>
      <c r="EE9" t="str">
        <f>IF(master_raw!EE9="","",master_raw!EE9)</f>
        <v>A077-COG-X-BVM-TDTi</v>
      </c>
      <c r="EF9">
        <f>IF(master_raw!EF9="","",master_raw!EF9)</f>
        <v>30</v>
      </c>
      <c r="EG9" t="str">
        <f>IF(master_raw!EG9="","",master_raw!EG9)</f>
        <v>A078-COG-X-BVM-TDTi</v>
      </c>
      <c r="EH9">
        <f>IF(master_raw!EH9="","",master_raw!EH9)</f>
        <v>34</v>
      </c>
      <c r="EI9" t="str">
        <f>IF(master_raw!EI9="","",master_raw!EI9)</f>
        <v>A079-COG-X-BVM-TDTi</v>
      </c>
      <c r="EJ9">
        <f>IF(master_raw!EJ9="","",master_raw!EJ9)</f>
        <v>191</v>
      </c>
      <c r="EK9" t="str">
        <f>IF(master_raw!EK9="","",master_raw!EK9)</f>
        <v>A080-COG-X-BVM-TDTi</v>
      </c>
      <c r="EL9">
        <f>IF(master_raw!EL9="","",master_raw!EL9)</f>
        <v>25</v>
      </c>
      <c r="EM9" t="str">
        <f>IF(master_raw!EM9="","",master_raw!EM9)</f>
        <v>A081-COG-X-BVM-TDTi</v>
      </c>
      <c r="EN9">
        <f>IF(master_raw!EN9="","",master_raw!EN9)</f>
        <v>38</v>
      </c>
      <c r="EO9" t="str">
        <f>IF(master_raw!EO9="","",master_raw!EO9)</f>
        <v>A082-COG-X-BVM-TDTi</v>
      </c>
      <c r="EP9">
        <f>IF(master_raw!EP9="","",master_raw!EP9)</f>
        <v>33</v>
      </c>
      <c r="EQ9" t="str">
        <f>IF(master_raw!EQ9="","",master_raw!EQ9)</f>
        <v>A083-COG-X-BVM-TDTi</v>
      </c>
      <c r="ER9">
        <f>IF(master_raw!ER9="","",master_raw!ER9)</f>
        <v>21</v>
      </c>
      <c r="ES9" t="str">
        <f>IF(master_raw!ES9="","",master_raw!ES9)</f>
        <v>A084-COG-X-BVM-TDTi</v>
      </c>
      <c r="ET9">
        <f>IF(master_raw!ET9="","",master_raw!ET9)</f>
        <v>36</v>
      </c>
      <c r="EU9" t="str">
        <f>IF(master_raw!EU9="","",master_raw!EU9)</f>
        <v>A085-COG-X-BVM-TDTi</v>
      </c>
      <c r="EV9">
        <f>IF(master_raw!EV9="","",master_raw!EV9)</f>
        <v>23</v>
      </c>
      <c r="EW9" t="str">
        <f>IF(master_raw!EW9="","",master_raw!EW9)</f>
        <v>A086-COG-X-BVM-TDTi</v>
      </c>
      <c r="EX9">
        <f>IF(master_raw!EX9="","",master_raw!EX9)</f>
        <v>23</v>
      </c>
      <c r="EY9" t="str">
        <f>IF(master_raw!EY9="","",master_raw!EY9)</f>
        <v>A087-COG-X-BVM-TDTi</v>
      </c>
      <c r="EZ9">
        <f>IF(master_raw!EZ9="","",master_raw!EZ9)</f>
        <v>26</v>
      </c>
      <c r="FA9" t="str">
        <f>IF(master_raw!FA9="","",master_raw!FA9)</f>
        <v>A088-COG-X-BVM-TDTi</v>
      </c>
      <c r="FB9">
        <f>IF(master_raw!FB9="","",master_raw!FB9)</f>
        <v>30</v>
      </c>
      <c r="FC9" t="str">
        <f>IF(master_raw!FC9="","",master_raw!FC9)</f>
        <v>A089-COG-X-BVM-TDTi</v>
      </c>
      <c r="FD9">
        <f>IF(master_raw!FD9="","",master_raw!FD9)</f>
        <v>26</v>
      </c>
      <c r="FE9" t="str">
        <f>IF(master_raw!FE9="","",master_raw!FE9)</f>
        <v>A090-COG-X-BVM-TDTi</v>
      </c>
      <c r="FF9">
        <f>IF(master_raw!FF9="","",master_raw!FF9)</f>
        <v>30</v>
      </c>
      <c r="FG9" t="str">
        <f>IF(master_raw!FG9="","",master_raw!FG9)</f>
        <v>A091-COG-X-BVM-TDTi</v>
      </c>
      <c r="FH9">
        <f>IF(master_raw!FH9="","",master_raw!FH9)</f>
        <v>22</v>
      </c>
      <c r="FI9" t="str">
        <f>IF(master_raw!FI9="","",master_raw!FI9)</f>
        <v>A092-COG-X-BVM-TDTi</v>
      </c>
      <c r="FJ9">
        <f>IF(master_raw!FJ9="","",master_raw!FJ9)</f>
        <v>61</v>
      </c>
      <c r="FK9" t="str">
        <f>IF(master_raw!FK9="","",master_raw!FK9)</f>
        <v>A093-COG-X-BVM-TDTi</v>
      </c>
      <c r="FL9">
        <f>IF(master_raw!FL9="","",master_raw!FL9)</f>
        <v>35</v>
      </c>
      <c r="FM9" t="str">
        <f>IF(master_raw!FM9="","",master_raw!FM9)</f>
        <v>A094-COG-X-BVM-TDTi</v>
      </c>
      <c r="FN9">
        <f>IF(master_raw!FN9="","",master_raw!FN9)</f>
        <v>52</v>
      </c>
      <c r="FO9" t="str">
        <f>IF(master_raw!FO9="","",master_raw!FO9)</f>
        <v>A095-COG-X-BVM-TDTi</v>
      </c>
      <c r="FP9">
        <f>IF(master_raw!FP9="","",master_raw!FP9)</f>
        <v>30</v>
      </c>
      <c r="FQ9" t="str">
        <f>IF(master_raw!FQ9="","",master_raw!FQ9)</f>
        <v>A096-COG-X-BVM-TDTi</v>
      </c>
      <c r="FR9">
        <f>IF(master_raw!FR9="","",master_raw!FR9)</f>
        <v>103</v>
      </c>
      <c r="FS9" t="str">
        <f>IF(master_raw!FS9="","",master_raw!FS9)</f>
        <v>A097-COG-X-BVM-TDTi</v>
      </c>
      <c r="FT9">
        <f>IF(master_raw!FT9="","",master_raw!FT9)</f>
        <v>32</v>
      </c>
      <c r="FU9" t="str">
        <f>IF(master_raw!FU9="","",master_raw!FU9)</f>
        <v>A098-COG-X-BVM-TDTi</v>
      </c>
      <c r="FV9">
        <f>IF(master_raw!FV9="","",master_raw!FV9)</f>
        <v>25</v>
      </c>
      <c r="FW9" t="str">
        <f>IF(master_raw!FW9="","",master_raw!FW9)</f>
        <v>A099-COG-X-BVM-TDTi</v>
      </c>
      <c r="FX9">
        <f>IF(master_raw!FX9="","",master_raw!FX9)</f>
        <v>76</v>
      </c>
      <c r="FY9" t="str">
        <f>IF(master_raw!FY9="","",master_raw!FY9)</f>
        <v>A100-COG-X-BVM-TDTi</v>
      </c>
      <c r="FZ9">
        <f>IF(master_raw!FZ9="","",master_raw!FZ9)</f>
        <v>24</v>
      </c>
      <c r="GA9" t="str">
        <f>IF(master_raw!GA9="","",master_raw!GA9)</f>
        <v>A101-COG-X-BVM-TDTi</v>
      </c>
      <c r="GB9">
        <f>IF(master_raw!GB9="","",master_raw!GB9)</f>
        <v>64</v>
      </c>
      <c r="GC9" t="str">
        <f>IF(master_raw!GC9="","",master_raw!GC9)</f>
        <v>A102-COG-X-BVM-TDTi</v>
      </c>
      <c r="GD9">
        <f>IF(master_raw!GD9="","",master_raw!GD9)</f>
        <v>29</v>
      </c>
      <c r="GE9" t="str">
        <f>IF(master_raw!GE9="","",master_raw!GE9)</f>
        <v>A103-COG-X-BVM-TDTi</v>
      </c>
      <c r="GF9">
        <f>IF(master_raw!GF9="","",master_raw!GF9)</f>
        <v>58</v>
      </c>
      <c r="GG9" t="str">
        <f>IF(master_raw!GG9="","",master_raw!GG9)</f>
        <v>A104-COG-X-BVM-TDTi</v>
      </c>
      <c r="GH9">
        <f>IF(master_raw!GH9="","",master_raw!GH9)</f>
        <v>69</v>
      </c>
      <c r="GI9" t="str">
        <f>IF(master_raw!GI9="","",master_raw!GI9)</f>
        <v>A105-COG-X-BVM-TDTi</v>
      </c>
      <c r="GJ9">
        <f>IF(master_raw!GJ9="","",master_raw!GJ9)</f>
        <v>42</v>
      </c>
      <c r="GK9" t="str">
        <f>IF(master_raw!GK9="","",master_raw!GK9)</f>
        <v>A106-COG-X-BVM-TDTi</v>
      </c>
      <c r="GL9">
        <f>IF(master_raw!GL9="","",master_raw!GL9)</f>
        <v>68</v>
      </c>
      <c r="GM9" t="str">
        <f>IF(master_raw!GM9="","",master_raw!GM9)</f>
        <v>A107-COG-X-BVM-TDTi</v>
      </c>
      <c r="GN9">
        <f>IF(master_raw!GN9="","",master_raw!GN9)</f>
        <v>41</v>
      </c>
      <c r="GO9" t="str">
        <f>IF(master_raw!GO9="","",master_raw!GO9)</f>
        <v>A108-COG-X-BVM-TDTi</v>
      </c>
      <c r="GP9">
        <f>IF(master_raw!GP9="","",master_raw!GP9)</f>
        <v>31</v>
      </c>
      <c r="GQ9" t="str">
        <f>IF(master_raw!GQ9="","",master_raw!GQ9)</f>
        <v>A109-COG-X-BVM-TDTi</v>
      </c>
      <c r="GR9">
        <f>IF(master_raw!GR9="","",master_raw!GR9)</f>
        <v>63</v>
      </c>
    </row>
    <row r="10" spans="1:200" x14ac:dyDescent="0.25">
      <c r="A10" t="str">
        <f>IF(master_raw!A10="","",master_raw!A10)</f>
        <v>A010-COG-X-BVM-TDSc</v>
      </c>
      <c r="B10">
        <f>IF(master_raw!B10="","",ROUNDDOWN(master_raw!B10,0))</f>
        <v>12</v>
      </c>
      <c r="C10" t="str">
        <f>IF(master_raw!C10="","",master_raw!C10)</f>
        <v>A011-COG-X-BVM-TDSc</v>
      </c>
      <c r="D10">
        <f>IF(master_raw!D10="","",ROUNDDOWN(master_raw!D10,0))</f>
        <v>12</v>
      </c>
      <c r="E10" t="str">
        <f>IF(master_raw!E10="","",master_raw!E10)</f>
        <v>A012-COG-X-BVM-TDSc</v>
      </c>
      <c r="F10">
        <f>IF(master_raw!F10="","",ROUNDDOWN(master_raw!F10,0))</f>
        <v>12</v>
      </c>
      <c r="G10" t="str">
        <f>IF(master_raw!G10="","",master_raw!G10)</f>
        <v>A013-COG-X-BVM-TDSc</v>
      </c>
      <c r="H10">
        <f>IF(master_raw!H10="","",ROUNDDOWN(master_raw!H10,0))</f>
        <v>11</v>
      </c>
      <c r="I10" t="str">
        <f>IF(master_raw!I10="","",master_raw!I10)</f>
        <v>A014-COG-X-BVM-TDSc</v>
      </c>
      <c r="J10">
        <f>IF(master_raw!J10="","",ROUNDDOWN(master_raw!J10,0))</f>
        <v>12</v>
      </c>
      <c r="K10" t="str">
        <f>IF(master_raw!K10="","",master_raw!K10)</f>
        <v>A015-COG-X-BVM-TDSc</v>
      </c>
      <c r="L10">
        <f>IF(master_raw!L10="","",ROUNDDOWN(master_raw!L10,0))</f>
        <v>12</v>
      </c>
      <c r="M10" t="str">
        <f>IF(master_raw!M10="","",master_raw!M10)</f>
        <v>A016-COG-X-BVM-TDSc</v>
      </c>
      <c r="N10">
        <f>IF(master_raw!N10="","",ROUNDDOWN(master_raw!N10,0))</f>
        <v>12</v>
      </c>
      <c r="O10" t="str">
        <f>IF(master_raw!O10="","",master_raw!O10)</f>
        <v>A017-COG-X-BVM-TDSc</v>
      </c>
      <c r="P10">
        <f>IF(master_raw!P10="","",ROUNDDOWN(master_raw!P10,0))</f>
        <v>12</v>
      </c>
      <c r="Q10" t="str">
        <f>IF(master_raw!Q10="","",master_raw!Q10)</f>
        <v>A018-COG-X-BVM-TDSc</v>
      </c>
      <c r="R10">
        <f>IF(master_raw!R10="","",ROUNDDOWN(master_raw!R10,0))</f>
        <v>8</v>
      </c>
      <c r="S10" t="str">
        <f>IF(master_raw!S10="","",master_raw!S10)</f>
        <v>A019-COG-X-BVM-TDSc</v>
      </c>
      <c r="T10">
        <f>IF(master_raw!T10="","",ROUNDDOWN(master_raw!T10,0))</f>
        <v>11</v>
      </c>
      <c r="U10" t="str">
        <f>IF(master_raw!U10="","",master_raw!U10)</f>
        <v>A020-COG-X-BVM-TDSc</v>
      </c>
      <c r="V10">
        <f>IF(master_raw!V10="","",ROUNDDOWN(master_raw!V10,0))</f>
        <v>12</v>
      </c>
      <c r="W10" t="str">
        <f>IF(master_raw!W10="","",master_raw!W10)</f>
        <v>A021-COG-X-BVM-TDSc</v>
      </c>
      <c r="X10">
        <f>IF(master_raw!X10="","",ROUNDDOWN(master_raw!X10,0))</f>
        <v>12</v>
      </c>
      <c r="Y10" t="str">
        <f>IF(master_raw!Y10="","",master_raw!Y10)</f>
        <v>A022-COG-X-BVM-TDSc</v>
      </c>
      <c r="Z10">
        <f>IF(master_raw!Z10="","",ROUNDDOWN(master_raw!Z10,0))</f>
        <v>12</v>
      </c>
      <c r="AA10" t="str">
        <f>IF(master_raw!AA10="","",master_raw!AA10)</f>
        <v>A023-COG-X-BVM-TDSc</v>
      </c>
      <c r="AB10">
        <f>IF(master_raw!AB10="","",ROUNDDOWN(master_raw!AB10,0))</f>
        <v>10</v>
      </c>
      <c r="AC10" t="str">
        <f>IF(master_raw!AC10="","",master_raw!AC10)</f>
        <v>A024-COG-X-BVM-TDSc</v>
      </c>
      <c r="AD10">
        <f>IF(master_raw!AD10="","",ROUNDDOWN(master_raw!AD10,0))</f>
        <v>11</v>
      </c>
      <c r="AE10" t="str">
        <f>IF(master_raw!AE10="","",master_raw!AE10)</f>
        <v>A025-COG-X-BVM-TDSc</v>
      </c>
      <c r="AF10">
        <f>IF(master_raw!AF10="","",ROUNDDOWN(master_raw!AF10,0))</f>
        <v>12</v>
      </c>
      <c r="AG10" t="str">
        <f>IF(master_raw!AG10="","",master_raw!AG10)</f>
        <v>A026-COG-X-BVM-TDSc</v>
      </c>
      <c r="AH10">
        <f>IF(master_raw!AH10="","",ROUNDDOWN(master_raw!AH10,0))</f>
        <v>12</v>
      </c>
      <c r="AI10" t="str">
        <f>IF(master_raw!AI10="","",master_raw!AI10)</f>
        <v>A027-COG-X-BVM-TDSc</v>
      </c>
      <c r="AJ10">
        <f>IF(master_raw!AJ10="","",ROUNDDOWN(master_raw!AJ10,0))</f>
        <v>11</v>
      </c>
      <c r="AK10" t="str">
        <f>IF(master_raw!AK10="","",master_raw!AK10)</f>
        <v>A028-COG-X-BVM-TDSc</v>
      </c>
      <c r="AL10">
        <f>IF(master_raw!AL10="","",ROUNDDOWN(master_raw!AL10,0))</f>
        <v>11</v>
      </c>
      <c r="AM10" t="str">
        <f>IF(master_raw!AM10="","",master_raw!AM10)</f>
        <v>A029-COG-X-BVM-TDSc</v>
      </c>
      <c r="AN10">
        <f>IF(master_raw!AN10="","",ROUNDDOWN(master_raw!AN10,0))</f>
        <v>12</v>
      </c>
      <c r="AO10" t="str">
        <f>IF(master_raw!AO10="","",master_raw!AO10)</f>
        <v>A030-COG-X-BVM-TDSc</v>
      </c>
      <c r="AP10">
        <f>IF(master_raw!AP10="","",ROUNDDOWN(master_raw!AP10,0))</f>
        <v>12</v>
      </c>
      <c r="AQ10" t="str">
        <f>IF(master_raw!AQ10="","",master_raw!AQ10)</f>
        <v>A031-COG-X-BVM-TDSc</v>
      </c>
      <c r="AR10">
        <f>IF(master_raw!AR10="","",ROUNDDOWN(master_raw!AR10,0))</f>
        <v>12</v>
      </c>
      <c r="AS10" t="str">
        <f>IF(master_raw!AS10="","",master_raw!AS10)</f>
        <v>A032-COG-X-BVM-TDSc</v>
      </c>
      <c r="AT10">
        <f>IF(master_raw!AT10="","",ROUNDDOWN(master_raw!AT10,0))</f>
        <v>12</v>
      </c>
      <c r="AU10" t="str">
        <f>IF(master_raw!AU10="","",master_raw!AU10)</f>
        <v>A033-COG-X-BVM-TDSc</v>
      </c>
      <c r="AV10">
        <f>IF(master_raw!AV10="","",ROUNDDOWN(master_raw!AV10,0))</f>
        <v>12</v>
      </c>
      <c r="AW10" t="str">
        <f>IF(master_raw!AW10="","",master_raw!AW10)</f>
        <v>A034-COG-X-BVM-TDSc</v>
      </c>
      <c r="AX10">
        <f>IF(master_raw!AX10="","",ROUNDDOWN(master_raw!AX10,0))</f>
        <v>12</v>
      </c>
      <c r="AY10" t="str">
        <f>IF(master_raw!AY10="","",master_raw!AY10)</f>
        <v>A035-COG-X-BVM-TDSc</v>
      </c>
      <c r="AZ10">
        <f>IF(master_raw!AZ10="","",ROUNDDOWN(master_raw!AZ10,0))</f>
        <v>12</v>
      </c>
      <c r="BA10" t="str">
        <f>IF(master_raw!BA10="","",master_raw!BA10)</f>
        <v>A036-COG-X-BVM-TDSc</v>
      </c>
      <c r="BB10">
        <f>IF(master_raw!BB10="","",ROUNDDOWN(master_raw!BB10,0))</f>
        <v>12</v>
      </c>
      <c r="BC10" t="str">
        <f>IF(master_raw!BC10="","",master_raw!BC10)</f>
        <v>A037-COG-X-BVM-TDSc</v>
      </c>
      <c r="BD10">
        <f>IF(master_raw!BD10="","",ROUNDDOWN(master_raw!BD10,0))</f>
        <v>12</v>
      </c>
      <c r="BE10" t="str">
        <f>IF(master_raw!BE10="","",master_raw!BE10)</f>
        <v>A038-COG-X-BVM-TDSc</v>
      </c>
      <c r="BF10">
        <f>IF(master_raw!BF10="","",ROUNDDOWN(master_raw!BF10,0))</f>
        <v>10</v>
      </c>
      <c r="BG10" t="str">
        <f>IF(master_raw!BG10="","",master_raw!BG10)</f>
        <v>A039-COG-X-BVM-TDSc</v>
      </c>
      <c r="BH10">
        <f>IF(master_raw!BH10="","",ROUNDDOWN(master_raw!BH10,0))</f>
        <v>12</v>
      </c>
      <c r="BI10" t="str">
        <f>IF(master_raw!BI10="","",master_raw!BI10)</f>
        <v>A040-COG-X-BVM-TDSc</v>
      </c>
      <c r="BJ10">
        <f>IF(master_raw!BJ10="","",ROUNDDOWN(master_raw!BJ10,0))</f>
        <v>9</v>
      </c>
      <c r="BK10" t="str">
        <f>IF(master_raw!BK10="","",master_raw!BK10)</f>
        <v>A041-COG-X-BVM-TDSc</v>
      </c>
      <c r="BL10">
        <f>IF(master_raw!BL10="","",ROUNDDOWN(master_raw!BL10,0))</f>
        <v>12</v>
      </c>
      <c r="BM10" t="str">
        <f>IF(master_raw!BM10="","",master_raw!BM10)</f>
        <v>A042-COG-X-BVM-TDSc</v>
      </c>
      <c r="BN10">
        <f>IF(master_raw!BN10="","",ROUNDDOWN(master_raw!BN10,0))</f>
        <v>12</v>
      </c>
      <c r="BO10" t="str">
        <f>IF(master_raw!BO10="","",master_raw!BO10)</f>
        <v>A043-COG-X-BVM-TDSc</v>
      </c>
      <c r="BP10">
        <f>IF(master_raw!BP10="","",ROUNDDOWN(master_raw!BP10,0))</f>
        <v>12</v>
      </c>
      <c r="BQ10" t="str">
        <f>IF(master_raw!BQ10="","",master_raw!BQ10)</f>
        <v>A044-COG-X-BVM-TDSc</v>
      </c>
      <c r="BR10">
        <f>IF(master_raw!BR10="","",ROUNDDOWN(master_raw!BR10,0))</f>
        <v>12</v>
      </c>
      <c r="BS10" t="str">
        <f>IF(master_raw!BS10="","",master_raw!BS10)</f>
        <v>A045-COG-X-BVM-TDSc</v>
      </c>
      <c r="BT10">
        <f>IF(master_raw!BT10="","",ROUNDDOWN(master_raw!BT10,0))</f>
        <v>11</v>
      </c>
      <c r="BU10" t="str">
        <f>IF(master_raw!BU10="","",master_raw!BU10)</f>
        <v>A046-COG-X-BVM-TDSc</v>
      </c>
      <c r="BV10">
        <f>IF(master_raw!BV10="","",ROUNDDOWN(master_raw!BV10,0))</f>
        <v>12</v>
      </c>
      <c r="BW10" t="str">
        <f>IF(master_raw!BW10="","",master_raw!BW10)</f>
        <v>A047-COG-X-BVM-TDSc</v>
      </c>
      <c r="BX10">
        <f>IF(master_raw!BX10="","",ROUNDDOWN(master_raw!BX10,0))</f>
        <v>7</v>
      </c>
      <c r="BY10" t="str">
        <f>IF(master_raw!BY10="","",master_raw!BY10)</f>
        <v>A048-COG-X-BVM-TDSc</v>
      </c>
      <c r="BZ10">
        <f>IF(master_raw!BZ10="","",ROUNDDOWN(master_raw!BZ10,0))</f>
        <v>12</v>
      </c>
      <c r="CA10" t="str">
        <f>IF(master_raw!CA10="","",master_raw!CA10)</f>
        <v>A049-COG-X-BVM-TDSc</v>
      </c>
      <c r="CB10">
        <f>IF(master_raw!CB10="","",ROUNDDOWN(master_raw!CB10,0))</f>
        <v>12</v>
      </c>
      <c r="CC10" t="str">
        <f>IF(master_raw!CC10="","",master_raw!CC10)</f>
        <v>A050-COG-X-BVM-TDSc</v>
      </c>
      <c r="CD10">
        <f>IF(master_raw!CD10="","",ROUNDDOWN(master_raw!CD10,0))</f>
        <v>12</v>
      </c>
      <c r="CE10" t="str">
        <f>IF(master_raw!CE10="","",master_raw!CE10)</f>
        <v>A051-COG-X-BVM-TDSc</v>
      </c>
      <c r="CF10">
        <f>IF(master_raw!CF10="","",ROUNDDOWN(master_raw!CF10,0))</f>
        <v>11</v>
      </c>
      <c r="CG10" t="str">
        <f>IF(master_raw!CG10="","",master_raw!CG10)</f>
        <v>A052-COG-X-BVM-TDSc</v>
      </c>
      <c r="CH10">
        <f>IF(master_raw!CH10="","",ROUNDDOWN(master_raw!CH10,0))</f>
        <v>12</v>
      </c>
      <c r="CI10" t="str">
        <f>IF(master_raw!CI10="","",master_raw!CI10)</f>
        <v>A053-COG-X-BVM-TDSc</v>
      </c>
      <c r="CJ10">
        <f>IF(master_raw!CJ10="","",ROUNDDOWN(master_raw!CJ10,0))</f>
        <v>11</v>
      </c>
      <c r="CK10" t="str">
        <f>IF(master_raw!CK10="","",master_raw!CK10)</f>
        <v>A054-COG-X-BVM-TDSc</v>
      </c>
      <c r="CL10">
        <f>IF(master_raw!CL10="","",ROUNDDOWN(master_raw!CL10,0))</f>
        <v>12</v>
      </c>
      <c r="CM10" t="str">
        <f>IF(master_raw!CM10="","",master_raw!CM10)</f>
        <v>A055-COG-X-BVM-TDSc</v>
      </c>
      <c r="CN10">
        <f>IF(master_raw!CN10="","",ROUNDDOWN(master_raw!CN10,0))</f>
        <v>11</v>
      </c>
      <c r="CO10" t="str">
        <f>IF(master_raw!CO10="","",master_raw!CO10)</f>
        <v>A056-COG-X-BVM-TDSc</v>
      </c>
      <c r="CP10">
        <f>IF(master_raw!CP10="","",ROUNDDOWN(master_raw!CP10,0))</f>
        <v>12</v>
      </c>
      <c r="CQ10" t="str">
        <f>IF(master_raw!CQ10="","",master_raw!CQ10)</f>
        <v>A057-COG-X-BVM-TDSc</v>
      </c>
      <c r="CR10">
        <f>IF(master_raw!CR10="","",ROUNDDOWN(master_raw!CR10,0))</f>
        <v>12</v>
      </c>
      <c r="CS10" t="str">
        <f>IF(master_raw!CS10="","",master_raw!CS10)</f>
        <v>A058-COG-X-BVM-TDSc</v>
      </c>
      <c r="CT10">
        <f>IF(master_raw!CT10="","",ROUNDDOWN(master_raw!CT10,0))</f>
        <v>12</v>
      </c>
      <c r="CU10" t="str">
        <f>IF(master_raw!CU10="","",master_raw!CU10)</f>
        <v>A059-COG-X-BVM-TDSc</v>
      </c>
      <c r="CV10">
        <f>IF(master_raw!CV10="","",ROUNDDOWN(master_raw!CV10,0))</f>
        <v>12</v>
      </c>
      <c r="CW10" t="str">
        <f>IF(master_raw!CW10="","",master_raw!CW10)</f>
        <v>A060-COG-X-BVM-TDSc</v>
      </c>
      <c r="CX10">
        <f>IF(master_raw!CX10="","",ROUNDDOWN(master_raw!CX10,0))</f>
        <v>11</v>
      </c>
      <c r="CY10" t="str">
        <f>IF(master_raw!CY10="","",master_raw!CY10)</f>
        <v>A061-COG-X-BVM-TDSc</v>
      </c>
      <c r="CZ10">
        <f>IF(master_raw!CZ10="","",ROUNDDOWN(master_raw!CZ10,0))</f>
        <v>11</v>
      </c>
      <c r="DA10" t="str">
        <f>IF(master_raw!DA10="","",master_raw!DA10)</f>
        <v>A062-COG-X-BVM-TDSc</v>
      </c>
      <c r="DB10">
        <f>IF(master_raw!DB10="","",ROUNDDOWN(master_raw!DB10,0))</f>
        <v>12</v>
      </c>
      <c r="DC10" t="str">
        <f>IF(master_raw!DC10="","",master_raw!DC10)</f>
        <v>A063-COG-X-BVM-TDSc</v>
      </c>
      <c r="DD10">
        <f>IF(master_raw!DD10="","",ROUNDDOWN(master_raw!DD10,0))</f>
        <v>11</v>
      </c>
      <c r="DE10" t="str">
        <f>IF(master_raw!DE10="","",master_raw!DE10)</f>
        <v>A064-COG-X-BVM-TDSc</v>
      </c>
      <c r="DF10">
        <f>IF(master_raw!DF10="","",ROUNDDOWN(master_raw!DF10,0))</f>
        <v>12</v>
      </c>
      <c r="DG10" t="str">
        <f>IF(master_raw!DG10="","",master_raw!DG10)</f>
        <v>A065-COG-X-BVM-TDSc</v>
      </c>
      <c r="DH10">
        <f>IF(master_raw!DH10="","",ROUNDDOWN(master_raw!DH10,0))</f>
        <v>8</v>
      </c>
      <c r="DI10" t="str">
        <f>IF(master_raw!DI10="","",master_raw!DI10)</f>
        <v>A066-COG-X-BVM-TDSc</v>
      </c>
      <c r="DJ10">
        <f>IF(master_raw!DJ10="","",ROUNDDOWN(master_raw!DJ10,0))</f>
        <v>10</v>
      </c>
      <c r="DK10" t="str">
        <f>IF(master_raw!DK10="","",master_raw!DK10)</f>
        <v>A067-COG-X-BVM-TDSc</v>
      </c>
      <c r="DL10">
        <f>IF(master_raw!DL10="","",ROUNDDOWN(master_raw!DL10,0))</f>
        <v>11</v>
      </c>
      <c r="DM10" t="str">
        <f>IF(master_raw!DM10="","",master_raw!DM10)</f>
        <v>A068-COG-X-BVM-TDSc</v>
      </c>
      <c r="DN10">
        <f>IF(master_raw!DN10="","",ROUNDDOWN(master_raw!DN10,0))</f>
        <v>12</v>
      </c>
      <c r="DO10" t="str">
        <f>IF(master_raw!DO10="","",master_raw!DO10)</f>
        <v>A069-COG-X-BVM-TDSc</v>
      </c>
      <c r="DP10">
        <f>IF(master_raw!DP10="","",ROUNDDOWN(master_raw!DP10,0))</f>
        <v>11</v>
      </c>
      <c r="DQ10" t="str">
        <f>IF(master_raw!DQ10="","",master_raw!DQ10)</f>
        <v>A070-COG-X-BVM-TDSc</v>
      </c>
      <c r="DR10">
        <f>IF(master_raw!DR10="","",ROUNDDOWN(master_raw!DR10,0))</f>
        <v>11</v>
      </c>
      <c r="DS10" t="str">
        <f>IF(master_raw!DS10="","",master_raw!DS10)</f>
        <v>A071-COG-X-BVM-TDSc</v>
      </c>
      <c r="DT10">
        <f>IF(master_raw!DT10="","",ROUNDDOWN(master_raw!DT10,0))</f>
        <v>12</v>
      </c>
      <c r="DU10" t="str">
        <f>IF(master_raw!DU10="","",master_raw!DU10)</f>
        <v>A072-COG-X-BVM-TDSc</v>
      </c>
      <c r="DV10">
        <f>IF(master_raw!DV10="","",ROUNDDOWN(master_raw!DV10,0))</f>
        <v>12</v>
      </c>
      <c r="DW10" t="str">
        <f>IF(master_raw!DW10="","",master_raw!DW10)</f>
        <v>A073-COG-X-BVM-TDSc</v>
      </c>
      <c r="DX10">
        <f>IF(master_raw!DX10="","",ROUNDDOWN(master_raw!DX10,0))</f>
        <v>10</v>
      </c>
      <c r="DY10" t="str">
        <f>IF(master_raw!DY10="","",master_raw!DY10)</f>
        <v>A074-COG-X-BVM-TDSc</v>
      </c>
      <c r="DZ10">
        <f>IF(master_raw!DZ10="","",ROUNDDOWN(master_raw!DZ10,0))</f>
        <v>12</v>
      </c>
      <c r="EA10" t="str">
        <f>IF(master_raw!EA10="","",master_raw!EA10)</f>
        <v>A075-COG-X-BVM-TDSc</v>
      </c>
      <c r="EB10">
        <f>IF(master_raw!EB10="","",ROUNDDOWN(master_raw!EB10,0))</f>
        <v>11</v>
      </c>
      <c r="EC10" t="str">
        <f>IF(master_raw!EC10="","",master_raw!EC10)</f>
        <v>A076-COG-X-BVM-TDSc</v>
      </c>
      <c r="ED10">
        <f>IF(master_raw!ED10="","",ROUNDDOWN(master_raw!ED10,0))</f>
        <v>7</v>
      </c>
      <c r="EE10" t="str">
        <f>IF(master_raw!EE10="","",master_raw!EE10)</f>
        <v>A077-COG-X-BVM-TDSc</v>
      </c>
      <c r="EF10">
        <f>IF(master_raw!EF10="","",ROUNDDOWN(master_raw!EF10,0))</f>
        <v>12</v>
      </c>
      <c r="EG10" t="str">
        <f>IF(master_raw!EG10="","",master_raw!EG10)</f>
        <v>A078-COG-X-BVM-TDSc</v>
      </c>
      <c r="EH10">
        <f>IF(master_raw!EH10="","",ROUNDDOWN(master_raw!EH10,0))</f>
        <v>11</v>
      </c>
      <c r="EI10" t="str">
        <f>IF(master_raw!EI10="","",master_raw!EI10)</f>
        <v>A079-COG-X-BVM-TDSc</v>
      </c>
      <c r="EJ10">
        <f>IF(master_raw!EJ10="","",ROUNDDOWN(master_raw!EJ10,0))</f>
        <v>8</v>
      </c>
      <c r="EK10" t="str">
        <f>IF(master_raw!EK10="","",master_raw!EK10)</f>
        <v>A080-COG-X-BVM-TDSc</v>
      </c>
      <c r="EL10">
        <f>IF(master_raw!EL10="","",ROUNDDOWN(master_raw!EL10,0))</f>
        <v>11</v>
      </c>
      <c r="EM10" t="str">
        <f>IF(master_raw!EM10="","",master_raw!EM10)</f>
        <v>A081-COG-X-BVM-TDSc</v>
      </c>
      <c r="EN10">
        <f>IF(master_raw!EN10="","",ROUNDDOWN(master_raw!EN10,0))</f>
        <v>12</v>
      </c>
      <c r="EO10" t="str">
        <f>IF(master_raw!EO10="","",master_raw!EO10)</f>
        <v>A082-COG-X-BVM-TDSc</v>
      </c>
      <c r="EP10">
        <f>IF(master_raw!EP10="","",ROUNDDOWN(master_raw!EP10,0))</f>
        <v>11</v>
      </c>
      <c r="EQ10" t="str">
        <f>IF(master_raw!EQ10="","",master_raw!EQ10)</f>
        <v>A083-COG-X-BVM-TDSc</v>
      </c>
      <c r="ER10">
        <f>IF(master_raw!ER10="","",ROUNDDOWN(master_raw!ER10,0))</f>
        <v>10</v>
      </c>
      <c r="ES10" t="str">
        <f>IF(master_raw!ES10="","",master_raw!ES10)</f>
        <v>A084-COG-X-BVM-TDSc</v>
      </c>
      <c r="ET10">
        <f>IF(master_raw!ET10="","",ROUNDDOWN(master_raw!ET10,0))</f>
        <v>7</v>
      </c>
      <c r="EU10" t="str">
        <f>IF(master_raw!EU10="","",master_raw!EU10)</f>
        <v>A085-COG-X-BVM-TDSc</v>
      </c>
      <c r="EV10">
        <f>IF(master_raw!EV10="","",ROUNDDOWN(master_raw!EV10,0))</f>
        <v>12</v>
      </c>
      <c r="EW10" t="str">
        <f>IF(master_raw!EW10="","",master_raw!EW10)</f>
        <v>A086-COG-X-BVM-TDSc</v>
      </c>
      <c r="EX10">
        <f>IF(master_raw!EX10="","",ROUNDDOWN(master_raw!EX10,0))</f>
        <v>11</v>
      </c>
      <c r="EY10" t="str">
        <f>IF(master_raw!EY10="","",master_raw!EY10)</f>
        <v>A087-COG-X-BVM-TDSc</v>
      </c>
      <c r="EZ10">
        <f>IF(master_raw!EZ10="","",ROUNDDOWN(master_raw!EZ10,0))</f>
        <v>11</v>
      </c>
      <c r="FA10" t="str">
        <f>IF(master_raw!FA10="","",master_raw!FA10)</f>
        <v>A088-COG-X-BVM-TDSc</v>
      </c>
      <c r="FB10">
        <f>IF(master_raw!FB10="","",ROUNDDOWN(master_raw!FB10,0))</f>
        <v>10</v>
      </c>
      <c r="FC10" t="str">
        <f>IF(master_raw!FC10="","",master_raw!FC10)</f>
        <v>A089-COG-X-BVM-TDSc</v>
      </c>
      <c r="FD10">
        <f>IF(master_raw!FD10="","",ROUNDDOWN(master_raw!FD10,0))</f>
        <v>12</v>
      </c>
      <c r="FE10" t="str">
        <f>IF(master_raw!FE10="","",master_raw!FE10)</f>
        <v>A090-COG-X-BVM-TDSc</v>
      </c>
      <c r="FF10">
        <f>IF(master_raw!FF10="","",ROUNDDOWN(master_raw!FF10,0))</f>
        <v>11</v>
      </c>
      <c r="FG10" t="str">
        <f>IF(master_raw!FG10="","",master_raw!FG10)</f>
        <v>A091-COG-X-BVM-TDSc</v>
      </c>
      <c r="FH10">
        <f>IF(master_raw!FH10="","",ROUNDDOWN(master_raw!FH10,0))</f>
        <v>11</v>
      </c>
      <c r="FI10" t="str">
        <f>IF(master_raw!FI10="","",master_raw!FI10)</f>
        <v>A092-COG-X-BVM-TDSc</v>
      </c>
      <c r="FJ10">
        <f>IF(master_raw!FJ10="","",ROUNDDOWN(master_raw!FJ10,0))</f>
        <v>11</v>
      </c>
      <c r="FK10" t="str">
        <f>IF(master_raw!FK10="","",master_raw!FK10)</f>
        <v>A093-COG-X-BVM-TDSc</v>
      </c>
      <c r="FL10">
        <f>IF(master_raw!FL10="","",ROUNDDOWN(master_raw!FL10,0))</f>
        <v>10</v>
      </c>
      <c r="FM10" t="str">
        <f>IF(master_raw!FM10="","",master_raw!FM10)</f>
        <v>A094-COG-X-BVM-TDSc</v>
      </c>
      <c r="FN10">
        <f>IF(master_raw!FN10="","",ROUNDDOWN(master_raw!FN10,0))</f>
        <v>10</v>
      </c>
      <c r="FO10" t="str">
        <f>IF(master_raw!FO10="","",master_raw!FO10)</f>
        <v>A095-COG-X-BVM-TDSc</v>
      </c>
      <c r="FP10">
        <f>IF(master_raw!FP10="","",ROUNDDOWN(master_raw!FP10,0))</f>
        <v>11</v>
      </c>
      <c r="FQ10" t="str">
        <f>IF(master_raw!FQ10="","",master_raw!FQ10)</f>
        <v>A096-COG-X-BVM-TDSc</v>
      </c>
      <c r="FR10">
        <f>IF(master_raw!FR10="","",ROUNDDOWN(master_raw!FR10,0))</f>
        <v>7</v>
      </c>
      <c r="FS10" t="str">
        <f>IF(master_raw!FS10="","",master_raw!FS10)</f>
        <v>A097-COG-X-BVM-TDSc</v>
      </c>
      <c r="FT10">
        <f>IF(master_raw!FT10="","",ROUNDDOWN(master_raw!FT10,0))</f>
        <v>8</v>
      </c>
      <c r="FU10" t="str">
        <f>IF(master_raw!FU10="","",master_raw!FU10)</f>
        <v>A098-COG-X-BVM-TDSc</v>
      </c>
      <c r="FV10">
        <f>IF(master_raw!FV10="","",ROUNDDOWN(master_raw!FV10,0))</f>
        <v>11</v>
      </c>
      <c r="FW10" t="str">
        <f>IF(master_raw!FW10="","",master_raw!FW10)</f>
        <v>A099-COG-X-BVM-TDSc</v>
      </c>
      <c r="FX10">
        <f>IF(master_raw!FX10="","",ROUNDDOWN(master_raw!FX10,0))</f>
        <v>11</v>
      </c>
      <c r="FY10" t="str">
        <f>IF(master_raw!FY10="","",master_raw!FY10)</f>
        <v>A100-COG-X-BVM-TDSc</v>
      </c>
      <c r="FZ10">
        <f>IF(master_raw!FZ10="","",ROUNDDOWN(master_raw!FZ10,0))</f>
        <v>5</v>
      </c>
      <c r="GA10" t="str">
        <f>IF(master_raw!GA10="","",master_raw!GA10)</f>
        <v>A101-COG-X-BVM-TDSc</v>
      </c>
      <c r="GB10">
        <f>IF(master_raw!GB10="","",ROUNDDOWN(master_raw!GB10,0))</f>
        <v>8</v>
      </c>
      <c r="GC10" t="str">
        <f>IF(master_raw!GC10="","",master_raw!GC10)</f>
        <v>A102-COG-X-BVM-TDSc</v>
      </c>
      <c r="GD10">
        <f>IF(master_raw!GD10="","",ROUNDDOWN(master_raw!GD10,0))</f>
        <v>12</v>
      </c>
      <c r="GE10" t="str">
        <f>IF(master_raw!GE10="","",master_raw!GE10)</f>
        <v>A103-COG-X-BVM-TDSc</v>
      </c>
      <c r="GF10">
        <f>IF(master_raw!GF10="","",ROUNDDOWN(master_raw!GF10,0))</f>
        <v>10</v>
      </c>
      <c r="GG10" t="str">
        <f>IF(master_raw!GG10="","",master_raw!GG10)</f>
        <v>A104-COG-X-BVM-TDSc</v>
      </c>
      <c r="GH10">
        <f>IF(master_raw!GH10="","",ROUNDDOWN(master_raw!GH10,0))</f>
        <v>12</v>
      </c>
      <c r="GI10" t="str">
        <f>IF(master_raw!GI10="","",master_raw!GI10)</f>
        <v>A105-COG-X-BVM-TDSc</v>
      </c>
      <c r="GJ10">
        <f>IF(master_raw!GJ10="","",ROUNDDOWN(master_raw!GJ10,0))</f>
        <v>8</v>
      </c>
      <c r="GK10" t="str">
        <f>IF(master_raw!GK10="","",master_raw!GK10)</f>
        <v>A106-COG-X-BVM-TDSc</v>
      </c>
      <c r="GL10">
        <f>IF(master_raw!GL10="","",ROUNDDOWN(master_raw!GL10,0))</f>
        <v>12</v>
      </c>
      <c r="GM10" t="str">
        <f>IF(master_raw!GM10="","",master_raw!GM10)</f>
        <v>A107-COG-X-BVM-TDSc</v>
      </c>
      <c r="GN10">
        <f>IF(master_raw!GN10="","",ROUNDDOWN(master_raw!GN10,0))</f>
        <v>8</v>
      </c>
      <c r="GO10" t="str">
        <f>IF(master_raw!GO10="","",master_raw!GO10)</f>
        <v>A108-COG-X-BVM-TDSc</v>
      </c>
      <c r="GP10">
        <f>IF(master_raw!GP10="","",ROUNDDOWN(master_raw!GP10,0))</f>
        <v>11</v>
      </c>
      <c r="GQ10" t="str">
        <f>IF(master_raw!GQ10="","",master_raw!GQ10)</f>
        <v>A109-COG-X-BVM-TDSc</v>
      </c>
      <c r="GR10">
        <f>IF(master_raw!GR10="","",ROUNDDOWN(master_raw!GR10,0))</f>
        <v>5</v>
      </c>
    </row>
    <row r="11" spans="1:200" x14ac:dyDescent="0.25">
      <c r="A11" t="str">
        <f>IF(master_raw!A11="","",master_raw!A11)</f>
        <v>A010-COG-X-BVM-Re01</v>
      </c>
      <c r="B11" t="str">
        <f>IF(master_raw!B11="","",master_raw!B11)</f>
        <v>y</v>
      </c>
      <c r="C11" t="str">
        <f>IF(master_raw!C11="","",master_raw!C11)</f>
        <v>A011-COG-X-BVM-Re01</v>
      </c>
      <c r="D11" t="str">
        <f>IF(master_raw!D11="","",master_raw!D11)</f>
        <v>y</v>
      </c>
      <c r="E11" t="str">
        <f>IF(master_raw!E11="","",master_raw!E11)</f>
        <v>A012-COG-X-BVM-Re01</v>
      </c>
      <c r="F11" t="str">
        <f>IF(master_raw!F11="","",master_raw!F11)</f>
        <v>y</v>
      </c>
      <c r="G11" t="str">
        <f>IF(master_raw!G11="","",master_raw!G11)</f>
        <v>A013-COG-X-BVM-Re01</v>
      </c>
      <c r="H11" t="str">
        <f>IF(master_raw!H11="","",master_raw!H11)</f>
        <v>n</v>
      </c>
      <c r="I11" t="str">
        <f>IF(master_raw!I11="","",master_raw!I11)</f>
        <v>A014-COG-X-BVM-Re01</v>
      </c>
      <c r="J11" t="str">
        <f>IF(master_raw!J11="","",master_raw!J11)</f>
        <v>y</v>
      </c>
      <c r="K11" t="str">
        <f>IF(master_raw!K11="","",master_raw!K11)</f>
        <v>A015-COG-X-BVM-Re01</v>
      </c>
      <c r="L11" t="str">
        <f>IF(master_raw!L11="","",master_raw!L11)</f>
        <v>y</v>
      </c>
      <c r="M11" t="str">
        <f>IF(master_raw!M11="","",master_raw!M11)</f>
        <v>A016-COG-X-BVM-Re01</v>
      </c>
      <c r="N11" t="str">
        <f>IF(master_raw!N11="","",master_raw!N11)</f>
        <v>y</v>
      </c>
      <c r="O11" t="str">
        <f>IF(master_raw!O11="","",master_raw!O11)</f>
        <v>A017-COG-X-BVM-Re01</v>
      </c>
      <c r="P11" t="str">
        <f>IF(master_raw!P11="","",master_raw!P11)</f>
        <v>y</v>
      </c>
      <c r="Q11" t="str">
        <f>IF(master_raw!Q11="","",master_raw!Q11)</f>
        <v>A018-COG-X-BVM-Re01</v>
      </c>
      <c r="R11" t="str">
        <f>IF(master_raw!R11="","",master_raw!R11)</f>
        <v>y</v>
      </c>
      <c r="S11" t="str">
        <f>IF(master_raw!S11="","",master_raw!S11)</f>
        <v>A019-COG-X-BVM-Re01</v>
      </c>
      <c r="T11" t="str">
        <f>IF(master_raw!T11="","",master_raw!T11)</f>
        <v>y</v>
      </c>
      <c r="U11" t="str">
        <f>IF(master_raw!U11="","",master_raw!U11)</f>
        <v>A020-COG-X-BVM-Re01</v>
      </c>
      <c r="V11" t="str">
        <f>IF(master_raw!V11="","",master_raw!V11)</f>
        <v>y</v>
      </c>
      <c r="W11" t="str">
        <f>IF(master_raw!W11="","",master_raw!W11)</f>
        <v>A021-COG-X-BVM-Re01</v>
      </c>
      <c r="X11" t="str">
        <f>IF(master_raw!X11="","",master_raw!X11)</f>
        <v>y</v>
      </c>
      <c r="Y11" t="str">
        <f>IF(master_raw!Y11="","",master_raw!Y11)</f>
        <v>A022-COG-X-BVM-Re01</v>
      </c>
      <c r="Z11" t="str">
        <f>IF(master_raw!Z11="","",master_raw!Z11)</f>
        <v>y</v>
      </c>
      <c r="AA11" t="str">
        <f>IF(master_raw!AA11="","",master_raw!AA11)</f>
        <v>A023-COG-X-BVM-Re01</v>
      </c>
      <c r="AB11" t="str">
        <f>IF(master_raw!AB11="","",master_raw!AB11)</f>
        <v>y</v>
      </c>
      <c r="AC11" t="str">
        <f>IF(master_raw!AC11="","",master_raw!AC11)</f>
        <v>A024-COG-X-BVM-Re01</v>
      </c>
      <c r="AD11" t="str">
        <f>IF(master_raw!AD11="","",master_raw!AD11)</f>
        <v>y</v>
      </c>
      <c r="AE11" t="str">
        <f>IF(master_raw!AE11="","",master_raw!AE11)</f>
        <v>A025-COG-X-BVM-Re01</v>
      </c>
      <c r="AF11" t="str">
        <f>IF(master_raw!AF11="","",master_raw!AF11)</f>
        <v>y</v>
      </c>
      <c r="AG11" t="str">
        <f>IF(master_raw!AG11="","",master_raw!AG11)</f>
        <v>A026-COG-X-BVM-Re01</v>
      </c>
      <c r="AH11" t="str">
        <f>IF(master_raw!AH11="","",master_raw!AH11)</f>
        <v>y</v>
      </c>
      <c r="AI11" t="str">
        <f>IF(master_raw!AI11="","",master_raw!AI11)</f>
        <v>A027-COG-X-BVM-Re01</v>
      </c>
      <c r="AJ11" t="str">
        <f>IF(master_raw!AJ11="","",master_raw!AJ11)</f>
        <v>y</v>
      </c>
      <c r="AK11" t="str">
        <f>IF(master_raw!AK11="","",master_raw!AK11)</f>
        <v>A028-COG-X-BVM-Re01</v>
      </c>
      <c r="AL11" t="str">
        <f>IF(master_raw!AL11="","",master_raw!AL11)</f>
        <v>y</v>
      </c>
      <c r="AM11" t="str">
        <f>IF(master_raw!AM11="","",master_raw!AM11)</f>
        <v>A029-COG-X-BVM-Re01</v>
      </c>
      <c r="AN11" t="str">
        <f>IF(master_raw!AN11="","",master_raw!AN11)</f>
        <v>y</v>
      </c>
      <c r="AO11" t="str">
        <f>IF(master_raw!AO11="","",master_raw!AO11)</f>
        <v>A030-COG-X-BVM-Re01</v>
      </c>
      <c r="AP11" t="str">
        <f>IF(master_raw!AP11="","",master_raw!AP11)</f>
        <v>y</v>
      </c>
      <c r="AQ11" t="str">
        <f>IF(master_raw!AQ11="","",master_raw!AQ11)</f>
        <v>A031-COG-X-BVM-Re01</v>
      </c>
      <c r="AR11" t="str">
        <f>IF(master_raw!AR11="","",master_raw!AR11)</f>
        <v>y</v>
      </c>
      <c r="AS11" t="str">
        <f>IF(master_raw!AS11="","",master_raw!AS11)</f>
        <v>A032-COG-X-BVM-Re01</v>
      </c>
      <c r="AT11" t="str">
        <f>IF(master_raw!AT11="","",master_raw!AT11)</f>
        <v>y</v>
      </c>
      <c r="AU11" t="str">
        <f>IF(master_raw!AU11="","",master_raw!AU11)</f>
        <v>A033-COG-X-BVM-Re01</v>
      </c>
      <c r="AV11" t="str">
        <f>IF(master_raw!AV11="","",master_raw!AV11)</f>
        <v>y</v>
      </c>
      <c r="AW11" t="str">
        <f>IF(master_raw!AW11="","",master_raw!AW11)</f>
        <v>A034-COG-X-BVM-Re01</v>
      </c>
      <c r="AX11" t="str">
        <f>IF(master_raw!AX11="","",master_raw!AX11)</f>
        <v>y</v>
      </c>
      <c r="AY11" t="str">
        <f>IF(master_raw!AY11="","",master_raw!AY11)</f>
        <v>A035-COG-X-BVM-Re01</v>
      </c>
      <c r="AZ11" t="str">
        <f>IF(master_raw!AZ11="","",master_raw!AZ11)</f>
        <v>y</v>
      </c>
      <c r="BA11" t="str">
        <f>IF(master_raw!BA11="","",master_raw!BA11)</f>
        <v>A036-COG-X-BVM-Re01</v>
      </c>
      <c r="BB11" t="str">
        <f>IF(master_raw!BB11="","",master_raw!BB11)</f>
        <v>y</v>
      </c>
      <c r="BC11" t="str">
        <f>IF(master_raw!BC11="","",master_raw!BC11)</f>
        <v>A037-COG-X-BVM-Re01</v>
      </c>
      <c r="BD11" t="str">
        <f>IF(master_raw!BD11="","",master_raw!BD11)</f>
        <v>y</v>
      </c>
      <c r="BE11" t="str">
        <f>IF(master_raw!BE11="","",master_raw!BE11)</f>
        <v>A038-COG-X-BVM-Re01</v>
      </c>
      <c r="BF11" t="str">
        <f>IF(master_raw!BF11="","",master_raw!BF11)</f>
        <v>y</v>
      </c>
      <c r="BG11" t="str">
        <f>IF(master_raw!BG11="","",master_raw!BG11)</f>
        <v>A039-COG-X-BVM-Re01</v>
      </c>
      <c r="BH11" t="str">
        <f>IF(master_raw!BH11="","",master_raw!BH11)</f>
        <v>y</v>
      </c>
      <c r="BI11" t="str">
        <f>IF(master_raw!BI11="","",master_raw!BI11)</f>
        <v>A040-COG-X-BVM-Re01</v>
      </c>
      <c r="BJ11" t="str">
        <f>IF(master_raw!BJ11="","",master_raw!BJ11)</f>
        <v>y</v>
      </c>
      <c r="BK11" t="str">
        <f>IF(master_raw!BK11="","",master_raw!BK11)</f>
        <v>A041-COG-X-BVM-Re01</v>
      </c>
      <c r="BL11" t="str">
        <f>IF(master_raw!BL11="","",master_raw!BL11)</f>
        <v>y</v>
      </c>
      <c r="BM11" t="str">
        <f>IF(master_raw!BM11="","",master_raw!BM11)</f>
        <v>A042-COG-X-BVM-Re01</v>
      </c>
      <c r="BN11" t="str">
        <f>IF(master_raw!BN11="","",master_raw!BN11)</f>
        <v>y</v>
      </c>
      <c r="BO11" t="str">
        <f>IF(master_raw!BO11="","",master_raw!BO11)</f>
        <v>A043-COG-X-BVM-Re01</v>
      </c>
      <c r="BP11" t="str">
        <f>IF(master_raw!BP11="","",master_raw!BP11)</f>
        <v>y</v>
      </c>
      <c r="BQ11" t="str">
        <f>IF(master_raw!BQ11="","",master_raw!BQ11)</f>
        <v>A044-COG-X-BVM-Re01</v>
      </c>
      <c r="BR11" t="str">
        <f>IF(master_raw!BR11="","",master_raw!BR11)</f>
        <v>y</v>
      </c>
      <c r="BS11" t="str">
        <f>IF(master_raw!BS11="","",master_raw!BS11)</f>
        <v>A045-COG-X-BVM-Re01</v>
      </c>
      <c r="BT11" t="str">
        <f>IF(master_raw!BT11="","",master_raw!BT11)</f>
        <v>y</v>
      </c>
      <c r="BU11" t="str">
        <f>IF(master_raw!BU11="","",master_raw!BU11)</f>
        <v>A046-COG-X-BVM-Re01</v>
      </c>
      <c r="BV11" t="str">
        <f>IF(master_raw!BV11="","",master_raw!BV11)</f>
        <v>y</v>
      </c>
      <c r="BW11" t="str">
        <f>IF(master_raw!BW11="","",master_raw!BW11)</f>
        <v>A047-COG-X-BVM-Re01</v>
      </c>
      <c r="BX11" t="str">
        <f>IF(master_raw!BX11="","",master_raw!BX11)</f>
        <v>y</v>
      </c>
      <c r="BY11" t="str">
        <f>IF(master_raw!BY11="","",master_raw!BY11)</f>
        <v>A048-COG-X-BVM-Re01</v>
      </c>
      <c r="BZ11" t="str">
        <f>IF(master_raw!BZ11="","",master_raw!BZ11)</f>
        <v>y</v>
      </c>
      <c r="CA11" t="str">
        <f>IF(master_raw!CA11="","",master_raw!CA11)</f>
        <v>A049-COG-X-BVM-Re01</v>
      </c>
      <c r="CB11" t="str">
        <f>IF(master_raw!CB11="","",master_raw!CB11)</f>
        <v>y</v>
      </c>
      <c r="CC11" t="str">
        <f>IF(master_raw!CC11="","",master_raw!CC11)</f>
        <v>A050-COG-X-BVM-Re01</v>
      </c>
      <c r="CD11" t="str">
        <f>IF(master_raw!CD11="","",master_raw!CD11)</f>
        <v>y</v>
      </c>
      <c r="CE11" t="str">
        <f>IF(master_raw!CE11="","",master_raw!CE11)</f>
        <v>A051-COG-X-BVM-Re01</v>
      </c>
      <c r="CF11" t="str">
        <f>IF(master_raw!CF11="","",master_raw!CF11)</f>
        <v>n</v>
      </c>
      <c r="CG11" t="str">
        <f>IF(master_raw!CG11="","",master_raw!CG11)</f>
        <v>A052-COG-X-BVM-Re01</v>
      </c>
      <c r="CH11" t="str">
        <f>IF(master_raw!CH11="","",master_raw!CH11)</f>
        <v>y</v>
      </c>
      <c r="CI11" t="str">
        <f>IF(master_raw!CI11="","",master_raw!CI11)</f>
        <v>A053-COG-X-BVM-Re01</v>
      </c>
      <c r="CJ11" t="str">
        <f>IF(master_raw!CJ11="","",master_raw!CJ11)</f>
        <v>y</v>
      </c>
      <c r="CK11" t="str">
        <f>IF(master_raw!CK11="","",master_raw!CK11)</f>
        <v>A054-COG-X-BVM-Re01</v>
      </c>
      <c r="CL11" t="str">
        <f>IF(master_raw!CL11="","",master_raw!CL11)</f>
        <v>y</v>
      </c>
      <c r="CM11" t="str">
        <f>IF(master_raw!CM11="","",master_raw!CM11)</f>
        <v>A055-COG-X-BVM-Re01</v>
      </c>
      <c r="CN11" t="str">
        <f>IF(master_raw!CN11="","",master_raw!CN11)</f>
        <v>y</v>
      </c>
      <c r="CO11" t="str">
        <f>IF(master_raw!CO11="","",master_raw!CO11)</f>
        <v>A056-COG-X-BVM-Re01</v>
      </c>
      <c r="CP11" t="str">
        <f>IF(master_raw!CP11="","",master_raw!CP11)</f>
        <v>y</v>
      </c>
      <c r="CQ11" t="str">
        <f>IF(master_raw!CQ11="","",master_raw!CQ11)</f>
        <v>A057-COG-X-BVM-Re01</v>
      </c>
      <c r="CR11" t="str">
        <f>IF(master_raw!CR11="","",master_raw!CR11)</f>
        <v>y</v>
      </c>
      <c r="CS11" t="str">
        <f>IF(master_raw!CS11="","",master_raw!CS11)</f>
        <v>A058-COG-X-BVM-Re01</v>
      </c>
      <c r="CT11" t="str">
        <f>IF(master_raw!CT11="","",master_raw!CT11)</f>
        <v>y</v>
      </c>
      <c r="CU11" t="str">
        <f>IF(master_raw!CU11="","",master_raw!CU11)</f>
        <v>A059-COG-X-BVM-Re01</v>
      </c>
      <c r="CV11" t="str">
        <f>IF(master_raw!CV11="","",master_raw!CV11)</f>
        <v>y</v>
      </c>
      <c r="CW11" t="str">
        <f>IF(master_raw!CW11="","",master_raw!CW11)</f>
        <v>A060-COG-X-BVM-Re01</v>
      </c>
      <c r="CX11" t="str">
        <f>IF(master_raw!CX11="","",master_raw!CX11)</f>
        <v>y</v>
      </c>
      <c r="CY11" t="str">
        <f>IF(master_raw!CY11="","",master_raw!CY11)</f>
        <v>A061-COG-X-BVM-Re01</v>
      </c>
      <c r="CZ11" t="str">
        <f>IF(master_raw!CZ11="","",master_raw!CZ11)</f>
        <v>y</v>
      </c>
      <c r="DA11" t="str">
        <f>IF(master_raw!DA11="","",master_raw!DA11)</f>
        <v>A062-COG-X-BVM-Re01</v>
      </c>
      <c r="DB11" t="str">
        <f>IF(master_raw!DB11="","",master_raw!DB11)</f>
        <v>y</v>
      </c>
      <c r="DC11" t="str">
        <f>IF(master_raw!DC11="","",master_raw!DC11)</f>
        <v>A063-COG-X-BVM-Re01</v>
      </c>
      <c r="DD11" t="str">
        <f>IF(master_raw!DD11="","",master_raw!DD11)</f>
        <v>y</v>
      </c>
      <c r="DE11" t="str">
        <f>IF(master_raw!DE11="","",master_raw!DE11)</f>
        <v>A064-COG-X-BVM-Re01</v>
      </c>
      <c r="DF11" t="str">
        <f>IF(master_raw!DF11="","",master_raw!DF11)</f>
        <v>y</v>
      </c>
      <c r="DG11" t="str">
        <f>IF(master_raw!DG11="","",master_raw!DG11)</f>
        <v>A065-COG-X-BVM-Re01</v>
      </c>
      <c r="DH11" t="str">
        <f>IF(master_raw!DH11="","",master_raw!DH11)</f>
        <v>y</v>
      </c>
      <c r="DI11" t="str">
        <f>IF(master_raw!DI11="","",master_raw!DI11)</f>
        <v>A066-COG-X-BVM-Re01</v>
      </c>
      <c r="DJ11" t="str">
        <f>IF(master_raw!DJ11="","",master_raw!DJ11)</f>
        <v>y</v>
      </c>
      <c r="DK11" t="str">
        <f>IF(master_raw!DK11="","",master_raw!DK11)</f>
        <v>A067-COG-X-BVM-Re01</v>
      </c>
      <c r="DL11" t="str">
        <f>IF(master_raw!DL11="","",master_raw!DL11)</f>
        <v>y</v>
      </c>
      <c r="DM11" t="str">
        <f>IF(master_raw!DM11="","",master_raw!DM11)</f>
        <v>A068-COG-X-BVM-Re01</v>
      </c>
      <c r="DN11" t="str">
        <f>IF(master_raw!DN11="","",master_raw!DN11)</f>
        <v>y</v>
      </c>
      <c r="DO11" t="str">
        <f>IF(master_raw!DO11="","",master_raw!DO11)</f>
        <v>A069-COG-X-BVM-Re01</v>
      </c>
      <c r="DP11" t="str">
        <f>IF(master_raw!DP11="","",master_raw!DP11)</f>
        <v>y</v>
      </c>
      <c r="DQ11" t="str">
        <f>IF(master_raw!DQ11="","",master_raw!DQ11)</f>
        <v>A070-COG-X-BVM-Re01</v>
      </c>
      <c r="DR11" t="str">
        <f>IF(master_raw!DR11="","",master_raw!DR11)</f>
        <v>y</v>
      </c>
      <c r="DS11" t="str">
        <f>IF(master_raw!DS11="","",master_raw!DS11)</f>
        <v>A071-COG-X-BVM-Re01</v>
      </c>
      <c r="DT11" t="str">
        <f>IF(master_raw!DT11="","",master_raw!DT11)</f>
        <v>y</v>
      </c>
      <c r="DU11" t="str">
        <f>IF(master_raw!DU11="","",master_raw!DU11)</f>
        <v>A072-COG-X-BVM-Re01</v>
      </c>
      <c r="DV11" t="str">
        <f>IF(master_raw!DV11="","",master_raw!DV11)</f>
        <v>y</v>
      </c>
      <c r="DW11" t="str">
        <f>IF(master_raw!DW11="","",master_raw!DW11)</f>
        <v>A073-COG-X-BVM-Re01</v>
      </c>
      <c r="DX11" t="str">
        <f>IF(master_raw!DX11="","",master_raw!DX11)</f>
        <v>y</v>
      </c>
      <c r="DY11" t="str">
        <f>IF(master_raw!DY11="","",master_raw!DY11)</f>
        <v>A074-COG-X-BVM-Re01</v>
      </c>
      <c r="DZ11" t="str">
        <f>IF(master_raw!DZ11="","",master_raw!DZ11)</f>
        <v>y</v>
      </c>
      <c r="EA11" t="str">
        <f>IF(master_raw!EA11="","",master_raw!EA11)</f>
        <v>A075-COG-X-BVM-Re01</v>
      </c>
      <c r="EB11" t="str">
        <f>IF(master_raw!EB11="","",master_raw!EB11)</f>
        <v>y</v>
      </c>
      <c r="EC11" t="str">
        <f>IF(master_raw!EC11="","",master_raw!EC11)</f>
        <v>A076-COG-X-BVM-Re01</v>
      </c>
      <c r="ED11" t="str">
        <f>IF(master_raw!ED11="","",master_raw!ED11)</f>
        <v>y</v>
      </c>
      <c r="EE11" t="str">
        <f>IF(master_raw!EE11="","",master_raw!EE11)</f>
        <v>A077-COG-X-BVM-Re01</v>
      </c>
      <c r="EF11" t="str">
        <f>IF(master_raw!EF11="","",master_raw!EF11)</f>
        <v>y</v>
      </c>
      <c r="EG11" t="str">
        <f>IF(master_raw!EG11="","",master_raw!EG11)</f>
        <v>A078-COG-X-BVM-Re01</v>
      </c>
      <c r="EH11" t="str">
        <f>IF(master_raw!EH11="","",master_raw!EH11)</f>
        <v>y</v>
      </c>
      <c r="EI11" t="str">
        <f>IF(master_raw!EI11="","",master_raw!EI11)</f>
        <v>A079-COG-X-BVM-Re01</v>
      </c>
      <c r="EJ11" t="str">
        <f>IF(master_raw!EJ11="","",master_raw!EJ11)</f>
        <v>y</v>
      </c>
      <c r="EK11" t="str">
        <f>IF(master_raw!EK11="","",master_raw!EK11)</f>
        <v>A080-COG-X-BVM-Re01</v>
      </c>
      <c r="EL11" t="str">
        <f>IF(master_raw!EL11="","",master_raw!EL11)</f>
        <v>y</v>
      </c>
      <c r="EM11" t="str">
        <f>IF(master_raw!EM11="","",master_raw!EM11)</f>
        <v>A081-COG-X-BVM-Re01</v>
      </c>
      <c r="EN11" t="str">
        <f>IF(master_raw!EN11="","",master_raw!EN11)</f>
        <v>n</v>
      </c>
      <c r="EO11" t="str">
        <f>IF(master_raw!EO11="","",master_raw!EO11)</f>
        <v>A082-COG-X-BVM-Re01</v>
      </c>
      <c r="EP11" t="str">
        <f>IF(master_raw!EP11="","",master_raw!EP11)</f>
        <v>y</v>
      </c>
      <c r="EQ11" t="str">
        <f>IF(master_raw!EQ11="","",master_raw!EQ11)</f>
        <v>A083-COG-X-BVM-Re01</v>
      </c>
      <c r="ER11" t="str">
        <f>IF(master_raw!ER11="","",master_raw!ER11)</f>
        <v>y</v>
      </c>
      <c r="ES11" t="str">
        <f>IF(master_raw!ES11="","",master_raw!ES11)</f>
        <v>A084-COG-X-BVM-Re01</v>
      </c>
      <c r="ET11" t="str">
        <f>IF(master_raw!ET11="","",master_raw!ET11)</f>
        <v>y</v>
      </c>
      <c r="EU11" t="str">
        <f>IF(master_raw!EU11="","",master_raw!EU11)</f>
        <v>A085-COG-X-BVM-Re01</v>
      </c>
      <c r="EV11" t="str">
        <f>IF(master_raw!EV11="","",master_raw!EV11)</f>
        <v>y</v>
      </c>
      <c r="EW11" t="str">
        <f>IF(master_raw!EW11="","",master_raw!EW11)</f>
        <v>A086-COG-X-BVM-Re01</v>
      </c>
      <c r="EX11" t="str">
        <f>IF(master_raw!EX11="","",master_raw!EX11)</f>
        <v>y</v>
      </c>
      <c r="EY11" t="str">
        <f>IF(master_raw!EY11="","",master_raw!EY11)</f>
        <v>A087-COG-X-BVM-Re01</v>
      </c>
      <c r="EZ11" t="str">
        <f>IF(master_raw!EZ11="","",master_raw!EZ11)</f>
        <v>y</v>
      </c>
      <c r="FA11" t="str">
        <f>IF(master_raw!FA11="","",master_raw!FA11)</f>
        <v>A088-COG-X-BVM-Re01</v>
      </c>
      <c r="FB11" t="str">
        <f>IF(master_raw!FB11="","",master_raw!FB11)</f>
        <v>y</v>
      </c>
      <c r="FC11" t="str">
        <f>IF(master_raw!FC11="","",master_raw!FC11)</f>
        <v>A089-COG-X-BVM-Re01</v>
      </c>
      <c r="FD11" t="str">
        <f>IF(master_raw!FD11="","",master_raw!FD11)</f>
        <v>y</v>
      </c>
      <c r="FE11" t="str">
        <f>IF(master_raw!FE11="","",master_raw!FE11)</f>
        <v>A090-COG-X-BVM-Re01</v>
      </c>
      <c r="FF11" t="str">
        <f>IF(master_raw!FF11="","",master_raw!FF11)</f>
        <v>y</v>
      </c>
      <c r="FG11" t="str">
        <f>IF(master_raw!FG11="","",master_raw!FG11)</f>
        <v>A091-COG-X-BVM-Re01</v>
      </c>
      <c r="FH11" t="str">
        <f>IF(master_raw!FH11="","",master_raw!FH11)</f>
        <v>y</v>
      </c>
      <c r="FI11" t="str">
        <f>IF(master_raw!FI11="","",master_raw!FI11)</f>
        <v>A092-COG-X-BVM-Re01</v>
      </c>
      <c r="FJ11" t="str">
        <f>IF(master_raw!FJ11="","",master_raw!FJ11)</f>
        <v>y</v>
      </c>
      <c r="FK11" t="str">
        <f>IF(master_raw!FK11="","",master_raw!FK11)</f>
        <v>A093-COG-X-BVM-Re01</v>
      </c>
      <c r="FL11" t="str">
        <f>IF(master_raw!FL11="","",master_raw!FL11)</f>
        <v>y</v>
      </c>
      <c r="FM11" t="str">
        <f>IF(master_raw!FM11="","",master_raw!FM11)</f>
        <v>A094-COG-X-BVM-Re01</v>
      </c>
      <c r="FN11" t="str">
        <f>IF(master_raw!FN11="","",master_raw!FN11)</f>
        <v>y</v>
      </c>
      <c r="FO11" t="str">
        <f>IF(master_raw!FO11="","",master_raw!FO11)</f>
        <v>A095-COG-X-BVM-Re01</v>
      </c>
      <c r="FP11" t="str">
        <f>IF(master_raw!FP11="","",master_raw!FP11)</f>
        <v>y</v>
      </c>
      <c r="FQ11" t="str">
        <f>IF(master_raw!FQ11="","",master_raw!FQ11)</f>
        <v>A096-COG-X-BVM-Re01</v>
      </c>
      <c r="FR11" t="str">
        <f>IF(master_raw!FR11="","",master_raw!FR11)</f>
        <v>y</v>
      </c>
      <c r="FS11" t="str">
        <f>IF(master_raw!FS11="","",master_raw!FS11)</f>
        <v>A097-COG-X-BVM-Re01</v>
      </c>
      <c r="FT11" t="str">
        <f>IF(master_raw!FT11="","",master_raw!FT11)</f>
        <v>n</v>
      </c>
      <c r="FU11" t="str">
        <f>IF(master_raw!FU11="","",master_raw!FU11)</f>
        <v>A098-COG-X-BVM-Re01</v>
      </c>
      <c r="FV11" t="str">
        <f>IF(master_raw!FV11="","",master_raw!FV11)</f>
        <v>y</v>
      </c>
      <c r="FW11" t="str">
        <f>IF(master_raw!FW11="","",master_raw!FW11)</f>
        <v>A099-COG-X-BVM-Re01</v>
      </c>
      <c r="FX11" t="str">
        <f>IF(master_raw!FX11="","",master_raw!FX11)</f>
        <v>y</v>
      </c>
      <c r="FY11" t="str">
        <f>IF(master_raw!FY11="","",master_raw!FY11)</f>
        <v>A100-COG-X-BVM-Re01</v>
      </c>
      <c r="FZ11" t="str">
        <f>IF(master_raw!FZ11="","",master_raw!FZ11)</f>
        <v>y</v>
      </c>
      <c r="GA11" t="str">
        <f>IF(master_raw!GA11="","",master_raw!GA11)</f>
        <v>A101-COG-X-BVM-Re01</v>
      </c>
      <c r="GB11" t="str">
        <f>IF(master_raw!GB11="","",master_raw!GB11)</f>
        <v>y</v>
      </c>
      <c r="GC11" t="str">
        <f>IF(master_raw!GC11="","",master_raw!GC11)</f>
        <v>A102-COG-X-BVM-Re01</v>
      </c>
      <c r="GD11" t="str">
        <f>IF(master_raw!GD11="","",master_raw!GD11)</f>
        <v>y</v>
      </c>
      <c r="GE11" t="str">
        <f>IF(master_raw!GE11="","",master_raw!GE11)</f>
        <v>A103-COG-X-BVM-Re01</v>
      </c>
      <c r="GF11" t="str">
        <f>IF(master_raw!GF11="","",master_raw!GF11)</f>
        <v>y</v>
      </c>
      <c r="GG11" t="str">
        <f>IF(master_raw!GG11="","",master_raw!GG11)</f>
        <v>A104-COG-X-BVM-Re01</v>
      </c>
      <c r="GH11" t="str">
        <f>IF(master_raw!GH11="","",master_raw!GH11)</f>
        <v>y</v>
      </c>
      <c r="GI11" t="str">
        <f>IF(master_raw!GI11="","",master_raw!GI11)</f>
        <v>A105-COG-X-BVM-Re01</v>
      </c>
      <c r="GJ11" t="str">
        <f>IF(master_raw!GJ11="","",master_raw!GJ11)</f>
        <v>y</v>
      </c>
      <c r="GK11" t="str">
        <f>IF(master_raw!GK11="","",master_raw!GK11)</f>
        <v>A106-COG-X-BVM-Re01</v>
      </c>
      <c r="GL11" t="str">
        <f>IF(master_raw!GL11="","",master_raw!GL11)</f>
        <v>y</v>
      </c>
      <c r="GM11" t="str">
        <f>IF(master_raw!GM11="","",master_raw!GM11)</f>
        <v>A107-COG-X-BVM-Re01</v>
      </c>
      <c r="GN11" t="str">
        <f>IF(master_raw!GN11="","",master_raw!GN11)</f>
        <v>y</v>
      </c>
      <c r="GO11" t="str">
        <f>IF(master_raw!GO11="","",master_raw!GO11)</f>
        <v>A108-COG-X-BVM-Re01</v>
      </c>
      <c r="GP11" t="str">
        <f>IF(master_raw!GP11="","",master_raw!GP11)</f>
        <v>y</v>
      </c>
      <c r="GQ11" t="str">
        <f>IF(master_raw!GQ11="","",master_raw!GQ11)</f>
        <v>A109-COG-X-BVM-Re01</v>
      </c>
      <c r="GR11" t="str">
        <f>IF(master_raw!GR11="","",master_raw!GR11)</f>
        <v>y</v>
      </c>
    </row>
    <row r="12" spans="1:200" x14ac:dyDescent="0.25">
      <c r="A12" t="str">
        <f>IF(master_raw!A12="","",master_raw!A12)</f>
        <v>A010-COG-X-BVM-Re02</v>
      </c>
      <c r="B12" t="str">
        <f>IF(master_raw!B12="","",master_raw!B12)</f>
        <v>n</v>
      </c>
      <c r="C12" t="str">
        <f>IF(master_raw!C12="","",master_raw!C12)</f>
        <v>A011-COG-X-BVM-Re02</v>
      </c>
      <c r="D12" t="str">
        <f>IF(master_raw!D12="","",master_raw!D12)</f>
        <v>n</v>
      </c>
      <c r="E12" t="str">
        <f>IF(master_raw!E12="","",master_raw!E12)</f>
        <v>A012-COG-X-BVM-Re02</v>
      </c>
      <c r="F12" t="str">
        <f>IF(master_raw!F12="","",master_raw!F12)</f>
        <v>n</v>
      </c>
      <c r="G12" t="str">
        <f>IF(master_raw!G12="","",master_raw!G12)</f>
        <v>A013-COG-X-BVM-Re02</v>
      </c>
      <c r="H12" t="str">
        <f>IF(master_raw!H12="","",master_raw!H12)</f>
        <v>n</v>
      </c>
      <c r="I12" t="str">
        <f>IF(master_raw!I12="","",master_raw!I12)</f>
        <v>A014-COG-X-BVM-Re02</v>
      </c>
      <c r="J12" t="str">
        <f>IF(master_raw!J12="","",master_raw!J12)</f>
        <v>n</v>
      </c>
      <c r="K12" t="str">
        <f>IF(master_raw!K12="","",master_raw!K12)</f>
        <v>A015-COG-X-BVM-Re02</v>
      </c>
      <c r="L12" t="str">
        <f>IF(master_raw!L12="","",master_raw!L12)</f>
        <v>n</v>
      </c>
      <c r="M12" t="str">
        <f>IF(master_raw!M12="","",master_raw!M12)</f>
        <v>A016-COG-X-BVM-Re02</v>
      </c>
      <c r="N12" t="str">
        <f>IF(master_raw!N12="","",master_raw!N12)</f>
        <v>n</v>
      </c>
      <c r="O12" t="str">
        <f>IF(master_raw!O12="","",master_raw!O12)</f>
        <v>A017-COG-X-BVM-Re02</v>
      </c>
      <c r="P12" t="str">
        <f>IF(master_raw!P12="","",master_raw!P12)</f>
        <v>n</v>
      </c>
      <c r="Q12" t="str">
        <f>IF(master_raw!Q12="","",master_raw!Q12)</f>
        <v>A018-COG-X-BVM-Re02</v>
      </c>
      <c r="R12" t="str">
        <f>IF(master_raw!R12="","",master_raw!R12)</f>
        <v>n</v>
      </c>
      <c r="S12" t="str">
        <f>IF(master_raw!S12="","",master_raw!S12)</f>
        <v>A019-COG-X-BVM-Re02</v>
      </c>
      <c r="T12" t="str">
        <f>IF(master_raw!T12="","",master_raw!T12)</f>
        <v>n</v>
      </c>
      <c r="U12" t="str">
        <f>IF(master_raw!U12="","",master_raw!U12)</f>
        <v>A020-COG-X-BVM-Re02</v>
      </c>
      <c r="V12" t="str">
        <f>IF(master_raw!V12="","",master_raw!V12)</f>
        <v>n</v>
      </c>
      <c r="W12" t="str">
        <f>IF(master_raw!W12="","",master_raw!W12)</f>
        <v>A021-COG-X-BVM-Re02</v>
      </c>
      <c r="X12" t="str">
        <f>IF(master_raw!X12="","",master_raw!X12)</f>
        <v>n</v>
      </c>
      <c r="Y12" t="str">
        <f>IF(master_raw!Y12="","",master_raw!Y12)</f>
        <v>A022-COG-X-BVM-Re02</v>
      </c>
      <c r="Z12" t="str">
        <f>IF(master_raw!Z12="","",master_raw!Z12)</f>
        <v>n</v>
      </c>
      <c r="AA12" t="str">
        <f>IF(master_raw!AA12="","",master_raw!AA12)</f>
        <v>A023-COG-X-BVM-Re02</v>
      </c>
      <c r="AB12" t="str">
        <f>IF(master_raw!AB12="","",master_raw!AB12)</f>
        <v>n</v>
      </c>
      <c r="AC12" t="str">
        <f>IF(master_raw!AC12="","",master_raw!AC12)</f>
        <v>A024-COG-X-BVM-Re02</v>
      </c>
      <c r="AD12" t="str">
        <f>IF(master_raw!AD12="","",master_raw!AD12)</f>
        <v>n</v>
      </c>
      <c r="AE12" t="str">
        <f>IF(master_raw!AE12="","",master_raw!AE12)</f>
        <v>A025-COG-X-BVM-Re02</v>
      </c>
      <c r="AF12" t="str">
        <f>IF(master_raw!AF12="","",master_raw!AF12)</f>
        <v>n</v>
      </c>
      <c r="AG12" t="str">
        <f>IF(master_raw!AG12="","",master_raw!AG12)</f>
        <v>A026-COG-X-BVM-Re02</v>
      </c>
      <c r="AH12" t="str">
        <f>IF(master_raw!AH12="","",master_raw!AH12)</f>
        <v>n</v>
      </c>
      <c r="AI12" t="str">
        <f>IF(master_raw!AI12="","",master_raw!AI12)</f>
        <v>A027-COG-X-BVM-Re02</v>
      </c>
      <c r="AJ12" t="str">
        <f>IF(master_raw!AJ12="","",master_raw!AJ12)</f>
        <v>n</v>
      </c>
      <c r="AK12" t="str">
        <f>IF(master_raw!AK12="","",master_raw!AK12)</f>
        <v>A028-COG-X-BVM-Re02</v>
      </c>
      <c r="AL12" t="str">
        <f>IF(master_raw!AL12="","",master_raw!AL12)</f>
        <v>n</v>
      </c>
      <c r="AM12" t="str">
        <f>IF(master_raw!AM12="","",master_raw!AM12)</f>
        <v>A029-COG-X-BVM-Re02</v>
      </c>
      <c r="AN12" t="str">
        <f>IF(master_raw!AN12="","",master_raw!AN12)</f>
        <v>n</v>
      </c>
      <c r="AO12" t="str">
        <f>IF(master_raw!AO12="","",master_raw!AO12)</f>
        <v>A030-COG-X-BVM-Re02</v>
      </c>
      <c r="AP12" t="str">
        <f>IF(master_raw!AP12="","",master_raw!AP12)</f>
        <v>n</v>
      </c>
      <c r="AQ12" t="str">
        <f>IF(master_raw!AQ12="","",master_raw!AQ12)</f>
        <v>A031-COG-X-BVM-Re02</v>
      </c>
      <c r="AR12" t="str">
        <f>IF(master_raw!AR12="","",master_raw!AR12)</f>
        <v>n</v>
      </c>
      <c r="AS12" t="str">
        <f>IF(master_raw!AS12="","",master_raw!AS12)</f>
        <v>A032-COG-X-BVM-Re02</v>
      </c>
      <c r="AT12" t="str">
        <f>IF(master_raw!AT12="","",master_raw!AT12)</f>
        <v>n</v>
      </c>
      <c r="AU12" t="str">
        <f>IF(master_raw!AU12="","",master_raw!AU12)</f>
        <v>A033-COG-X-BVM-Re02</v>
      </c>
      <c r="AV12" t="str">
        <f>IF(master_raw!AV12="","",master_raw!AV12)</f>
        <v>n</v>
      </c>
      <c r="AW12" t="str">
        <f>IF(master_raw!AW12="","",master_raw!AW12)</f>
        <v>A034-COG-X-BVM-Re02</v>
      </c>
      <c r="AX12" t="str">
        <f>IF(master_raw!AX12="","",master_raw!AX12)</f>
        <v>n</v>
      </c>
      <c r="AY12" t="str">
        <f>IF(master_raw!AY12="","",master_raw!AY12)</f>
        <v>A035-COG-X-BVM-Re02</v>
      </c>
      <c r="AZ12" t="str">
        <f>IF(master_raw!AZ12="","",master_raw!AZ12)</f>
        <v>n</v>
      </c>
      <c r="BA12" t="str">
        <f>IF(master_raw!BA12="","",master_raw!BA12)</f>
        <v>A036-COG-X-BVM-Re02</v>
      </c>
      <c r="BB12" t="str">
        <f>IF(master_raw!BB12="","",master_raw!BB12)</f>
        <v>n</v>
      </c>
      <c r="BC12" t="str">
        <f>IF(master_raw!BC12="","",master_raw!BC12)</f>
        <v>A037-COG-X-BVM-Re02</v>
      </c>
      <c r="BD12" t="str">
        <f>IF(master_raw!BD12="","",master_raw!BD12)</f>
        <v>n</v>
      </c>
      <c r="BE12" t="str">
        <f>IF(master_raw!BE12="","",master_raw!BE12)</f>
        <v>A038-COG-X-BVM-Re02</v>
      </c>
      <c r="BF12" t="str">
        <f>IF(master_raw!BF12="","",master_raw!BF12)</f>
        <v>n</v>
      </c>
      <c r="BG12" t="str">
        <f>IF(master_raw!BG12="","",master_raw!BG12)</f>
        <v>A039-COG-X-BVM-Re02</v>
      </c>
      <c r="BH12" t="str">
        <f>IF(master_raw!BH12="","",master_raw!BH12)</f>
        <v>n</v>
      </c>
      <c r="BI12" t="str">
        <f>IF(master_raw!BI12="","",master_raw!BI12)</f>
        <v>A040-COG-X-BVM-Re02</v>
      </c>
      <c r="BJ12" t="str">
        <f>IF(master_raw!BJ12="","",master_raw!BJ12)</f>
        <v>n</v>
      </c>
      <c r="BK12" t="str">
        <f>IF(master_raw!BK12="","",master_raw!BK12)</f>
        <v>A041-COG-X-BVM-Re02</v>
      </c>
      <c r="BL12" t="str">
        <f>IF(master_raw!BL12="","",master_raw!BL12)</f>
        <v>n</v>
      </c>
      <c r="BM12" t="str">
        <f>IF(master_raw!BM12="","",master_raw!BM12)</f>
        <v>A042-COG-X-BVM-Re02</v>
      </c>
      <c r="BN12" t="str">
        <f>IF(master_raw!BN12="","",master_raw!BN12)</f>
        <v>n</v>
      </c>
      <c r="BO12" t="str">
        <f>IF(master_raw!BO12="","",master_raw!BO12)</f>
        <v>A043-COG-X-BVM-Re02</v>
      </c>
      <c r="BP12" t="str">
        <f>IF(master_raw!BP12="","",master_raw!BP12)</f>
        <v>n</v>
      </c>
      <c r="BQ12" t="str">
        <f>IF(master_raw!BQ12="","",master_raw!BQ12)</f>
        <v>A044-COG-X-BVM-Re02</v>
      </c>
      <c r="BR12" t="str">
        <f>IF(master_raw!BR12="","",master_raw!BR12)</f>
        <v>n</v>
      </c>
      <c r="BS12" t="str">
        <f>IF(master_raw!BS12="","",master_raw!BS12)</f>
        <v>A045-COG-X-BVM-Re02</v>
      </c>
      <c r="BT12" t="str">
        <f>IF(master_raw!BT12="","",master_raw!BT12)</f>
        <v>n</v>
      </c>
      <c r="BU12" t="str">
        <f>IF(master_raw!BU12="","",master_raw!BU12)</f>
        <v>A046-COG-X-BVM-Re02</v>
      </c>
      <c r="BV12" t="str">
        <f>IF(master_raw!BV12="","",master_raw!BV12)</f>
        <v>n</v>
      </c>
      <c r="BW12" t="str">
        <f>IF(master_raw!BW12="","",master_raw!BW12)</f>
        <v>A047-COG-X-BVM-Re02</v>
      </c>
      <c r="BX12" t="str">
        <f>IF(master_raw!BX12="","",master_raw!BX12)</f>
        <v>n</v>
      </c>
      <c r="BY12" t="str">
        <f>IF(master_raw!BY12="","",master_raw!BY12)</f>
        <v>A048-COG-X-BVM-Re02</v>
      </c>
      <c r="BZ12" t="str">
        <f>IF(master_raw!BZ12="","",master_raw!BZ12)</f>
        <v>n</v>
      </c>
      <c r="CA12" t="str">
        <f>IF(master_raw!CA12="","",master_raw!CA12)</f>
        <v>A049-COG-X-BVM-Re02</v>
      </c>
      <c r="CB12" t="str">
        <f>IF(master_raw!CB12="","",master_raw!CB12)</f>
        <v>n</v>
      </c>
      <c r="CC12" t="str">
        <f>IF(master_raw!CC12="","",master_raw!CC12)</f>
        <v>A050-COG-X-BVM-Re02</v>
      </c>
      <c r="CD12" t="str">
        <f>IF(master_raw!CD12="","",master_raw!CD12)</f>
        <v>n</v>
      </c>
      <c r="CE12" t="str">
        <f>IF(master_raw!CE12="","",master_raw!CE12)</f>
        <v>A051-COG-X-BVM-Re02</v>
      </c>
      <c r="CF12" t="str">
        <f>IF(master_raw!CF12="","",master_raw!CF12)</f>
        <v>n</v>
      </c>
      <c r="CG12" t="str">
        <f>IF(master_raw!CG12="","",master_raw!CG12)</f>
        <v>A052-COG-X-BVM-Re02</v>
      </c>
      <c r="CH12" t="str">
        <f>IF(master_raw!CH12="","",master_raw!CH12)</f>
        <v>n</v>
      </c>
      <c r="CI12" t="str">
        <f>IF(master_raw!CI12="","",master_raw!CI12)</f>
        <v>A053-COG-X-BVM-Re02</v>
      </c>
      <c r="CJ12" t="str">
        <f>IF(master_raw!CJ12="","",master_raw!CJ12)</f>
        <v>n</v>
      </c>
      <c r="CK12" t="str">
        <f>IF(master_raw!CK12="","",master_raw!CK12)</f>
        <v>A054-COG-X-BVM-Re02</v>
      </c>
      <c r="CL12" t="str">
        <f>IF(master_raw!CL12="","",master_raw!CL12)</f>
        <v>n</v>
      </c>
      <c r="CM12" t="str">
        <f>IF(master_raw!CM12="","",master_raw!CM12)</f>
        <v>A055-COG-X-BVM-Re02</v>
      </c>
      <c r="CN12" t="str">
        <f>IF(master_raw!CN12="","",master_raw!CN12)</f>
        <v>n</v>
      </c>
      <c r="CO12" t="str">
        <f>IF(master_raw!CO12="","",master_raw!CO12)</f>
        <v>A056-COG-X-BVM-Re02</v>
      </c>
      <c r="CP12" t="str">
        <f>IF(master_raw!CP12="","",master_raw!CP12)</f>
        <v>n</v>
      </c>
      <c r="CQ12" t="str">
        <f>IF(master_raw!CQ12="","",master_raw!CQ12)</f>
        <v>A057-COG-X-BVM-Re02</v>
      </c>
      <c r="CR12" t="str">
        <f>IF(master_raw!CR12="","",master_raw!CR12)</f>
        <v>n</v>
      </c>
      <c r="CS12" t="str">
        <f>IF(master_raw!CS12="","",master_raw!CS12)</f>
        <v>A058-COG-X-BVM-Re02</v>
      </c>
      <c r="CT12" t="str">
        <f>IF(master_raw!CT12="","",master_raw!CT12)</f>
        <v>n</v>
      </c>
      <c r="CU12" t="str">
        <f>IF(master_raw!CU12="","",master_raw!CU12)</f>
        <v>A059-COG-X-BVM-Re02</v>
      </c>
      <c r="CV12" t="str">
        <f>IF(master_raw!CV12="","",master_raw!CV12)</f>
        <v>n</v>
      </c>
      <c r="CW12" t="str">
        <f>IF(master_raw!CW12="","",master_raw!CW12)</f>
        <v>A060-COG-X-BVM-Re02</v>
      </c>
      <c r="CX12" t="str">
        <f>IF(master_raw!CX12="","",master_raw!CX12)</f>
        <v>n</v>
      </c>
      <c r="CY12" t="str">
        <f>IF(master_raw!CY12="","",master_raw!CY12)</f>
        <v>A061-COG-X-BVM-Re02</v>
      </c>
      <c r="CZ12" t="str">
        <f>IF(master_raw!CZ12="","",master_raw!CZ12)</f>
        <v>n</v>
      </c>
      <c r="DA12" t="str">
        <f>IF(master_raw!DA12="","",master_raw!DA12)</f>
        <v>A062-COG-X-BVM-Re02</v>
      </c>
      <c r="DB12" t="str">
        <f>IF(master_raw!DB12="","",master_raw!DB12)</f>
        <v>n</v>
      </c>
      <c r="DC12" t="str">
        <f>IF(master_raw!DC12="","",master_raw!DC12)</f>
        <v>A063-COG-X-BVM-Re02</v>
      </c>
      <c r="DD12" t="str">
        <f>IF(master_raw!DD12="","",master_raw!DD12)</f>
        <v>n</v>
      </c>
      <c r="DE12" t="str">
        <f>IF(master_raw!DE12="","",master_raw!DE12)</f>
        <v>A064-COG-X-BVM-Re02</v>
      </c>
      <c r="DF12" t="str">
        <f>IF(master_raw!DF12="","",master_raw!DF12)</f>
        <v>n</v>
      </c>
      <c r="DG12" t="str">
        <f>IF(master_raw!DG12="","",master_raw!DG12)</f>
        <v>A065-COG-X-BVM-Re02</v>
      </c>
      <c r="DH12" t="str">
        <f>IF(master_raw!DH12="","",master_raw!DH12)</f>
        <v>n</v>
      </c>
      <c r="DI12" t="str">
        <f>IF(master_raw!DI12="","",master_raw!DI12)</f>
        <v>A066-COG-X-BVM-Re02</v>
      </c>
      <c r="DJ12" t="str">
        <f>IF(master_raw!DJ12="","",master_raw!DJ12)</f>
        <v>n</v>
      </c>
      <c r="DK12" t="str">
        <f>IF(master_raw!DK12="","",master_raw!DK12)</f>
        <v>A067-COG-X-BVM-Re02</v>
      </c>
      <c r="DL12" t="str">
        <f>IF(master_raw!DL12="","",master_raw!DL12)</f>
        <v>n</v>
      </c>
      <c r="DM12" t="str">
        <f>IF(master_raw!DM12="","",master_raw!DM12)</f>
        <v>A068-COG-X-BVM-Re02</v>
      </c>
      <c r="DN12" t="str">
        <f>IF(master_raw!DN12="","",master_raw!DN12)</f>
        <v>n</v>
      </c>
      <c r="DO12" t="str">
        <f>IF(master_raw!DO12="","",master_raw!DO12)</f>
        <v>A069-COG-X-BVM-Re02</v>
      </c>
      <c r="DP12" t="str">
        <f>IF(master_raw!DP12="","",master_raw!DP12)</f>
        <v>n</v>
      </c>
      <c r="DQ12" t="str">
        <f>IF(master_raw!DQ12="","",master_raw!DQ12)</f>
        <v>A070-COG-X-BVM-Re02</v>
      </c>
      <c r="DR12" t="str">
        <f>IF(master_raw!DR12="","",master_raw!DR12)</f>
        <v>n</v>
      </c>
      <c r="DS12" t="str">
        <f>IF(master_raw!DS12="","",master_raw!DS12)</f>
        <v>A071-COG-X-BVM-Re02</v>
      </c>
      <c r="DT12" t="str">
        <f>IF(master_raw!DT12="","",master_raw!DT12)</f>
        <v>n</v>
      </c>
      <c r="DU12" t="str">
        <f>IF(master_raw!DU12="","",master_raw!DU12)</f>
        <v>A072-COG-X-BVM-Re02</v>
      </c>
      <c r="DV12" t="str">
        <f>IF(master_raw!DV12="","",master_raw!DV12)</f>
        <v>n</v>
      </c>
      <c r="DW12" t="str">
        <f>IF(master_raw!DW12="","",master_raw!DW12)</f>
        <v>A073-COG-X-BVM-Re02</v>
      </c>
      <c r="DX12" t="str">
        <f>IF(master_raw!DX12="","",master_raw!DX12)</f>
        <v>n</v>
      </c>
      <c r="DY12" t="str">
        <f>IF(master_raw!DY12="","",master_raw!DY12)</f>
        <v>A074-COG-X-BVM-Re02</v>
      </c>
      <c r="DZ12" t="str">
        <f>IF(master_raw!DZ12="","",master_raw!DZ12)</f>
        <v>n</v>
      </c>
      <c r="EA12" t="str">
        <f>IF(master_raw!EA12="","",master_raw!EA12)</f>
        <v>A075-COG-X-BVM-Re02</v>
      </c>
      <c r="EB12" t="str">
        <f>IF(master_raw!EB12="","",master_raw!EB12)</f>
        <v>n</v>
      </c>
      <c r="EC12" t="str">
        <f>IF(master_raw!EC12="","",master_raw!EC12)</f>
        <v>A076-COG-X-BVM-Re02</v>
      </c>
      <c r="ED12" t="str">
        <f>IF(master_raw!ED12="","",master_raw!ED12)</f>
        <v>n</v>
      </c>
      <c r="EE12" t="str">
        <f>IF(master_raw!EE12="","",master_raw!EE12)</f>
        <v>A077-COG-X-BVM-Re02</v>
      </c>
      <c r="EF12" t="str">
        <f>IF(master_raw!EF12="","",master_raw!EF12)</f>
        <v>n</v>
      </c>
      <c r="EG12" t="str">
        <f>IF(master_raw!EG12="","",master_raw!EG12)</f>
        <v>A078-COG-X-BVM-Re02</v>
      </c>
      <c r="EH12" t="str">
        <f>IF(master_raw!EH12="","",master_raw!EH12)</f>
        <v>n</v>
      </c>
      <c r="EI12" t="str">
        <f>IF(master_raw!EI12="","",master_raw!EI12)</f>
        <v>A079-COG-X-BVM-Re02</v>
      </c>
      <c r="EJ12" t="str">
        <f>IF(master_raw!EJ12="","",master_raw!EJ12)</f>
        <v>n</v>
      </c>
      <c r="EK12" t="str">
        <f>IF(master_raw!EK12="","",master_raw!EK12)</f>
        <v>A080-COG-X-BVM-Re02</v>
      </c>
      <c r="EL12" t="str">
        <f>IF(master_raw!EL12="","",master_raw!EL12)</f>
        <v>n</v>
      </c>
      <c r="EM12" t="str">
        <f>IF(master_raw!EM12="","",master_raw!EM12)</f>
        <v>A081-COG-X-BVM-Re02</v>
      </c>
      <c r="EN12" t="str">
        <f>IF(master_raw!EN12="","",master_raw!EN12)</f>
        <v>n</v>
      </c>
      <c r="EO12" t="str">
        <f>IF(master_raw!EO12="","",master_raw!EO12)</f>
        <v>A082-COG-X-BVM-Re02</v>
      </c>
      <c r="EP12" t="str">
        <f>IF(master_raw!EP12="","",master_raw!EP12)</f>
        <v>n</v>
      </c>
      <c r="EQ12" t="str">
        <f>IF(master_raw!EQ12="","",master_raw!EQ12)</f>
        <v>A083-COG-X-BVM-Re02</v>
      </c>
      <c r="ER12" t="str">
        <f>IF(master_raw!ER12="","",master_raw!ER12)</f>
        <v>n</v>
      </c>
      <c r="ES12" t="str">
        <f>IF(master_raw!ES12="","",master_raw!ES12)</f>
        <v>A084-COG-X-BVM-Re02</v>
      </c>
      <c r="ET12" t="str">
        <f>IF(master_raw!ET12="","",master_raw!ET12)</f>
        <v>n</v>
      </c>
      <c r="EU12" t="str">
        <f>IF(master_raw!EU12="","",master_raw!EU12)</f>
        <v>A085-COG-X-BVM-Re02</v>
      </c>
      <c r="EV12" t="str">
        <f>IF(master_raw!EV12="","",master_raw!EV12)</f>
        <v>n</v>
      </c>
      <c r="EW12" t="str">
        <f>IF(master_raw!EW12="","",master_raw!EW12)</f>
        <v>A086-COG-X-BVM-Re02</v>
      </c>
      <c r="EX12" t="str">
        <f>IF(master_raw!EX12="","",master_raw!EX12)</f>
        <v>n</v>
      </c>
      <c r="EY12" t="str">
        <f>IF(master_raw!EY12="","",master_raw!EY12)</f>
        <v>A087-COG-X-BVM-Re02</v>
      </c>
      <c r="EZ12" t="str">
        <f>IF(master_raw!EZ12="","",master_raw!EZ12)</f>
        <v>n</v>
      </c>
      <c r="FA12" t="str">
        <f>IF(master_raw!FA12="","",master_raw!FA12)</f>
        <v>A088-COG-X-BVM-Re02</v>
      </c>
      <c r="FB12" t="str">
        <f>IF(master_raw!FB12="","",master_raw!FB12)</f>
        <v>n</v>
      </c>
      <c r="FC12" t="str">
        <f>IF(master_raw!FC12="","",master_raw!FC12)</f>
        <v>A089-COG-X-BVM-Re02</v>
      </c>
      <c r="FD12" t="str">
        <f>IF(master_raw!FD12="","",master_raw!FD12)</f>
        <v>n</v>
      </c>
      <c r="FE12" t="str">
        <f>IF(master_raw!FE12="","",master_raw!FE12)</f>
        <v>A090-COG-X-BVM-Re02</v>
      </c>
      <c r="FF12" t="str">
        <f>IF(master_raw!FF12="","",master_raw!FF12)</f>
        <v>n</v>
      </c>
      <c r="FG12" t="str">
        <f>IF(master_raw!FG12="","",master_raw!FG12)</f>
        <v>A091-COG-X-BVM-Re02</v>
      </c>
      <c r="FH12" t="str">
        <f>IF(master_raw!FH12="","",master_raw!FH12)</f>
        <v>n</v>
      </c>
      <c r="FI12" t="str">
        <f>IF(master_raw!FI12="","",master_raw!FI12)</f>
        <v>A092-COG-X-BVM-Re02</v>
      </c>
      <c r="FJ12" t="str">
        <f>IF(master_raw!FJ12="","",master_raw!FJ12)</f>
        <v>n</v>
      </c>
      <c r="FK12" t="str">
        <f>IF(master_raw!FK12="","",master_raw!FK12)</f>
        <v>A093-COG-X-BVM-Re02</v>
      </c>
      <c r="FL12" t="str">
        <f>IF(master_raw!FL12="","",master_raw!FL12)</f>
        <v>n</v>
      </c>
      <c r="FM12" t="str">
        <f>IF(master_raw!FM12="","",master_raw!FM12)</f>
        <v>A094-COG-X-BVM-Re02</v>
      </c>
      <c r="FN12" t="str">
        <f>IF(master_raw!FN12="","",master_raw!FN12)</f>
        <v>n</v>
      </c>
      <c r="FO12" t="str">
        <f>IF(master_raw!FO12="","",master_raw!FO12)</f>
        <v>A095-COG-X-BVM-Re02</v>
      </c>
      <c r="FP12" t="str">
        <f>IF(master_raw!FP12="","",master_raw!FP12)</f>
        <v>n</v>
      </c>
      <c r="FQ12" t="str">
        <f>IF(master_raw!FQ12="","",master_raw!FQ12)</f>
        <v>A096-COG-X-BVM-Re02</v>
      </c>
      <c r="FR12" t="str">
        <f>IF(master_raw!FR12="","",master_raw!FR12)</f>
        <v>n</v>
      </c>
      <c r="FS12" t="str">
        <f>IF(master_raw!FS12="","",master_raw!FS12)</f>
        <v>A097-COG-X-BVM-Re02</v>
      </c>
      <c r="FT12" t="str">
        <f>IF(master_raw!FT12="","",master_raw!FT12)</f>
        <v>n</v>
      </c>
      <c r="FU12" t="str">
        <f>IF(master_raw!FU12="","",master_raw!FU12)</f>
        <v>A098-COG-X-BVM-Re02</v>
      </c>
      <c r="FV12" t="str">
        <f>IF(master_raw!FV12="","",master_raw!FV12)</f>
        <v>n</v>
      </c>
      <c r="FW12" t="str">
        <f>IF(master_raw!FW12="","",master_raw!FW12)</f>
        <v>A099-COG-X-BVM-Re02</v>
      </c>
      <c r="FX12" t="str">
        <f>IF(master_raw!FX12="","",master_raw!FX12)</f>
        <v>n</v>
      </c>
      <c r="FY12" t="str">
        <f>IF(master_raw!FY12="","",master_raw!FY12)</f>
        <v>A100-COG-X-BVM-Re02</v>
      </c>
      <c r="FZ12" t="str">
        <f>IF(master_raw!FZ12="","",master_raw!FZ12)</f>
        <v>n</v>
      </c>
      <c r="GA12" t="str">
        <f>IF(master_raw!GA12="","",master_raw!GA12)</f>
        <v>A101-COG-X-BVM-Re02</v>
      </c>
      <c r="GB12" t="str">
        <f>IF(master_raw!GB12="","",master_raw!GB12)</f>
        <v>n</v>
      </c>
      <c r="GC12" t="str">
        <f>IF(master_raw!GC12="","",master_raw!GC12)</f>
        <v>A102-COG-X-BVM-Re02</v>
      </c>
      <c r="GD12" t="str">
        <f>IF(master_raw!GD12="","",master_raw!GD12)</f>
        <v>n</v>
      </c>
      <c r="GE12" t="str">
        <f>IF(master_raw!GE12="","",master_raw!GE12)</f>
        <v>A103-COG-X-BVM-Re02</v>
      </c>
      <c r="GF12" t="str">
        <f>IF(master_raw!GF12="","",master_raw!GF12)</f>
        <v>n</v>
      </c>
      <c r="GG12" t="str">
        <f>IF(master_raw!GG12="","",master_raw!GG12)</f>
        <v>A104-COG-X-BVM-Re02</v>
      </c>
      <c r="GH12" t="str">
        <f>IF(master_raw!GH12="","",master_raw!GH12)</f>
        <v>n</v>
      </c>
      <c r="GI12" t="str">
        <f>IF(master_raw!GI12="","",master_raw!GI12)</f>
        <v>A105-COG-X-BVM-Re02</v>
      </c>
      <c r="GJ12" t="str">
        <f>IF(master_raw!GJ12="","",master_raw!GJ12)</f>
        <v>n</v>
      </c>
      <c r="GK12" t="str">
        <f>IF(master_raw!GK12="","",master_raw!GK12)</f>
        <v>A106-COG-X-BVM-Re02</v>
      </c>
      <c r="GL12" t="str">
        <f>IF(master_raw!GL12="","",master_raw!GL12)</f>
        <v>n</v>
      </c>
      <c r="GM12" t="str">
        <f>IF(master_raw!GM12="","",master_raw!GM12)</f>
        <v>A107-COG-X-BVM-Re02</v>
      </c>
      <c r="GN12" t="str">
        <f>IF(master_raw!GN12="","",master_raw!GN12)</f>
        <v>n</v>
      </c>
      <c r="GO12" t="str">
        <f>IF(master_raw!GO12="","",master_raw!GO12)</f>
        <v>A108-COG-X-BVM-Re02</v>
      </c>
      <c r="GP12" t="str">
        <f>IF(master_raw!GP12="","",master_raw!GP12)</f>
        <v>n</v>
      </c>
      <c r="GQ12" t="str">
        <f>IF(master_raw!GQ12="","",master_raw!GQ12)</f>
        <v>A109-COG-X-BVM-Re02</v>
      </c>
      <c r="GR12" t="str">
        <f>IF(master_raw!GR12="","",master_raw!GR12)</f>
        <v>n</v>
      </c>
    </row>
    <row r="13" spans="1:200" x14ac:dyDescent="0.25">
      <c r="A13" t="str">
        <f>IF(master_raw!A13="","",master_raw!A13)</f>
        <v>A010-COG-X-BVM-Re03</v>
      </c>
      <c r="B13" t="str">
        <f>IF(master_raw!B13="","",master_raw!B13)</f>
        <v>y</v>
      </c>
      <c r="C13" t="str">
        <f>IF(master_raw!C13="","",master_raw!C13)</f>
        <v>A011-COG-X-BVM-Re03</v>
      </c>
      <c r="D13" t="str">
        <f>IF(master_raw!D13="","",master_raw!D13)</f>
        <v>y</v>
      </c>
      <c r="E13" t="str">
        <f>IF(master_raw!E13="","",master_raw!E13)</f>
        <v>A012-COG-X-BVM-Re03</v>
      </c>
      <c r="F13" t="str">
        <f>IF(master_raw!F13="","",master_raw!F13)</f>
        <v>y</v>
      </c>
      <c r="G13" t="str">
        <f>IF(master_raw!G13="","",master_raw!G13)</f>
        <v>A013-COG-X-BVM-Re03</v>
      </c>
      <c r="H13" t="str">
        <f>IF(master_raw!H13="","",master_raw!H13)</f>
        <v>y</v>
      </c>
      <c r="I13" t="str">
        <f>IF(master_raw!I13="","",master_raw!I13)</f>
        <v>A014-COG-X-BVM-Re03</v>
      </c>
      <c r="J13" t="str">
        <f>IF(master_raw!J13="","",master_raw!J13)</f>
        <v>y</v>
      </c>
      <c r="K13" t="str">
        <f>IF(master_raw!K13="","",master_raw!K13)</f>
        <v>A015-COG-X-BVM-Re03</v>
      </c>
      <c r="L13" t="str">
        <f>IF(master_raw!L13="","",master_raw!L13)</f>
        <v>y</v>
      </c>
      <c r="M13" t="str">
        <f>IF(master_raw!M13="","",master_raw!M13)</f>
        <v>A016-COG-X-BVM-Re03</v>
      </c>
      <c r="N13" t="str">
        <f>IF(master_raw!N13="","",master_raw!N13)</f>
        <v>y</v>
      </c>
      <c r="O13" t="str">
        <f>IF(master_raw!O13="","",master_raw!O13)</f>
        <v>A017-COG-X-BVM-Re03</v>
      </c>
      <c r="P13" t="str">
        <f>IF(master_raw!P13="","",master_raw!P13)</f>
        <v>y</v>
      </c>
      <c r="Q13" t="str">
        <f>IF(master_raw!Q13="","",master_raw!Q13)</f>
        <v>A018-COG-X-BVM-Re03</v>
      </c>
      <c r="R13" t="str">
        <f>IF(master_raw!R13="","",master_raw!R13)</f>
        <v>y</v>
      </c>
      <c r="S13" t="str">
        <f>IF(master_raw!S13="","",master_raw!S13)</f>
        <v>A019-COG-X-BVM-Re03</v>
      </c>
      <c r="T13" t="str">
        <f>IF(master_raw!T13="","",master_raw!T13)</f>
        <v>y</v>
      </c>
      <c r="U13" t="str">
        <f>IF(master_raw!U13="","",master_raw!U13)</f>
        <v>A020-COG-X-BVM-Re03</v>
      </c>
      <c r="V13" t="str">
        <f>IF(master_raw!V13="","",master_raw!V13)</f>
        <v>y</v>
      </c>
      <c r="W13" t="str">
        <f>IF(master_raw!W13="","",master_raw!W13)</f>
        <v>A021-COG-X-BVM-Re03</v>
      </c>
      <c r="X13" t="str">
        <f>IF(master_raw!X13="","",master_raw!X13)</f>
        <v>y</v>
      </c>
      <c r="Y13" t="str">
        <f>IF(master_raw!Y13="","",master_raw!Y13)</f>
        <v>A022-COG-X-BVM-Re03</v>
      </c>
      <c r="Z13" t="str">
        <f>IF(master_raw!Z13="","",master_raw!Z13)</f>
        <v>y</v>
      </c>
      <c r="AA13" t="str">
        <f>IF(master_raw!AA13="","",master_raw!AA13)</f>
        <v>A023-COG-X-BVM-Re03</v>
      </c>
      <c r="AB13" t="str">
        <f>IF(master_raw!AB13="","",master_raw!AB13)</f>
        <v>y</v>
      </c>
      <c r="AC13" t="str">
        <f>IF(master_raw!AC13="","",master_raw!AC13)</f>
        <v>A024-COG-X-BVM-Re03</v>
      </c>
      <c r="AD13" t="str">
        <f>IF(master_raw!AD13="","",master_raw!AD13)</f>
        <v>y</v>
      </c>
      <c r="AE13" t="str">
        <f>IF(master_raw!AE13="","",master_raw!AE13)</f>
        <v>A025-COG-X-BVM-Re03</v>
      </c>
      <c r="AF13" t="str">
        <f>IF(master_raw!AF13="","",master_raw!AF13)</f>
        <v>y</v>
      </c>
      <c r="AG13" t="str">
        <f>IF(master_raw!AG13="","",master_raw!AG13)</f>
        <v>A026-COG-X-BVM-Re03</v>
      </c>
      <c r="AH13" t="str">
        <f>IF(master_raw!AH13="","",master_raw!AH13)</f>
        <v>y</v>
      </c>
      <c r="AI13" t="str">
        <f>IF(master_raw!AI13="","",master_raw!AI13)</f>
        <v>A027-COG-X-BVM-Re03</v>
      </c>
      <c r="AJ13" t="str">
        <f>IF(master_raw!AJ13="","",master_raw!AJ13)</f>
        <v>y</v>
      </c>
      <c r="AK13" t="str">
        <f>IF(master_raw!AK13="","",master_raw!AK13)</f>
        <v>A028-COG-X-BVM-Re03</v>
      </c>
      <c r="AL13" t="str">
        <f>IF(master_raw!AL13="","",master_raw!AL13)</f>
        <v>y</v>
      </c>
      <c r="AM13" t="str">
        <f>IF(master_raw!AM13="","",master_raw!AM13)</f>
        <v>A029-COG-X-BVM-Re03</v>
      </c>
      <c r="AN13" t="str">
        <f>IF(master_raw!AN13="","",master_raw!AN13)</f>
        <v>y</v>
      </c>
      <c r="AO13" t="str">
        <f>IF(master_raw!AO13="","",master_raw!AO13)</f>
        <v>A030-COG-X-BVM-Re03</v>
      </c>
      <c r="AP13" t="str">
        <f>IF(master_raw!AP13="","",master_raw!AP13)</f>
        <v>y</v>
      </c>
      <c r="AQ13" t="str">
        <f>IF(master_raw!AQ13="","",master_raw!AQ13)</f>
        <v>A031-COG-X-BVM-Re03</v>
      </c>
      <c r="AR13" t="str">
        <f>IF(master_raw!AR13="","",master_raw!AR13)</f>
        <v>y</v>
      </c>
      <c r="AS13" t="str">
        <f>IF(master_raw!AS13="","",master_raw!AS13)</f>
        <v>A032-COG-X-BVM-Re03</v>
      </c>
      <c r="AT13" t="str">
        <f>IF(master_raw!AT13="","",master_raw!AT13)</f>
        <v>y</v>
      </c>
      <c r="AU13" t="str">
        <f>IF(master_raw!AU13="","",master_raw!AU13)</f>
        <v>A033-COG-X-BVM-Re03</v>
      </c>
      <c r="AV13" t="str">
        <f>IF(master_raw!AV13="","",master_raw!AV13)</f>
        <v>y</v>
      </c>
      <c r="AW13" t="str">
        <f>IF(master_raw!AW13="","",master_raw!AW13)</f>
        <v>A034-COG-X-BVM-Re03</v>
      </c>
      <c r="AX13" t="str">
        <f>IF(master_raw!AX13="","",master_raw!AX13)</f>
        <v>y</v>
      </c>
      <c r="AY13" t="str">
        <f>IF(master_raw!AY13="","",master_raw!AY13)</f>
        <v>A035-COG-X-BVM-Re03</v>
      </c>
      <c r="AZ13" t="str">
        <f>IF(master_raw!AZ13="","",master_raw!AZ13)</f>
        <v>y</v>
      </c>
      <c r="BA13" t="str">
        <f>IF(master_raw!BA13="","",master_raw!BA13)</f>
        <v>A036-COG-X-BVM-Re03</v>
      </c>
      <c r="BB13" t="str">
        <f>IF(master_raw!BB13="","",master_raw!BB13)</f>
        <v>y</v>
      </c>
      <c r="BC13" t="str">
        <f>IF(master_raw!BC13="","",master_raw!BC13)</f>
        <v>A037-COG-X-BVM-Re03</v>
      </c>
      <c r="BD13" t="str">
        <f>IF(master_raw!BD13="","",master_raw!BD13)</f>
        <v>y</v>
      </c>
      <c r="BE13" t="str">
        <f>IF(master_raw!BE13="","",master_raw!BE13)</f>
        <v>A038-COG-X-BVM-Re03</v>
      </c>
      <c r="BF13" t="str">
        <f>IF(master_raw!BF13="","",master_raw!BF13)</f>
        <v>y</v>
      </c>
      <c r="BG13" t="str">
        <f>IF(master_raw!BG13="","",master_raw!BG13)</f>
        <v>A039-COG-X-BVM-Re03</v>
      </c>
      <c r="BH13" t="str">
        <f>IF(master_raw!BH13="","",master_raw!BH13)</f>
        <v>y</v>
      </c>
      <c r="BI13" t="str">
        <f>IF(master_raw!BI13="","",master_raw!BI13)</f>
        <v>A040-COG-X-BVM-Re03</v>
      </c>
      <c r="BJ13" t="str">
        <f>IF(master_raw!BJ13="","",master_raw!BJ13)</f>
        <v>y</v>
      </c>
      <c r="BK13" t="str">
        <f>IF(master_raw!BK13="","",master_raw!BK13)</f>
        <v>A041-COG-X-BVM-Re03</v>
      </c>
      <c r="BL13" t="str">
        <f>IF(master_raw!BL13="","",master_raw!BL13)</f>
        <v>y</v>
      </c>
      <c r="BM13" t="str">
        <f>IF(master_raw!BM13="","",master_raw!BM13)</f>
        <v>A042-COG-X-BVM-Re03</v>
      </c>
      <c r="BN13" t="str">
        <f>IF(master_raw!BN13="","",master_raw!BN13)</f>
        <v>y</v>
      </c>
      <c r="BO13" t="str">
        <f>IF(master_raw!BO13="","",master_raw!BO13)</f>
        <v>A043-COG-X-BVM-Re03</v>
      </c>
      <c r="BP13" t="str">
        <f>IF(master_raw!BP13="","",master_raw!BP13)</f>
        <v>y</v>
      </c>
      <c r="BQ13" t="str">
        <f>IF(master_raw!BQ13="","",master_raw!BQ13)</f>
        <v>A044-COG-X-BVM-Re03</v>
      </c>
      <c r="BR13" t="str">
        <f>IF(master_raw!BR13="","",master_raw!BR13)</f>
        <v>y</v>
      </c>
      <c r="BS13" t="str">
        <f>IF(master_raw!BS13="","",master_raw!BS13)</f>
        <v>A045-COG-X-BVM-Re03</v>
      </c>
      <c r="BT13" t="str">
        <f>IF(master_raw!BT13="","",master_raw!BT13)</f>
        <v>n</v>
      </c>
      <c r="BU13" t="str">
        <f>IF(master_raw!BU13="","",master_raw!BU13)</f>
        <v>A046-COG-X-BVM-Re03</v>
      </c>
      <c r="BV13" t="str">
        <f>IF(master_raw!BV13="","",master_raw!BV13)</f>
        <v>y</v>
      </c>
      <c r="BW13" t="str">
        <f>IF(master_raw!BW13="","",master_raw!BW13)</f>
        <v>A047-COG-X-BVM-Re03</v>
      </c>
      <c r="BX13" t="str">
        <f>IF(master_raw!BX13="","",master_raw!BX13)</f>
        <v>y</v>
      </c>
      <c r="BY13" t="str">
        <f>IF(master_raw!BY13="","",master_raw!BY13)</f>
        <v>A048-COG-X-BVM-Re03</v>
      </c>
      <c r="BZ13" t="str">
        <f>IF(master_raw!BZ13="","",master_raw!BZ13)</f>
        <v>y</v>
      </c>
      <c r="CA13" t="str">
        <f>IF(master_raw!CA13="","",master_raw!CA13)</f>
        <v>A049-COG-X-BVM-Re03</v>
      </c>
      <c r="CB13" t="str">
        <f>IF(master_raw!CB13="","",master_raw!CB13)</f>
        <v>y</v>
      </c>
      <c r="CC13" t="str">
        <f>IF(master_raw!CC13="","",master_raw!CC13)</f>
        <v>A050-COG-X-BVM-Re03</v>
      </c>
      <c r="CD13" t="str">
        <f>IF(master_raw!CD13="","",master_raw!CD13)</f>
        <v>y</v>
      </c>
      <c r="CE13" t="str">
        <f>IF(master_raw!CE13="","",master_raw!CE13)</f>
        <v>A051-COG-X-BVM-Re03</v>
      </c>
      <c r="CF13" t="str">
        <f>IF(master_raw!CF13="","",master_raw!CF13)</f>
        <v>y</v>
      </c>
      <c r="CG13" t="str">
        <f>IF(master_raw!CG13="","",master_raw!CG13)</f>
        <v>A052-COG-X-BVM-Re03</v>
      </c>
      <c r="CH13" t="str">
        <f>IF(master_raw!CH13="","",master_raw!CH13)</f>
        <v>y</v>
      </c>
      <c r="CI13" t="str">
        <f>IF(master_raw!CI13="","",master_raw!CI13)</f>
        <v>A053-COG-X-BVM-Re03</v>
      </c>
      <c r="CJ13" t="str">
        <f>IF(master_raw!CJ13="","",master_raw!CJ13)</f>
        <v>y</v>
      </c>
      <c r="CK13" t="str">
        <f>IF(master_raw!CK13="","",master_raw!CK13)</f>
        <v>A054-COG-X-BVM-Re03</v>
      </c>
      <c r="CL13" t="str">
        <f>IF(master_raw!CL13="","",master_raw!CL13)</f>
        <v>y</v>
      </c>
      <c r="CM13" t="str">
        <f>IF(master_raw!CM13="","",master_raw!CM13)</f>
        <v>A055-COG-X-BVM-Re03</v>
      </c>
      <c r="CN13" t="str">
        <f>IF(master_raw!CN13="","",master_raw!CN13)</f>
        <v>y</v>
      </c>
      <c r="CO13" t="str">
        <f>IF(master_raw!CO13="","",master_raw!CO13)</f>
        <v>A056-COG-X-BVM-Re03</v>
      </c>
      <c r="CP13" t="str">
        <f>IF(master_raw!CP13="","",master_raw!CP13)</f>
        <v>y</v>
      </c>
      <c r="CQ13" t="str">
        <f>IF(master_raw!CQ13="","",master_raw!CQ13)</f>
        <v>A057-COG-X-BVM-Re03</v>
      </c>
      <c r="CR13" t="str">
        <f>IF(master_raw!CR13="","",master_raw!CR13)</f>
        <v>y</v>
      </c>
      <c r="CS13" t="str">
        <f>IF(master_raw!CS13="","",master_raw!CS13)</f>
        <v>A058-COG-X-BVM-Re03</v>
      </c>
      <c r="CT13" t="str">
        <f>IF(master_raw!CT13="","",master_raw!CT13)</f>
        <v>y</v>
      </c>
      <c r="CU13" t="str">
        <f>IF(master_raw!CU13="","",master_raw!CU13)</f>
        <v>A059-COG-X-BVM-Re03</v>
      </c>
      <c r="CV13" t="str">
        <f>IF(master_raw!CV13="","",master_raw!CV13)</f>
        <v>y</v>
      </c>
      <c r="CW13" t="str">
        <f>IF(master_raw!CW13="","",master_raw!CW13)</f>
        <v>A060-COG-X-BVM-Re03</v>
      </c>
      <c r="CX13" t="str">
        <f>IF(master_raw!CX13="","",master_raw!CX13)</f>
        <v>y</v>
      </c>
      <c r="CY13" t="str">
        <f>IF(master_raw!CY13="","",master_raw!CY13)</f>
        <v>A061-COG-X-BVM-Re03</v>
      </c>
      <c r="CZ13" t="str">
        <f>IF(master_raw!CZ13="","",master_raw!CZ13)</f>
        <v>y</v>
      </c>
      <c r="DA13" t="str">
        <f>IF(master_raw!DA13="","",master_raw!DA13)</f>
        <v>A062-COG-X-BVM-Re03</v>
      </c>
      <c r="DB13" t="str">
        <f>IF(master_raw!DB13="","",master_raw!DB13)</f>
        <v>y</v>
      </c>
      <c r="DC13" t="str">
        <f>IF(master_raw!DC13="","",master_raw!DC13)</f>
        <v>A063-COG-X-BVM-Re03</v>
      </c>
      <c r="DD13" t="str">
        <f>IF(master_raw!DD13="","",master_raw!DD13)</f>
        <v>y</v>
      </c>
      <c r="DE13" t="str">
        <f>IF(master_raw!DE13="","",master_raw!DE13)</f>
        <v>A064-COG-X-BVM-Re03</v>
      </c>
      <c r="DF13" t="str">
        <f>IF(master_raw!DF13="","",master_raw!DF13)</f>
        <v>y</v>
      </c>
      <c r="DG13" t="str">
        <f>IF(master_raw!DG13="","",master_raw!DG13)</f>
        <v>A065-COG-X-BVM-Re03</v>
      </c>
      <c r="DH13" t="str">
        <f>IF(master_raw!DH13="","",master_raw!DH13)</f>
        <v>y</v>
      </c>
      <c r="DI13" t="str">
        <f>IF(master_raw!DI13="","",master_raw!DI13)</f>
        <v>A066-COG-X-BVM-Re03</v>
      </c>
      <c r="DJ13" t="str">
        <f>IF(master_raw!DJ13="","",master_raw!DJ13)</f>
        <v>y</v>
      </c>
      <c r="DK13" t="str">
        <f>IF(master_raw!DK13="","",master_raw!DK13)</f>
        <v>A067-COG-X-BVM-Re03</v>
      </c>
      <c r="DL13" t="str">
        <f>IF(master_raw!DL13="","",master_raw!DL13)</f>
        <v>y</v>
      </c>
      <c r="DM13" t="str">
        <f>IF(master_raw!DM13="","",master_raw!DM13)</f>
        <v>A068-COG-X-BVM-Re03</v>
      </c>
      <c r="DN13" t="str">
        <f>IF(master_raw!DN13="","",master_raw!DN13)</f>
        <v>y</v>
      </c>
      <c r="DO13" t="str">
        <f>IF(master_raw!DO13="","",master_raw!DO13)</f>
        <v>A069-COG-X-BVM-Re03</v>
      </c>
      <c r="DP13" t="str">
        <f>IF(master_raw!DP13="","",master_raw!DP13)</f>
        <v>y</v>
      </c>
      <c r="DQ13" t="str">
        <f>IF(master_raw!DQ13="","",master_raw!DQ13)</f>
        <v>A070-COG-X-BVM-Re03</v>
      </c>
      <c r="DR13" t="str">
        <f>IF(master_raw!DR13="","",master_raw!DR13)</f>
        <v>y</v>
      </c>
      <c r="DS13" t="str">
        <f>IF(master_raw!DS13="","",master_raw!DS13)</f>
        <v>A071-COG-X-BVM-Re03</v>
      </c>
      <c r="DT13" t="str">
        <f>IF(master_raw!DT13="","",master_raw!DT13)</f>
        <v>y</v>
      </c>
      <c r="DU13" t="str">
        <f>IF(master_raw!DU13="","",master_raw!DU13)</f>
        <v>A072-COG-X-BVM-Re03</v>
      </c>
      <c r="DV13" t="str">
        <f>IF(master_raw!DV13="","",master_raw!DV13)</f>
        <v>y</v>
      </c>
      <c r="DW13" t="str">
        <f>IF(master_raw!DW13="","",master_raw!DW13)</f>
        <v>A073-COG-X-BVM-Re03</v>
      </c>
      <c r="DX13" t="str">
        <f>IF(master_raw!DX13="","",master_raw!DX13)</f>
        <v>y</v>
      </c>
      <c r="DY13" t="str">
        <f>IF(master_raw!DY13="","",master_raw!DY13)</f>
        <v>A074-COG-X-BVM-Re03</v>
      </c>
      <c r="DZ13" t="str">
        <f>IF(master_raw!DZ13="","",master_raw!DZ13)</f>
        <v>y</v>
      </c>
      <c r="EA13" t="str">
        <f>IF(master_raw!EA13="","",master_raw!EA13)</f>
        <v>A075-COG-X-BVM-Re03</v>
      </c>
      <c r="EB13" t="str">
        <f>IF(master_raw!EB13="","",master_raw!EB13)</f>
        <v>y</v>
      </c>
      <c r="EC13" t="str">
        <f>IF(master_raw!EC13="","",master_raw!EC13)</f>
        <v>A076-COG-X-BVM-Re03</v>
      </c>
      <c r="ED13" t="str">
        <f>IF(master_raw!ED13="","",master_raw!ED13)</f>
        <v>y</v>
      </c>
      <c r="EE13" t="str">
        <f>IF(master_raw!EE13="","",master_raw!EE13)</f>
        <v>A077-COG-X-BVM-Re03</v>
      </c>
      <c r="EF13" t="str">
        <f>IF(master_raw!EF13="","",master_raw!EF13)</f>
        <v>y</v>
      </c>
      <c r="EG13" t="str">
        <f>IF(master_raw!EG13="","",master_raw!EG13)</f>
        <v>A078-COG-X-BVM-Re03</v>
      </c>
      <c r="EH13" t="str">
        <f>IF(master_raw!EH13="","",master_raw!EH13)</f>
        <v>y</v>
      </c>
      <c r="EI13" t="str">
        <f>IF(master_raw!EI13="","",master_raw!EI13)</f>
        <v>A079-COG-X-BVM-Re03</v>
      </c>
      <c r="EJ13" t="str">
        <f>IF(master_raw!EJ13="","",master_raw!EJ13)</f>
        <v>y</v>
      </c>
      <c r="EK13" t="str">
        <f>IF(master_raw!EK13="","",master_raw!EK13)</f>
        <v>A080-COG-X-BVM-Re03</v>
      </c>
      <c r="EL13" t="str">
        <f>IF(master_raw!EL13="","",master_raw!EL13)</f>
        <v>y</v>
      </c>
      <c r="EM13" t="str">
        <f>IF(master_raw!EM13="","",master_raw!EM13)</f>
        <v>A081-COG-X-BVM-Re03</v>
      </c>
      <c r="EN13" t="str">
        <f>IF(master_raw!EN13="","",master_raw!EN13)</f>
        <v>y</v>
      </c>
      <c r="EO13" t="str">
        <f>IF(master_raw!EO13="","",master_raw!EO13)</f>
        <v>A082-COG-X-BVM-Re03</v>
      </c>
      <c r="EP13" t="str">
        <f>IF(master_raw!EP13="","",master_raw!EP13)</f>
        <v>y</v>
      </c>
      <c r="EQ13" t="str">
        <f>IF(master_raw!EQ13="","",master_raw!EQ13)</f>
        <v>A083-COG-X-BVM-Re03</v>
      </c>
      <c r="ER13" t="str">
        <f>IF(master_raw!ER13="","",master_raw!ER13)</f>
        <v>y</v>
      </c>
      <c r="ES13" t="str">
        <f>IF(master_raw!ES13="","",master_raw!ES13)</f>
        <v>A084-COG-X-BVM-Re03</v>
      </c>
      <c r="ET13" t="str">
        <f>IF(master_raw!ET13="","",master_raw!ET13)</f>
        <v>y</v>
      </c>
      <c r="EU13" t="str">
        <f>IF(master_raw!EU13="","",master_raw!EU13)</f>
        <v>A085-COG-X-BVM-Re03</v>
      </c>
      <c r="EV13" t="str">
        <f>IF(master_raw!EV13="","",master_raw!EV13)</f>
        <v>y</v>
      </c>
      <c r="EW13" t="str">
        <f>IF(master_raw!EW13="","",master_raw!EW13)</f>
        <v>A086-COG-X-BVM-Re03</v>
      </c>
      <c r="EX13" t="str">
        <f>IF(master_raw!EX13="","",master_raw!EX13)</f>
        <v>y</v>
      </c>
      <c r="EY13" t="str">
        <f>IF(master_raw!EY13="","",master_raw!EY13)</f>
        <v>A087-COG-X-BVM-Re03</v>
      </c>
      <c r="EZ13" t="str">
        <f>IF(master_raw!EZ13="","",master_raw!EZ13)</f>
        <v>y</v>
      </c>
      <c r="FA13" t="str">
        <f>IF(master_raw!FA13="","",master_raw!FA13)</f>
        <v>A088-COG-X-BVM-Re03</v>
      </c>
      <c r="FB13" t="str">
        <f>IF(master_raw!FB13="","",master_raw!FB13)</f>
        <v>y</v>
      </c>
      <c r="FC13" t="str">
        <f>IF(master_raw!FC13="","",master_raw!FC13)</f>
        <v>A089-COG-X-BVM-Re03</v>
      </c>
      <c r="FD13" t="str">
        <f>IF(master_raw!FD13="","",master_raw!FD13)</f>
        <v>y</v>
      </c>
      <c r="FE13" t="str">
        <f>IF(master_raw!FE13="","",master_raw!FE13)</f>
        <v>A090-COG-X-BVM-Re03</v>
      </c>
      <c r="FF13" t="str">
        <f>IF(master_raw!FF13="","",master_raw!FF13)</f>
        <v>y</v>
      </c>
      <c r="FG13" t="str">
        <f>IF(master_raw!FG13="","",master_raw!FG13)</f>
        <v>A091-COG-X-BVM-Re03</v>
      </c>
      <c r="FH13" t="str">
        <f>IF(master_raw!FH13="","",master_raw!FH13)</f>
        <v>y</v>
      </c>
      <c r="FI13" t="str">
        <f>IF(master_raw!FI13="","",master_raw!FI13)</f>
        <v>A092-COG-X-BVM-Re03</v>
      </c>
      <c r="FJ13" t="str">
        <f>IF(master_raw!FJ13="","",master_raw!FJ13)</f>
        <v>y</v>
      </c>
      <c r="FK13" t="str">
        <f>IF(master_raw!FK13="","",master_raw!FK13)</f>
        <v>A093-COG-X-BVM-Re03</v>
      </c>
      <c r="FL13" t="str">
        <f>IF(master_raw!FL13="","",master_raw!FL13)</f>
        <v>y</v>
      </c>
      <c r="FM13" t="str">
        <f>IF(master_raw!FM13="","",master_raw!FM13)</f>
        <v>A094-COG-X-BVM-Re03</v>
      </c>
      <c r="FN13" t="str">
        <f>IF(master_raw!FN13="","",master_raw!FN13)</f>
        <v>y</v>
      </c>
      <c r="FO13" t="str">
        <f>IF(master_raw!FO13="","",master_raw!FO13)</f>
        <v>A095-COG-X-BVM-Re03</v>
      </c>
      <c r="FP13" t="str">
        <f>IF(master_raw!FP13="","",master_raw!FP13)</f>
        <v>y</v>
      </c>
      <c r="FQ13" t="str">
        <f>IF(master_raw!FQ13="","",master_raw!FQ13)</f>
        <v>A096-COG-X-BVM-Re03</v>
      </c>
      <c r="FR13" t="str">
        <f>IF(master_raw!FR13="","",master_raw!FR13)</f>
        <v>y</v>
      </c>
      <c r="FS13" t="str">
        <f>IF(master_raw!FS13="","",master_raw!FS13)</f>
        <v>A097-COG-X-BVM-Re03</v>
      </c>
      <c r="FT13" t="str">
        <f>IF(master_raw!FT13="","",master_raw!FT13)</f>
        <v>y</v>
      </c>
      <c r="FU13" t="str">
        <f>IF(master_raw!FU13="","",master_raw!FU13)</f>
        <v>A098-COG-X-BVM-Re03</v>
      </c>
      <c r="FV13" t="str">
        <f>IF(master_raw!FV13="","",master_raw!FV13)</f>
        <v>y</v>
      </c>
      <c r="FW13" t="str">
        <f>IF(master_raw!FW13="","",master_raw!FW13)</f>
        <v>A099-COG-X-BVM-Re03</v>
      </c>
      <c r="FX13" t="str">
        <f>IF(master_raw!FX13="","",master_raw!FX13)</f>
        <v>y</v>
      </c>
      <c r="FY13" t="str">
        <f>IF(master_raw!FY13="","",master_raw!FY13)</f>
        <v>A100-COG-X-BVM-Re03</v>
      </c>
      <c r="FZ13" t="str">
        <f>IF(master_raw!FZ13="","",master_raw!FZ13)</f>
        <v>y</v>
      </c>
      <c r="GA13" t="str">
        <f>IF(master_raw!GA13="","",master_raw!GA13)</f>
        <v>A101-COG-X-BVM-Re03</v>
      </c>
      <c r="GB13" t="str">
        <f>IF(master_raw!GB13="","",master_raw!GB13)</f>
        <v>y</v>
      </c>
      <c r="GC13" t="str">
        <f>IF(master_raw!GC13="","",master_raw!GC13)</f>
        <v>A102-COG-X-BVM-Re03</v>
      </c>
      <c r="GD13" t="str">
        <f>IF(master_raw!GD13="","",master_raw!GD13)</f>
        <v>y</v>
      </c>
      <c r="GE13" t="str">
        <f>IF(master_raw!GE13="","",master_raw!GE13)</f>
        <v>A103-COG-X-BVM-Re03</v>
      </c>
      <c r="GF13" t="str">
        <f>IF(master_raw!GF13="","",master_raw!GF13)</f>
        <v>y</v>
      </c>
      <c r="GG13" t="str">
        <f>IF(master_raw!GG13="","",master_raw!GG13)</f>
        <v>A104-COG-X-BVM-Re03</v>
      </c>
      <c r="GH13" t="str">
        <f>IF(master_raw!GH13="","",master_raw!GH13)</f>
        <v>y</v>
      </c>
      <c r="GI13" t="str">
        <f>IF(master_raw!GI13="","",master_raw!GI13)</f>
        <v>A105-COG-X-BVM-Re03</v>
      </c>
      <c r="GJ13" t="str">
        <f>IF(master_raw!GJ13="","",master_raw!GJ13)</f>
        <v>y</v>
      </c>
      <c r="GK13" t="str">
        <f>IF(master_raw!GK13="","",master_raw!GK13)</f>
        <v>A106-COG-X-BVM-Re03</v>
      </c>
      <c r="GL13" t="str">
        <f>IF(master_raw!GL13="","",master_raw!GL13)</f>
        <v>y</v>
      </c>
      <c r="GM13" t="str">
        <f>IF(master_raw!GM13="","",master_raw!GM13)</f>
        <v>A107-COG-X-BVM-Re03</v>
      </c>
      <c r="GN13" t="str">
        <f>IF(master_raw!GN13="","",master_raw!GN13)</f>
        <v>y</v>
      </c>
      <c r="GO13" t="str">
        <f>IF(master_raw!GO13="","",master_raw!GO13)</f>
        <v>A108-COG-X-BVM-Re03</v>
      </c>
      <c r="GP13" t="str">
        <f>IF(master_raw!GP13="","",master_raw!GP13)</f>
        <v>y</v>
      </c>
      <c r="GQ13" t="str">
        <f>IF(master_raw!GQ13="","",master_raw!GQ13)</f>
        <v>A109-COG-X-BVM-Re03</v>
      </c>
      <c r="GR13" t="str">
        <f>IF(master_raw!GR13="","",master_raw!GR13)</f>
        <v>y</v>
      </c>
    </row>
    <row r="14" spans="1:200" x14ac:dyDescent="0.25">
      <c r="A14" t="str">
        <f>IF(master_raw!A14="","",master_raw!A14)</f>
        <v>A010-COG-X-BVM-Re04</v>
      </c>
      <c r="B14" t="str">
        <f>IF(master_raw!B14="","",master_raw!B14)</f>
        <v>n</v>
      </c>
      <c r="C14" t="str">
        <f>IF(master_raw!C14="","",master_raw!C14)</f>
        <v>A011-COG-X-BVM-Re04</v>
      </c>
      <c r="D14" t="str">
        <f>IF(master_raw!D14="","",master_raw!D14)</f>
        <v>n</v>
      </c>
      <c r="E14" t="str">
        <f>IF(master_raw!E14="","",master_raw!E14)</f>
        <v>A012-COG-X-BVM-Re04</v>
      </c>
      <c r="F14" t="str">
        <f>IF(master_raw!F14="","",master_raw!F14)</f>
        <v>n</v>
      </c>
      <c r="G14" t="str">
        <f>IF(master_raw!G14="","",master_raw!G14)</f>
        <v>A013-COG-X-BVM-Re04</v>
      </c>
      <c r="H14" t="str">
        <f>IF(master_raw!H14="","",master_raw!H14)</f>
        <v>n</v>
      </c>
      <c r="I14" t="str">
        <f>IF(master_raw!I14="","",master_raw!I14)</f>
        <v>A014-COG-X-BVM-Re04</v>
      </c>
      <c r="J14" t="str">
        <f>IF(master_raw!J14="","",master_raw!J14)</f>
        <v>n</v>
      </c>
      <c r="K14" t="str">
        <f>IF(master_raw!K14="","",master_raw!K14)</f>
        <v>A015-COG-X-BVM-Re04</v>
      </c>
      <c r="L14" t="str">
        <f>IF(master_raw!L14="","",master_raw!L14)</f>
        <v>n</v>
      </c>
      <c r="M14" t="str">
        <f>IF(master_raw!M14="","",master_raw!M14)</f>
        <v>A016-COG-X-BVM-Re04</v>
      </c>
      <c r="N14" t="str">
        <f>IF(master_raw!N14="","",master_raw!N14)</f>
        <v>n</v>
      </c>
      <c r="O14" t="str">
        <f>IF(master_raw!O14="","",master_raw!O14)</f>
        <v>A017-COG-X-BVM-Re04</v>
      </c>
      <c r="P14" t="str">
        <f>IF(master_raw!P14="","",master_raw!P14)</f>
        <v>n</v>
      </c>
      <c r="Q14" t="str">
        <f>IF(master_raw!Q14="","",master_raw!Q14)</f>
        <v>A018-COG-X-BVM-Re04</v>
      </c>
      <c r="R14" t="str">
        <f>IF(master_raw!R14="","",master_raw!R14)</f>
        <v>n</v>
      </c>
      <c r="S14" t="str">
        <f>IF(master_raw!S14="","",master_raw!S14)</f>
        <v>A019-COG-X-BVM-Re04</v>
      </c>
      <c r="T14" t="str">
        <f>IF(master_raw!T14="","",master_raw!T14)</f>
        <v>n</v>
      </c>
      <c r="U14" t="str">
        <f>IF(master_raw!U14="","",master_raw!U14)</f>
        <v>A020-COG-X-BVM-Re04</v>
      </c>
      <c r="V14" t="str">
        <f>IF(master_raw!V14="","",master_raw!V14)</f>
        <v>n</v>
      </c>
      <c r="W14" t="str">
        <f>IF(master_raw!W14="","",master_raw!W14)</f>
        <v>A021-COG-X-BVM-Re04</v>
      </c>
      <c r="X14" t="str">
        <f>IF(master_raw!X14="","",master_raw!X14)</f>
        <v>n</v>
      </c>
      <c r="Y14" t="str">
        <f>IF(master_raw!Y14="","",master_raw!Y14)</f>
        <v>A022-COG-X-BVM-Re04</v>
      </c>
      <c r="Z14" t="str">
        <f>IF(master_raw!Z14="","",master_raw!Z14)</f>
        <v>n</v>
      </c>
      <c r="AA14" t="str">
        <f>IF(master_raw!AA14="","",master_raw!AA14)</f>
        <v>A023-COG-X-BVM-Re04</v>
      </c>
      <c r="AB14" t="str">
        <f>IF(master_raw!AB14="","",master_raw!AB14)</f>
        <v>n</v>
      </c>
      <c r="AC14" t="str">
        <f>IF(master_raw!AC14="","",master_raw!AC14)</f>
        <v>A024-COG-X-BVM-Re04</v>
      </c>
      <c r="AD14" t="str">
        <f>IF(master_raw!AD14="","",master_raw!AD14)</f>
        <v>n</v>
      </c>
      <c r="AE14" t="str">
        <f>IF(master_raw!AE14="","",master_raw!AE14)</f>
        <v>A025-COG-X-BVM-Re04</v>
      </c>
      <c r="AF14" t="str">
        <f>IF(master_raw!AF14="","",master_raw!AF14)</f>
        <v>n</v>
      </c>
      <c r="AG14" t="str">
        <f>IF(master_raw!AG14="","",master_raw!AG14)</f>
        <v>A026-COG-X-BVM-Re04</v>
      </c>
      <c r="AH14" t="str">
        <f>IF(master_raw!AH14="","",master_raw!AH14)</f>
        <v>n</v>
      </c>
      <c r="AI14" t="str">
        <f>IF(master_raw!AI14="","",master_raw!AI14)</f>
        <v>A027-COG-X-BVM-Re04</v>
      </c>
      <c r="AJ14" t="str">
        <f>IF(master_raw!AJ14="","",master_raw!AJ14)</f>
        <v>n</v>
      </c>
      <c r="AK14" t="str">
        <f>IF(master_raw!AK14="","",master_raw!AK14)</f>
        <v>A028-COG-X-BVM-Re04</v>
      </c>
      <c r="AL14" t="str">
        <f>IF(master_raw!AL14="","",master_raw!AL14)</f>
        <v>n</v>
      </c>
      <c r="AM14" t="str">
        <f>IF(master_raw!AM14="","",master_raw!AM14)</f>
        <v>A029-COG-X-BVM-Re04</v>
      </c>
      <c r="AN14" t="str">
        <f>IF(master_raw!AN14="","",master_raw!AN14)</f>
        <v>n</v>
      </c>
      <c r="AO14" t="str">
        <f>IF(master_raw!AO14="","",master_raw!AO14)</f>
        <v>A030-COG-X-BVM-Re04</v>
      </c>
      <c r="AP14" t="str">
        <f>IF(master_raw!AP14="","",master_raw!AP14)</f>
        <v>n</v>
      </c>
      <c r="AQ14" t="str">
        <f>IF(master_raw!AQ14="","",master_raw!AQ14)</f>
        <v>A031-COG-X-BVM-Re04</v>
      </c>
      <c r="AR14" t="str">
        <f>IF(master_raw!AR14="","",master_raw!AR14)</f>
        <v>n</v>
      </c>
      <c r="AS14" t="str">
        <f>IF(master_raw!AS14="","",master_raw!AS14)</f>
        <v>A032-COG-X-BVM-Re04</v>
      </c>
      <c r="AT14" t="str">
        <f>IF(master_raw!AT14="","",master_raw!AT14)</f>
        <v>n</v>
      </c>
      <c r="AU14" t="str">
        <f>IF(master_raw!AU14="","",master_raw!AU14)</f>
        <v>A033-COG-X-BVM-Re04</v>
      </c>
      <c r="AV14" t="str">
        <f>IF(master_raw!AV14="","",master_raw!AV14)</f>
        <v>n</v>
      </c>
      <c r="AW14" t="str">
        <f>IF(master_raw!AW14="","",master_raw!AW14)</f>
        <v>A034-COG-X-BVM-Re04</v>
      </c>
      <c r="AX14" t="str">
        <f>IF(master_raw!AX14="","",master_raw!AX14)</f>
        <v>n</v>
      </c>
      <c r="AY14" t="str">
        <f>IF(master_raw!AY14="","",master_raw!AY14)</f>
        <v>A035-COG-X-BVM-Re04</v>
      </c>
      <c r="AZ14" t="str">
        <f>IF(master_raw!AZ14="","",master_raw!AZ14)</f>
        <v>n</v>
      </c>
      <c r="BA14" t="str">
        <f>IF(master_raw!BA14="","",master_raw!BA14)</f>
        <v>A036-COG-X-BVM-Re04</v>
      </c>
      <c r="BB14" t="str">
        <f>IF(master_raw!BB14="","",master_raw!BB14)</f>
        <v>n</v>
      </c>
      <c r="BC14" t="str">
        <f>IF(master_raw!BC14="","",master_raw!BC14)</f>
        <v>A037-COG-X-BVM-Re04</v>
      </c>
      <c r="BD14" t="str">
        <f>IF(master_raw!BD14="","",master_raw!BD14)</f>
        <v>n</v>
      </c>
      <c r="BE14" t="str">
        <f>IF(master_raw!BE14="","",master_raw!BE14)</f>
        <v>A038-COG-X-BVM-Re04</v>
      </c>
      <c r="BF14" t="str">
        <f>IF(master_raw!BF14="","",master_raw!BF14)</f>
        <v>n</v>
      </c>
      <c r="BG14" t="str">
        <f>IF(master_raw!BG14="","",master_raw!BG14)</f>
        <v>A039-COG-X-BVM-Re04</v>
      </c>
      <c r="BH14" t="str">
        <f>IF(master_raw!BH14="","",master_raw!BH14)</f>
        <v>n</v>
      </c>
      <c r="BI14" t="str">
        <f>IF(master_raw!BI14="","",master_raw!BI14)</f>
        <v>A040-COG-X-BVM-Re04</v>
      </c>
      <c r="BJ14" t="str">
        <f>IF(master_raw!BJ14="","",master_raw!BJ14)</f>
        <v>n</v>
      </c>
      <c r="BK14" t="str">
        <f>IF(master_raw!BK14="","",master_raw!BK14)</f>
        <v>A041-COG-X-BVM-Re04</v>
      </c>
      <c r="BL14" t="str">
        <f>IF(master_raw!BL14="","",master_raw!BL14)</f>
        <v>n</v>
      </c>
      <c r="BM14" t="str">
        <f>IF(master_raw!BM14="","",master_raw!BM14)</f>
        <v>A042-COG-X-BVM-Re04</v>
      </c>
      <c r="BN14" t="str">
        <f>IF(master_raw!BN14="","",master_raw!BN14)</f>
        <v>n</v>
      </c>
      <c r="BO14" t="str">
        <f>IF(master_raw!BO14="","",master_raw!BO14)</f>
        <v>A043-COG-X-BVM-Re04</v>
      </c>
      <c r="BP14" t="str">
        <f>IF(master_raw!BP14="","",master_raw!BP14)</f>
        <v>n</v>
      </c>
      <c r="BQ14" t="str">
        <f>IF(master_raw!BQ14="","",master_raw!BQ14)</f>
        <v>A044-COG-X-BVM-Re04</v>
      </c>
      <c r="BR14" t="str">
        <f>IF(master_raw!BR14="","",master_raw!BR14)</f>
        <v>n</v>
      </c>
      <c r="BS14" t="str">
        <f>IF(master_raw!BS14="","",master_raw!BS14)</f>
        <v>A045-COG-X-BVM-Re04</v>
      </c>
      <c r="BT14" t="str">
        <f>IF(master_raw!BT14="","",master_raw!BT14)</f>
        <v>n</v>
      </c>
      <c r="BU14" t="str">
        <f>IF(master_raw!BU14="","",master_raw!BU14)</f>
        <v>A046-COG-X-BVM-Re04</v>
      </c>
      <c r="BV14" t="str">
        <f>IF(master_raw!BV14="","",master_raw!BV14)</f>
        <v>n</v>
      </c>
      <c r="BW14" t="str">
        <f>IF(master_raw!BW14="","",master_raw!BW14)</f>
        <v>A047-COG-X-BVM-Re04</v>
      </c>
      <c r="BX14" t="str">
        <f>IF(master_raw!BX14="","",master_raw!BX14)</f>
        <v>n</v>
      </c>
      <c r="BY14" t="str">
        <f>IF(master_raw!BY14="","",master_raw!BY14)</f>
        <v>A048-COG-X-BVM-Re04</v>
      </c>
      <c r="BZ14" t="str">
        <f>IF(master_raw!BZ14="","",master_raw!BZ14)</f>
        <v>n</v>
      </c>
      <c r="CA14" t="str">
        <f>IF(master_raw!CA14="","",master_raw!CA14)</f>
        <v>A049-COG-X-BVM-Re04</v>
      </c>
      <c r="CB14" t="str">
        <f>IF(master_raw!CB14="","",master_raw!CB14)</f>
        <v>n</v>
      </c>
      <c r="CC14" t="str">
        <f>IF(master_raw!CC14="","",master_raw!CC14)</f>
        <v>A050-COG-X-BVM-Re04</v>
      </c>
      <c r="CD14" t="str">
        <f>IF(master_raw!CD14="","",master_raw!CD14)</f>
        <v>n</v>
      </c>
      <c r="CE14" t="str">
        <f>IF(master_raw!CE14="","",master_raw!CE14)</f>
        <v>A051-COG-X-BVM-Re04</v>
      </c>
      <c r="CF14" t="str">
        <f>IF(master_raw!CF14="","",master_raw!CF14)</f>
        <v>n</v>
      </c>
      <c r="CG14" t="str">
        <f>IF(master_raw!CG14="","",master_raw!CG14)</f>
        <v>A052-COG-X-BVM-Re04</v>
      </c>
      <c r="CH14" t="str">
        <f>IF(master_raw!CH14="","",master_raw!CH14)</f>
        <v>n</v>
      </c>
      <c r="CI14" t="str">
        <f>IF(master_raw!CI14="","",master_raw!CI14)</f>
        <v>A053-COG-X-BVM-Re04</v>
      </c>
      <c r="CJ14" t="str">
        <f>IF(master_raw!CJ14="","",master_raw!CJ14)</f>
        <v>n</v>
      </c>
      <c r="CK14" t="str">
        <f>IF(master_raw!CK14="","",master_raw!CK14)</f>
        <v>A054-COG-X-BVM-Re04</v>
      </c>
      <c r="CL14" t="str">
        <f>IF(master_raw!CL14="","",master_raw!CL14)</f>
        <v>n</v>
      </c>
      <c r="CM14" t="str">
        <f>IF(master_raw!CM14="","",master_raw!CM14)</f>
        <v>A055-COG-X-BVM-Re04</v>
      </c>
      <c r="CN14" t="str">
        <f>IF(master_raw!CN14="","",master_raw!CN14)</f>
        <v>n</v>
      </c>
      <c r="CO14" t="str">
        <f>IF(master_raw!CO14="","",master_raw!CO14)</f>
        <v>A056-COG-X-BVM-Re04</v>
      </c>
      <c r="CP14" t="str">
        <f>IF(master_raw!CP14="","",master_raw!CP14)</f>
        <v>n</v>
      </c>
      <c r="CQ14" t="str">
        <f>IF(master_raw!CQ14="","",master_raw!CQ14)</f>
        <v>A057-COG-X-BVM-Re04</v>
      </c>
      <c r="CR14" t="str">
        <f>IF(master_raw!CR14="","",master_raw!CR14)</f>
        <v>n</v>
      </c>
      <c r="CS14" t="str">
        <f>IF(master_raw!CS14="","",master_raw!CS14)</f>
        <v>A058-COG-X-BVM-Re04</v>
      </c>
      <c r="CT14" t="str">
        <f>IF(master_raw!CT14="","",master_raw!CT14)</f>
        <v>n</v>
      </c>
      <c r="CU14" t="str">
        <f>IF(master_raw!CU14="","",master_raw!CU14)</f>
        <v>A059-COG-X-BVM-Re04</v>
      </c>
      <c r="CV14" t="str">
        <f>IF(master_raw!CV14="","",master_raw!CV14)</f>
        <v>n</v>
      </c>
      <c r="CW14" t="str">
        <f>IF(master_raw!CW14="","",master_raw!CW14)</f>
        <v>A060-COG-X-BVM-Re04</v>
      </c>
      <c r="CX14" t="str">
        <f>IF(master_raw!CX14="","",master_raw!CX14)</f>
        <v>n</v>
      </c>
      <c r="CY14" t="str">
        <f>IF(master_raw!CY14="","",master_raw!CY14)</f>
        <v>A061-COG-X-BVM-Re04</v>
      </c>
      <c r="CZ14" t="str">
        <f>IF(master_raw!CZ14="","",master_raw!CZ14)</f>
        <v>n</v>
      </c>
      <c r="DA14" t="str">
        <f>IF(master_raw!DA14="","",master_raw!DA14)</f>
        <v>A062-COG-X-BVM-Re04</v>
      </c>
      <c r="DB14" t="str">
        <f>IF(master_raw!DB14="","",master_raw!DB14)</f>
        <v>n</v>
      </c>
      <c r="DC14" t="str">
        <f>IF(master_raw!DC14="","",master_raw!DC14)</f>
        <v>A063-COG-X-BVM-Re04</v>
      </c>
      <c r="DD14" t="str">
        <f>IF(master_raw!DD14="","",master_raw!DD14)</f>
        <v>n</v>
      </c>
      <c r="DE14" t="str">
        <f>IF(master_raw!DE14="","",master_raw!DE14)</f>
        <v>A064-COG-X-BVM-Re04</v>
      </c>
      <c r="DF14" t="str">
        <f>IF(master_raw!DF14="","",master_raw!DF14)</f>
        <v>n</v>
      </c>
      <c r="DG14" t="str">
        <f>IF(master_raw!DG14="","",master_raw!DG14)</f>
        <v>A065-COG-X-BVM-Re04</v>
      </c>
      <c r="DH14" t="str">
        <f>IF(master_raw!DH14="","",master_raw!DH14)</f>
        <v>n</v>
      </c>
      <c r="DI14" t="str">
        <f>IF(master_raw!DI14="","",master_raw!DI14)</f>
        <v>A066-COG-X-BVM-Re04</v>
      </c>
      <c r="DJ14" t="str">
        <f>IF(master_raw!DJ14="","",master_raw!DJ14)</f>
        <v>n</v>
      </c>
      <c r="DK14" t="str">
        <f>IF(master_raw!DK14="","",master_raw!DK14)</f>
        <v>A067-COG-X-BVM-Re04</v>
      </c>
      <c r="DL14" t="str">
        <f>IF(master_raw!DL14="","",master_raw!DL14)</f>
        <v>n</v>
      </c>
      <c r="DM14" t="str">
        <f>IF(master_raw!DM14="","",master_raw!DM14)</f>
        <v>A068-COG-X-BVM-Re04</v>
      </c>
      <c r="DN14" t="str">
        <f>IF(master_raw!DN14="","",master_raw!DN14)</f>
        <v>n</v>
      </c>
      <c r="DO14" t="str">
        <f>IF(master_raw!DO14="","",master_raw!DO14)</f>
        <v>A069-COG-X-BVM-Re04</v>
      </c>
      <c r="DP14" t="str">
        <f>IF(master_raw!DP14="","",master_raw!DP14)</f>
        <v>n</v>
      </c>
      <c r="DQ14" t="str">
        <f>IF(master_raw!DQ14="","",master_raw!DQ14)</f>
        <v>A070-COG-X-BVM-Re04</v>
      </c>
      <c r="DR14" t="str">
        <f>IF(master_raw!DR14="","",master_raw!DR14)</f>
        <v>n</v>
      </c>
      <c r="DS14" t="str">
        <f>IF(master_raw!DS14="","",master_raw!DS14)</f>
        <v>A071-COG-X-BVM-Re04</v>
      </c>
      <c r="DT14" t="str">
        <f>IF(master_raw!DT14="","",master_raw!DT14)</f>
        <v>n</v>
      </c>
      <c r="DU14" t="str">
        <f>IF(master_raw!DU14="","",master_raw!DU14)</f>
        <v>A072-COG-X-BVM-Re04</v>
      </c>
      <c r="DV14" t="str">
        <f>IF(master_raw!DV14="","",master_raw!DV14)</f>
        <v>n</v>
      </c>
      <c r="DW14" t="str">
        <f>IF(master_raw!DW14="","",master_raw!DW14)</f>
        <v>A073-COG-X-BVM-Re04</v>
      </c>
      <c r="DX14" t="str">
        <f>IF(master_raw!DX14="","",master_raw!DX14)</f>
        <v>n</v>
      </c>
      <c r="DY14" t="str">
        <f>IF(master_raw!DY14="","",master_raw!DY14)</f>
        <v>A074-COG-X-BVM-Re04</v>
      </c>
      <c r="DZ14" t="str">
        <f>IF(master_raw!DZ14="","",master_raw!DZ14)</f>
        <v>n</v>
      </c>
      <c r="EA14" t="str">
        <f>IF(master_raw!EA14="","",master_raw!EA14)</f>
        <v>A075-COG-X-BVM-Re04</v>
      </c>
      <c r="EB14" t="str">
        <f>IF(master_raw!EB14="","",master_raw!EB14)</f>
        <v>n</v>
      </c>
      <c r="EC14" t="str">
        <f>IF(master_raw!EC14="","",master_raw!EC14)</f>
        <v>A076-COG-X-BVM-Re04</v>
      </c>
      <c r="ED14" t="str">
        <f>IF(master_raw!ED14="","",master_raw!ED14)</f>
        <v>n</v>
      </c>
      <c r="EE14" t="str">
        <f>IF(master_raw!EE14="","",master_raw!EE14)</f>
        <v>A077-COG-X-BVM-Re04</v>
      </c>
      <c r="EF14" t="str">
        <f>IF(master_raw!EF14="","",master_raw!EF14)</f>
        <v>n</v>
      </c>
      <c r="EG14" t="str">
        <f>IF(master_raw!EG14="","",master_raw!EG14)</f>
        <v>A078-COG-X-BVM-Re04</v>
      </c>
      <c r="EH14" t="str">
        <f>IF(master_raw!EH14="","",master_raw!EH14)</f>
        <v>n</v>
      </c>
      <c r="EI14" t="str">
        <f>IF(master_raw!EI14="","",master_raw!EI14)</f>
        <v>A079-COG-X-BVM-Re04</v>
      </c>
      <c r="EJ14" t="str">
        <f>IF(master_raw!EJ14="","",master_raw!EJ14)</f>
        <v>n</v>
      </c>
      <c r="EK14" t="str">
        <f>IF(master_raw!EK14="","",master_raw!EK14)</f>
        <v>A080-COG-X-BVM-Re04</v>
      </c>
      <c r="EL14" t="str">
        <f>IF(master_raw!EL14="","",master_raw!EL14)</f>
        <v>n</v>
      </c>
      <c r="EM14" t="str">
        <f>IF(master_raw!EM14="","",master_raw!EM14)</f>
        <v>A081-COG-X-BVM-Re04</v>
      </c>
      <c r="EN14" t="str">
        <f>IF(master_raw!EN14="","",master_raw!EN14)</f>
        <v>n</v>
      </c>
      <c r="EO14" t="str">
        <f>IF(master_raw!EO14="","",master_raw!EO14)</f>
        <v>A082-COG-X-BVM-Re04</v>
      </c>
      <c r="EP14" t="str">
        <f>IF(master_raw!EP14="","",master_raw!EP14)</f>
        <v>n</v>
      </c>
      <c r="EQ14" t="str">
        <f>IF(master_raw!EQ14="","",master_raw!EQ14)</f>
        <v>A083-COG-X-BVM-Re04</v>
      </c>
      <c r="ER14" t="str">
        <f>IF(master_raw!ER14="","",master_raw!ER14)</f>
        <v>n</v>
      </c>
      <c r="ES14" t="str">
        <f>IF(master_raw!ES14="","",master_raw!ES14)</f>
        <v>A084-COG-X-BVM-Re04</v>
      </c>
      <c r="ET14" t="str">
        <f>IF(master_raw!ET14="","",master_raw!ET14)</f>
        <v>n</v>
      </c>
      <c r="EU14" t="str">
        <f>IF(master_raw!EU14="","",master_raw!EU14)</f>
        <v>A085-COG-X-BVM-Re04</v>
      </c>
      <c r="EV14" t="str">
        <f>IF(master_raw!EV14="","",master_raw!EV14)</f>
        <v>n</v>
      </c>
      <c r="EW14" t="str">
        <f>IF(master_raw!EW14="","",master_raw!EW14)</f>
        <v>A086-COG-X-BVM-Re04</v>
      </c>
      <c r="EX14" t="str">
        <f>IF(master_raw!EX14="","",master_raw!EX14)</f>
        <v>n</v>
      </c>
      <c r="EY14" t="str">
        <f>IF(master_raw!EY14="","",master_raw!EY14)</f>
        <v>A087-COG-X-BVM-Re04</v>
      </c>
      <c r="EZ14" t="str">
        <f>IF(master_raw!EZ14="","",master_raw!EZ14)</f>
        <v>n</v>
      </c>
      <c r="FA14" t="str">
        <f>IF(master_raw!FA14="","",master_raw!FA14)</f>
        <v>A088-COG-X-BVM-Re04</v>
      </c>
      <c r="FB14" t="str">
        <f>IF(master_raw!FB14="","",master_raw!FB14)</f>
        <v>n</v>
      </c>
      <c r="FC14" t="str">
        <f>IF(master_raw!FC14="","",master_raw!FC14)</f>
        <v>A089-COG-X-BVM-Re04</v>
      </c>
      <c r="FD14" t="str">
        <f>IF(master_raw!FD14="","",master_raw!FD14)</f>
        <v>n</v>
      </c>
      <c r="FE14" t="str">
        <f>IF(master_raw!FE14="","",master_raw!FE14)</f>
        <v>A090-COG-X-BVM-Re04</v>
      </c>
      <c r="FF14" t="str">
        <f>IF(master_raw!FF14="","",master_raw!FF14)</f>
        <v>n</v>
      </c>
      <c r="FG14" t="str">
        <f>IF(master_raw!FG14="","",master_raw!FG14)</f>
        <v>A091-COG-X-BVM-Re04</v>
      </c>
      <c r="FH14" t="str">
        <f>IF(master_raw!FH14="","",master_raw!FH14)</f>
        <v>n</v>
      </c>
      <c r="FI14" t="str">
        <f>IF(master_raw!FI14="","",master_raw!FI14)</f>
        <v>A092-COG-X-BVM-Re04</v>
      </c>
      <c r="FJ14" t="str">
        <f>IF(master_raw!FJ14="","",master_raw!FJ14)</f>
        <v>n</v>
      </c>
      <c r="FK14" t="str">
        <f>IF(master_raw!FK14="","",master_raw!FK14)</f>
        <v>A093-COG-X-BVM-Re04</v>
      </c>
      <c r="FL14" t="str">
        <f>IF(master_raw!FL14="","",master_raw!FL14)</f>
        <v>n</v>
      </c>
      <c r="FM14" t="str">
        <f>IF(master_raw!FM14="","",master_raw!FM14)</f>
        <v>A094-COG-X-BVM-Re04</v>
      </c>
      <c r="FN14" t="str">
        <f>IF(master_raw!FN14="","",master_raw!FN14)</f>
        <v>n</v>
      </c>
      <c r="FO14" t="str">
        <f>IF(master_raw!FO14="","",master_raw!FO14)</f>
        <v>A095-COG-X-BVM-Re04</v>
      </c>
      <c r="FP14" t="str">
        <f>IF(master_raw!FP14="","",master_raw!FP14)</f>
        <v>n</v>
      </c>
      <c r="FQ14" t="str">
        <f>IF(master_raw!FQ14="","",master_raw!FQ14)</f>
        <v>A096-COG-X-BVM-Re04</v>
      </c>
      <c r="FR14" t="str">
        <f>IF(master_raw!FR14="","",master_raw!FR14)</f>
        <v>n</v>
      </c>
      <c r="FS14" t="str">
        <f>IF(master_raw!FS14="","",master_raw!FS14)</f>
        <v>A097-COG-X-BVM-Re04</v>
      </c>
      <c r="FT14" t="str">
        <f>IF(master_raw!FT14="","",master_raw!FT14)</f>
        <v>n</v>
      </c>
      <c r="FU14" t="str">
        <f>IF(master_raw!FU14="","",master_raw!FU14)</f>
        <v>A098-COG-X-BVM-Re04</v>
      </c>
      <c r="FV14" t="str">
        <f>IF(master_raw!FV14="","",master_raw!FV14)</f>
        <v>n</v>
      </c>
      <c r="FW14" t="str">
        <f>IF(master_raw!FW14="","",master_raw!FW14)</f>
        <v>A099-COG-X-BVM-Re04</v>
      </c>
      <c r="FX14" t="str">
        <f>IF(master_raw!FX14="","",master_raw!FX14)</f>
        <v>n</v>
      </c>
      <c r="FY14" t="str">
        <f>IF(master_raw!FY14="","",master_raw!FY14)</f>
        <v>A100-COG-X-BVM-Re04</v>
      </c>
      <c r="FZ14" t="str">
        <f>IF(master_raw!FZ14="","",master_raw!FZ14)</f>
        <v>n</v>
      </c>
      <c r="GA14" t="str">
        <f>IF(master_raw!GA14="","",master_raw!GA14)</f>
        <v>A101-COG-X-BVM-Re04</v>
      </c>
      <c r="GB14" t="str">
        <f>IF(master_raw!GB14="","",master_raw!GB14)</f>
        <v>n</v>
      </c>
      <c r="GC14" t="str">
        <f>IF(master_raw!GC14="","",master_raw!GC14)</f>
        <v>A102-COG-X-BVM-Re04</v>
      </c>
      <c r="GD14" t="str">
        <f>IF(master_raw!GD14="","",master_raw!GD14)</f>
        <v>n</v>
      </c>
      <c r="GE14" t="str">
        <f>IF(master_raw!GE14="","",master_raw!GE14)</f>
        <v>A103-COG-X-BVM-Re04</v>
      </c>
      <c r="GF14" t="str">
        <f>IF(master_raw!GF14="","",master_raw!GF14)</f>
        <v>n</v>
      </c>
      <c r="GG14" t="str">
        <f>IF(master_raw!GG14="","",master_raw!GG14)</f>
        <v>A104-COG-X-BVM-Re04</v>
      </c>
      <c r="GH14" t="str">
        <f>IF(master_raw!GH14="","",master_raw!GH14)</f>
        <v>n</v>
      </c>
      <c r="GI14" t="str">
        <f>IF(master_raw!GI14="","",master_raw!GI14)</f>
        <v>A105-COG-X-BVM-Re04</v>
      </c>
      <c r="GJ14" t="str">
        <f>IF(master_raw!GJ14="","",master_raw!GJ14)</f>
        <v>n</v>
      </c>
      <c r="GK14" t="str">
        <f>IF(master_raw!GK14="","",master_raw!GK14)</f>
        <v>A106-COG-X-BVM-Re04</v>
      </c>
      <c r="GL14" t="str">
        <f>IF(master_raw!GL14="","",master_raw!GL14)</f>
        <v>n</v>
      </c>
      <c r="GM14" t="str">
        <f>IF(master_raw!GM14="","",master_raw!GM14)</f>
        <v>A107-COG-X-BVM-Re04</v>
      </c>
      <c r="GN14" t="str">
        <f>IF(master_raw!GN14="","",master_raw!GN14)</f>
        <v>n</v>
      </c>
      <c r="GO14" t="str">
        <f>IF(master_raw!GO14="","",master_raw!GO14)</f>
        <v>A108-COG-X-BVM-Re04</v>
      </c>
      <c r="GP14" t="str">
        <f>IF(master_raw!GP14="","",master_raw!GP14)</f>
        <v>n</v>
      </c>
      <c r="GQ14" t="str">
        <f>IF(master_raw!GQ14="","",master_raw!GQ14)</f>
        <v>A109-COG-X-BVM-Re04</v>
      </c>
      <c r="GR14" t="str">
        <f>IF(master_raw!GR14="","",master_raw!GR14)</f>
        <v>n</v>
      </c>
    </row>
    <row r="15" spans="1:200" x14ac:dyDescent="0.25">
      <c r="A15" t="str">
        <f>IF(master_raw!A15="","",master_raw!A15)</f>
        <v>A010-COG-X-BVM-Re05</v>
      </c>
      <c r="B15" t="str">
        <f>IF(master_raw!B15="","",master_raw!B15)</f>
        <v>n</v>
      </c>
      <c r="C15" t="str">
        <f>IF(master_raw!C15="","",master_raw!C15)</f>
        <v>A011-COG-X-BVM-Re05</v>
      </c>
      <c r="D15" t="str">
        <f>IF(master_raw!D15="","",master_raw!D15)</f>
        <v>n</v>
      </c>
      <c r="E15" t="str">
        <f>IF(master_raw!E15="","",master_raw!E15)</f>
        <v>A012-COG-X-BVM-Re05</v>
      </c>
      <c r="F15" t="str">
        <f>IF(master_raw!F15="","",master_raw!F15)</f>
        <v>n</v>
      </c>
      <c r="G15" t="str">
        <f>IF(master_raw!G15="","",master_raw!G15)</f>
        <v>A013-COG-X-BVM-Re05</v>
      </c>
      <c r="H15" t="str">
        <f>IF(master_raw!H15="","",master_raw!H15)</f>
        <v>n</v>
      </c>
      <c r="I15" t="str">
        <f>IF(master_raw!I15="","",master_raw!I15)</f>
        <v>A014-COG-X-BVM-Re05</v>
      </c>
      <c r="J15" t="str">
        <f>IF(master_raw!J15="","",master_raw!J15)</f>
        <v>n</v>
      </c>
      <c r="K15" t="str">
        <f>IF(master_raw!K15="","",master_raw!K15)</f>
        <v>A015-COG-X-BVM-Re05</v>
      </c>
      <c r="L15" t="str">
        <f>IF(master_raw!L15="","",master_raw!L15)</f>
        <v>n</v>
      </c>
      <c r="M15" t="str">
        <f>IF(master_raw!M15="","",master_raw!M15)</f>
        <v>A016-COG-X-BVM-Re05</v>
      </c>
      <c r="N15" t="str">
        <f>IF(master_raw!N15="","",master_raw!N15)</f>
        <v>n</v>
      </c>
      <c r="O15" t="str">
        <f>IF(master_raw!O15="","",master_raw!O15)</f>
        <v>A017-COG-X-BVM-Re05</v>
      </c>
      <c r="P15" t="str">
        <f>IF(master_raw!P15="","",master_raw!P15)</f>
        <v>n</v>
      </c>
      <c r="Q15" t="str">
        <f>IF(master_raw!Q15="","",master_raw!Q15)</f>
        <v>A018-COG-X-BVM-Re05</v>
      </c>
      <c r="R15" t="str">
        <f>IF(master_raw!R15="","",master_raw!R15)</f>
        <v>n</v>
      </c>
      <c r="S15" t="str">
        <f>IF(master_raw!S15="","",master_raw!S15)</f>
        <v>A019-COG-X-BVM-Re05</v>
      </c>
      <c r="T15" t="str">
        <f>IF(master_raw!T15="","",master_raw!T15)</f>
        <v>n</v>
      </c>
      <c r="U15" t="str">
        <f>IF(master_raw!U15="","",master_raw!U15)</f>
        <v>A020-COG-X-BVM-Re05</v>
      </c>
      <c r="V15" t="str">
        <f>IF(master_raw!V15="","",master_raw!V15)</f>
        <v>n</v>
      </c>
      <c r="W15" t="str">
        <f>IF(master_raw!W15="","",master_raw!W15)</f>
        <v>A021-COG-X-BVM-Re05</v>
      </c>
      <c r="X15" t="str">
        <f>IF(master_raw!X15="","",master_raw!X15)</f>
        <v>n</v>
      </c>
      <c r="Y15" t="str">
        <f>IF(master_raw!Y15="","",master_raw!Y15)</f>
        <v>A022-COG-X-BVM-Re05</v>
      </c>
      <c r="Z15" t="str">
        <f>IF(master_raw!Z15="","",master_raw!Z15)</f>
        <v>n</v>
      </c>
      <c r="AA15" t="str">
        <f>IF(master_raw!AA15="","",master_raw!AA15)</f>
        <v>A023-COG-X-BVM-Re05</v>
      </c>
      <c r="AB15" t="str">
        <f>IF(master_raw!AB15="","",master_raw!AB15)</f>
        <v>n</v>
      </c>
      <c r="AC15" t="str">
        <f>IF(master_raw!AC15="","",master_raw!AC15)</f>
        <v>A024-COG-X-BVM-Re05</v>
      </c>
      <c r="AD15" t="str">
        <f>IF(master_raw!AD15="","",master_raw!AD15)</f>
        <v>n</v>
      </c>
      <c r="AE15" t="str">
        <f>IF(master_raw!AE15="","",master_raw!AE15)</f>
        <v>A025-COG-X-BVM-Re05</v>
      </c>
      <c r="AF15" t="str">
        <f>IF(master_raw!AF15="","",master_raw!AF15)</f>
        <v>n</v>
      </c>
      <c r="AG15" t="str">
        <f>IF(master_raw!AG15="","",master_raw!AG15)</f>
        <v>A026-COG-X-BVM-Re05</v>
      </c>
      <c r="AH15" t="str">
        <f>IF(master_raw!AH15="","",master_raw!AH15)</f>
        <v>n</v>
      </c>
      <c r="AI15" t="str">
        <f>IF(master_raw!AI15="","",master_raw!AI15)</f>
        <v>A027-COG-X-BVM-Re05</v>
      </c>
      <c r="AJ15" t="str">
        <f>IF(master_raw!AJ15="","",master_raw!AJ15)</f>
        <v>n</v>
      </c>
      <c r="AK15" t="str">
        <f>IF(master_raw!AK15="","",master_raw!AK15)</f>
        <v>A028-COG-X-BVM-Re05</v>
      </c>
      <c r="AL15" t="str">
        <f>IF(master_raw!AL15="","",master_raw!AL15)</f>
        <v>n</v>
      </c>
      <c r="AM15" t="str">
        <f>IF(master_raw!AM15="","",master_raw!AM15)</f>
        <v>A029-COG-X-BVM-Re05</v>
      </c>
      <c r="AN15" t="str">
        <f>IF(master_raw!AN15="","",master_raw!AN15)</f>
        <v>n</v>
      </c>
      <c r="AO15" t="str">
        <f>IF(master_raw!AO15="","",master_raw!AO15)</f>
        <v>A030-COG-X-BVM-Re05</v>
      </c>
      <c r="AP15" t="str">
        <f>IF(master_raw!AP15="","",master_raw!AP15)</f>
        <v>n</v>
      </c>
      <c r="AQ15" t="str">
        <f>IF(master_raw!AQ15="","",master_raw!AQ15)</f>
        <v>A031-COG-X-BVM-Re05</v>
      </c>
      <c r="AR15" t="str">
        <f>IF(master_raw!AR15="","",master_raw!AR15)</f>
        <v>n</v>
      </c>
      <c r="AS15" t="str">
        <f>IF(master_raw!AS15="","",master_raw!AS15)</f>
        <v>A032-COG-X-BVM-Re05</v>
      </c>
      <c r="AT15" t="str">
        <f>IF(master_raw!AT15="","",master_raw!AT15)</f>
        <v>n</v>
      </c>
      <c r="AU15" t="str">
        <f>IF(master_raw!AU15="","",master_raw!AU15)</f>
        <v>A033-COG-X-BVM-Re05</v>
      </c>
      <c r="AV15" t="str">
        <f>IF(master_raw!AV15="","",master_raw!AV15)</f>
        <v>n</v>
      </c>
      <c r="AW15" t="str">
        <f>IF(master_raw!AW15="","",master_raw!AW15)</f>
        <v>A034-COG-X-BVM-Re05</v>
      </c>
      <c r="AX15" t="str">
        <f>IF(master_raw!AX15="","",master_raw!AX15)</f>
        <v>n</v>
      </c>
      <c r="AY15" t="str">
        <f>IF(master_raw!AY15="","",master_raw!AY15)</f>
        <v>A035-COG-X-BVM-Re05</v>
      </c>
      <c r="AZ15" t="str">
        <f>IF(master_raw!AZ15="","",master_raw!AZ15)</f>
        <v>n</v>
      </c>
      <c r="BA15" t="str">
        <f>IF(master_raw!BA15="","",master_raw!BA15)</f>
        <v>A036-COG-X-BVM-Re05</v>
      </c>
      <c r="BB15" t="str">
        <f>IF(master_raw!BB15="","",master_raw!BB15)</f>
        <v>n</v>
      </c>
      <c r="BC15" t="str">
        <f>IF(master_raw!BC15="","",master_raw!BC15)</f>
        <v>A037-COG-X-BVM-Re05</v>
      </c>
      <c r="BD15" t="str">
        <f>IF(master_raw!BD15="","",master_raw!BD15)</f>
        <v>n</v>
      </c>
      <c r="BE15" t="str">
        <f>IF(master_raw!BE15="","",master_raw!BE15)</f>
        <v>A038-COG-X-BVM-Re05</v>
      </c>
      <c r="BF15" t="str">
        <f>IF(master_raw!BF15="","",master_raw!BF15)</f>
        <v>n</v>
      </c>
      <c r="BG15" t="str">
        <f>IF(master_raw!BG15="","",master_raw!BG15)</f>
        <v>A039-COG-X-BVM-Re05</v>
      </c>
      <c r="BH15" t="str">
        <f>IF(master_raw!BH15="","",master_raw!BH15)</f>
        <v>n</v>
      </c>
      <c r="BI15" t="str">
        <f>IF(master_raw!BI15="","",master_raw!BI15)</f>
        <v>A040-COG-X-BVM-Re05</v>
      </c>
      <c r="BJ15" t="str">
        <f>IF(master_raw!BJ15="","",master_raw!BJ15)</f>
        <v>n</v>
      </c>
      <c r="BK15" t="str">
        <f>IF(master_raw!BK15="","",master_raw!BK15)</f>
        <v>A041-COG-X-BVM-Re05</v>
      </c>
      <c r="BL15" t="str">
        <f>IF(master_raw!BL15="","",master_raw!BL15)</f>
        <v>n</v>
      </c>
      <c r="BM15" t="str">
        <f>IF(master_raw!BM15="","",master_raw!BM15)</f>
        <v>A042-COG-X-BVM-Re05</v>
      </c>
      <c r="BN15" t="str">
        <f>IF(master_raw!BN15="","",master_raw!BN15)</f>
        <v>n</v>
      </c>
      <c r="BO15" t="str">
        <f>IF(master_raw!BO15="","",master_raw!BO15)</f>
        <v>A043-COG-X-BVM-Re05</v>
      </c>
      <c r="BP15" t="str">
        <f>IF(master_raw!BP15="","",master_raw!BP15)</f>
        <v>n</v>
      </c>
      <c r="BQ15" t="str">
        <f>IF(master_raw!BQ15="","",master_raw!BQ15)</f>
        <v>A044-COG-X-BVM-Re05</v>
      </c>
      <c r="BR15" t="str">
        <f>IF(master_raw!BR15="","",master_raw!BR15)</f>
        <v>n</v>
      </c>
      <c r="BS15" t="str">
        <f>IF(master_raw!BS15="","",master_raw!BS15)</f>
        <v>A045-COG-X-BVM-Re05</v>
      </c>
      <c r="BT15" t="str">
        <f>IF(master_raw!BT15="","",master_raw!BT15)</f>
        <v>n</v>
      </c>
      <c r="BU15" t="str">
        <f>IF(master_raw!BU15="","",master_raw!BU15)</f>
        <v>A046-COG-X-BVM-Re05</v>
      </c>
      <c r="BV15" t="str">
        <f>IF(master_raw!BV15="","",master_raw!BV15)</f>
        <v>n</v>
      </c>
      <c r="BW15" t="str">
        <f>IF(master_raw!BW15="","",master_raw!BW15)</f>
        <v>A047-COG-X-BVM-Re05</v>
      </c>
      <c r="BX15" t="str">
        <f>IF(master_raw!BX15="","",master_raw!BX15)</f>
        <v>n</v>
      </c>
      <c r="BY15" t="str">
        <f>IF(master_raw!BY15="","",master_raw!BY15)</f>
        <v>A048-COG-X-BVM-Re05</v>
      </c>
      <c r="BZ15" t="str">
        <f>IF(master_raw!BZ15="","",master_raw!BZ15)</f>
        <v>n</v>
      </c>
      <c r="CA15" t="str">
        <f>IF(master_raw!CA15="","",master_raw!CA15)</f>
        <v>A049-COG-X-BVM-Re05</v>
      </c>
      <c r="CB15" t="str">
        <f>IF(master_raw!CB15="","",master_raw!CB15)</f>
        <v>n</v>
      </c>
      <c r="CC15" t="str">
        <f>IF(master_raw!CC15="","",master_raw!CC15)</f>
        <v>A050-COG-X-BVM-Re05</v>
      </c>
      <c r="CD15" t="str">
        <f>IF(master_raw!CD15="","",master_raw!CD15)</f>
        <v>n</v>
      </c>
      <c r="CE15" t="str">
        <f>IF(master_raw!CE15="","",master_raw!CE15)</f>
        <v>A051-COG-X-BVM-Re05</v>
      </c>
      <c r="CF15" t="str">
        <f>IF(master_raw!CF15="","",master_raw!CF15)</f>
        <v>n</v>
      </c>
      <c r="CG15" t="str">
        <f>IF(master_raw!CG15="","",master_raw!CG15)</f>
        <v>A052-COG-X-BVM-Re05</v>
      </c>
      <c r="CH15" t="str">
        <f>IF(master_raw!CH15="","",master_raw!CH15)</f>
        <v>n</v>
      </c>
      <c r="CI15" t="str">
        <f>IF(master_raw!CI15="","",master_raw!CI15)</f>
        <v>A053-COG-X-BVM-Re05</v>
      </c>
      <c r="CJ15" t="str">
        <f>IF(master_raw!CJ15="","",master_raw!CJ15)</f>
        <v>n</v>
      </c>
      <c r="CK15" t="str">
        <f>IF(master_raw!CK15="","",master_raw!CK15)</f>
        <v>A054-COG-X-BVM-Re05</v>
      </c>
      <c r="CL15" t="str">
        <f>IF(master_raw!CL15="","",master_raw!CL15)</f>
        <v>n</v>
      </c>
      <c r="CM15" t="str">
        <f>IF(master_raw!CM15="","",master_raw!CM15)</f>
        <v>A055-COG-X-BVM-Re05</v>
      </c>
      <c r="CN15" t="str">
        <f>IF(master_raw!CN15="","",master_raw!CN15)</f>
        <v>n</v>
      </c>
      <c r="CO15" t="str">
        <f>IF(master_raw!CO15="","",master_raw!CO15)</f>
        <v>A056-COG-X-BVM-Re05</v>
      </c>
      <c r="CP15" t="str">
        <f>IF(master_raw!CP15="","",master_raw!CP15)</f>
        <v>n</v>
      </c>
      <c r="CQ15" t="str">
        <f>IF(master_raw!CQ15="","",master_raw!CQ15)</f>
        <v>A057-COG-X-BVM-Re05</v>
      </c>
      <c r="CR15" t="str">
        <f>IF(master_raw!CR15="","",master_raw!CR15)</f>
        <v>n</v>
      </c>
      <c r="CS15" t="str">
        <f>IF(master_raw!CS15="","",master_raw!CS15)</f>
        <v>A058-COG-X-BVM-Re05</v>
      </c>
      <c r="CT15" t="str">
        <f>IF(master_raw!CT15="","",master_raw!CT15)</f>
        <v>n</v>
      </c>
      <c r="CU15" t="str">
        <f>IF(master_raw!CU15="","",master_raw!CU15)</f>
        <v>A059-COG-X-BVM-Re05</v>
      </c>
      <c r="CV15" t="str">
        <f>IF(master_raw!CV15="","",master_raw!CV15)</f>
        <v>n</v>
      </c>
      <c r="CW15" t="str">
        <f>IF(master_raw!CW15="","",master_raw!CW15)</f>
        <v>A060-COG-X-BVM-Re05</v>
      </c>
      <c r="CX15" t="str">
        <f>IF(master_raw!CX15="","",master_raw!CX15)</f>
        <v>n</v>
      </c>
      <c r="CY15" t="str">
        <f>IF(master_raw!CY15="","",master_raw!CY15)</f>
        <v>A061-COG-X-BVM-Re05</v>
      </c>
      <c r="CZ15" t="str">
        <f>IF(master_raw!CZ15="","",master_raw!CZ15)</f>
        <v>n</v>
      </c>
      <c r="DA15" t="str">
        <f>IF(master_raw!DA15="","",master_raw!DA15)</f>
        <v>A062-COG-X-BVM-Re05</v>
      </c>
      <c r="DB15" t="str">
        <f>IF(master_raw!DB15="","",master_raw!DB15)</f>
        <v>n</v>
      </c>
      <c r="DC15" t="str">
        <f>IF(master_raw!DC15="","",master_raw!DC15)</f>
        <v>A063-COG-X-BVM-Re05</v>
      </c>
      <c r="DD15" t="str">
        <f>IF(master_raw!DD15="","",master_raw!DD15)</f>
        <v>n</v>
      </c>
      <c r="DE15" t="str">
        <f>IF(master_raw!DE15="","",master_raw!DE15)</f>
        <v>A064-COG-X-BVM-Re05</v>
      </c>
      <c r="DF15" t="str">
        <f>IF(master_raw!DF15="","",master_raw!DF15)</f>
        <v>n</v>
      </c>
      <c r="DG15" t="str">
        <f>IF(master_raw!DG15="","",master_raw!DG15)</f>
        <v>A065-COG-X-BVM-Re05</v>
      </c>
      <c r="DH15" t="str">
        <f>IF(master_raw!DH15="","",master_raw!DH15)</f>
        <v>n</v>
      </c>
      <c r="DI15" t="str">
        <f>IF(master_raw!DI15="","",master_raw!DI15)</f>
        <v>A066-COG-X-BVM-Re05</v>
      </c>
      <c r="DJ15" t="str">
        <f>IF(master_raw!DJ15="","",master_raw!DJ15)</f>
        <v>n</v>
      </c>
      <c r="DK15" t="str">
        <f>IF(master_raw!DK15="","",master_raw!DK15)</f>
        <v>A067-COG-X-BVM-Re05</v>
      </c>
      <c r="DL15" t="str">
        <f>IF(master_raw!DL15="","",master_raw!DL15)</f>
        <v>n</v>
      </c>
      <c r="DM15" t="str">
        <f>IF(master_raw!DM15="","",master_raw!DM15)</f>
        <v>A068-COG-X-BVM-Re05</v>
      </c>
      <c r="DN15" t="str">
        <f>IF(master_raw!DN15="","",master_raw!DN15)</f>
        <v>n</v>
      </c>
      <c r="DO15" t="str">
        <f>IF(master_raw!DO15="","",master_raw!DO15)</f>
        <v>A069-COG-X-BVM-Re05</v>
      </c>
      <c r="DP15" t="str">
        <f>IF(master_raw!DP15="","",master_raw!DP15)</f>
        <v>n</v>
      </c>
      <c r="DQ15" t="str">
        <f>IF(master_raw!DQ15="","",master_raw!DQ15)</f>
        <v>A070-COG-X-BVM-Re05</v>
      </c>
      <c r="DR15" t="str">
        <f>IF(master_raw!DR15="","",master_raw!DR15)</f>
        <v>n</v>
      </c>
      <c r="DS15" t="str">
        <f>IF(master_raw!DS15="","",master_raw!DS15)</f>
        <v>A071-COG-X-BVM-Re05</v>
      </c>
      <c r="DT15" t="str">
        <f>IF(master_raw!DT15="","",master_raw!DT15)</f>
        <v>n</v>
      </c>
      <c r="DU15" t="str">
        <f>IF(master_raw!DU15="","",master_raw!DU15)</f>
        <v>A072-COG-X-BVM-Re05</v>
      </c>
      <c r="DV15" t="str">
        <f>IF(master_raw!DV15="","",master_raw!DV15)</f>
        <v>n</v>
      </c>
      <c r="DW15" t="str">
        <f>IF(master_raw!DW15="","",master_raw!DW15)</f>
        <v>A073-COG-X-BVM-Re05</v>
      </c>
      <c r="DX15" t="str">
        <f>IF(master_raw!DX15="","",master_raw!DX15)</f>
        <v>n</v>
      </c>
      <c r="DY15" t="str">
        <f>IF(master_raw!DY15="","",master_raw!DY15)</f>
        <v>A074-COG-X-BVM-Re05</v>
      </c>
      <c r="DZ15" t="str">
        <f>IF(master_raw!DZ15="","",master_raw!DZ15)</f>
        <v>n</v>
      </c>
      <c r="EA15" t="str">
        <f>IF(master_raw!EA15="","",master_raw!EA15)</f>
        <v>A075-COG-X-BVM-Re05</v>
      </c>
      <c r="EB15" t="str">
        <f>IF(master_raw!EB15="","",master_raw!EB15)</f>
        <v>n</v>
      </c>
      <c r="EC15" t="str">
        <f>IF(master_raw!EC15="","",master_raw!EC15)</f>
        <v>A076-COG-X-BVM-Re05</v>
      </c>
      <c r="ED15" t="str">
        <f>IF(master_raw!ED15="","",master_raw!ED15)</f>
        <v>n</v>
      </c>
      <c r="EE15" t="str">
        <f>IF(master_raw!EE15="","",master_raw!EE15)</f>
        <v>A077-COG-X-BVM-Re05</v>
      </c>
      <c r="EF15" t="str">
        <f>IF(master_raw!EF15="","",master_raw!EF15)</f>
        <v>n</v>
      </c>
      <c r="EG15" t="str">
        <f>IF(master_raw!EG15="","",master_raw!EG15)</f>
        <v>A078-COG-X-BVM-Re05</v>
      </c>
      <c r="EH15" t="str">
        <f>IF(master_raw!EH15="","",master_raw!EH15)</f>
        <v>n</v>
      </c>
      <c r="EI15" t="str">
        <f>IF(master_raw!EI15="","",master_raw!EI15)</f>
        <v>A079-COG-X-BVM-Re05</v>
      </c>
      <c r="EJ15" t="str">
        <f>IF(master_raw!EJ15="","",master_raw!EJ15)</f>
        <v>n</v>
      </c>
      <c r="EK15" t="str">
        <f>IF(master_raw!EK15="","",master_raw!EK15)</f>
        <v>A080-COG-X-BVM-Re05</v>
      </c>
      <c r="EL15" t="str">
        <f>IF(master_raw!EL15="","",master_raw!EL15)</f>
        <v>n</v>
      </c>
      <c r="EM15" t="str">
        <f>IF(master_raw!EM15="","",master_raw!EM15)</f>
        <v>A081-COG-X-BVM-Re05</v>
      </c>
      <c r="EN15" t="str">
        <f>IF(master_raw!EN15="","",master_raw!EN15)</f>
        <v>n</v>
      </c>
      <c r="EO15" t="str">
        <f>IF(master_raw!EO15="","",master_raw!EO15)</f>
        <v>A082-COG-X-BVM-Re05</v>
      </c>
      <c r="EP15" t="str">
        <f>IF(master_raw!EP15="","",master_raw!EP15)</f>
        <v>n</v>
      </c>
      <c r="EQ15" t="str">
        <f>IF(master_raw!EQ15="","",master_raw!EQ15)</f>
        <v>A083-COG-X-BVM-Re05</v>
      </c>
      <c r="ER15" t="str">
        <f>IF(master_raw!ER15="","",master_raw!ER15)</f>
        <v>n</v>
      </c>
      <c r="ES15" t="str">
        <f>IF(master_raw!ES15="","",master_raw!ES15)</f>
        <v>A084-COG-X-BVM-Re05</v>
      </c>
      <c r="ET15" t="str">
        <f>IF(master_raw!ET15="","",master_raw!ET15)</f>
        <v>n</v>
      </c>
      <c r="EU15" t="str">
        <f>IF(master_raw!EU15="","",master_raw!EU15)</f>
        <v>A085-COG-X-BVM-Re05</v>
      </c>
      <c r="EV15" t="str">
        <f>IF(master_raw!EV15="","",master_raw!EV15)</f>
        <v>n</v>
      </c>
      <c r="EW15" t="str">
        <f>IF(master_raw!EW15="","",master_raw!EW15)</f>
        <v>A086-COG-X-BVM-Re05</v>
      </c>
      <c r="EX15" t="str">
        <f>IF(master_raw!EX15="","",master_raw!EX15)</f>
        <v>n</v>
      </c>
      <c r="EY15" t="str">
        <f>IF(master_raw!EY15="","",master_raw!EY15)</f>
        <v>A087-COG-X-BVM-Re05</v>
      </c>
      <c r="EZ15" t="str">
        <f>IF(master_raw!EZ15="","",master_raw!EZ15)</f>
        <v>n</v>
      </c>
      <c r="FA15" t="str">
        <f>IF(master_raw!FA15="","",master_raw!FA15)</f>
        <v>A088-COG-X-BVM-Re05</v>
      </c>
      <c r="FB15" t="str">
        <f>IF(master_raw!FB15="","",master_raw!FB15)</f>
        <v>n</v>
      </c>
      <c r="FC15" t="str">
        <f>IF(master_raw!FC15="","",master_raw!FC15)</f>
        <v>A089-COG-X-BVM-Re05</v>
      </c>
      <c r="FD15" t="str">
        <f>IF(master_raw!FD15="","",master_raw!FD15)</f>
        <v>n</v>
      </c>
      <c r="FE15" t="str">
        <f>IF(master_raw!FE15="","",master_raw!FE15)</f>
        <v>A090-COG-X-BVM-Re05</v>
      </c>
      <c r="FF15" t="str">
        <f>IF(master_raw!FF15="","",master_raw!FF15)</f>
        <v>n</v>
      </c>
      <c r="FG15" t="str">
        <f>IF(master_raw!FG15="","",master_raw!FG15)</f>
        <v>A091-COG-X-BVM-Re05</v>
      </c>
      <c r="FH15" t="str">
        <f>IF(master_raw!FH15="","",master_raw!FH15)</f>
        <v>n</v>
      </c>
      <c r="FI15" t="str">
        <f>IF(master_raw!FI15="","",master_raw!FI15)</f>
        <v>A092-COG-X-BVM-Re05</v>
      </c>
      <c r="FJ15" t="str">
        <f>IF(master_raw!FJ15="","",master_raw!FJ15)</f>
        <v>n</v>
      </c>
      <c r="FK15" t="str">
        <f>IF(master_raw!FK15="","",master_raw!FK15)</f>
        <v>A093-COG-X-BVM-Re05</v>
      </c>
      <c r="FL15" t="str">
        <f>IF(master_raw!FL15="","",master_raw!FL15)</f>
        <v>n</v>
      </c>
      <c r="FM15" t="str">
        <f>IF(master_raw!FM15="","",master_raw!FM15)</f>
        <v>A094-COG-X-BVM-Re05</v>
      </c>
      <c r="FN15" t="str">
        <f>IF(master_raw!FN15="","",master_raw!FN15)</f>
        <v>n</v>
      </c>
      <c r="FO15" t="str">
        <f>IF(master_raw!FO15="","",master_raw!FO15)</f>
        <v>A095-COG-X-BVM-Re05</v>
      </c>
      <c r="FP15" t="str">
        <f>IF(master_raw!FP15="","",master_raw!FP15)</f>
        <v>n</v>
      </c>
      <c r="FQ15" t="str">
        <f>IF(master_raw!FQ15="","",master_raw!FQ15)</f>
        <v>A096-COG-X-BVM-Re05</v>
      </c>
      <c r="FR15" t="str">
        <f>IF(master_raw!FR15="","",master_raw!FR15)</f>
        <v>n</v>
      </c>
      <c r="FS15" t="str">
        <f>IF(master_raw!FS15="","",master_raw!FS15)</f>
        <v>A097-COG-X-BVM-Re05</v>
      </c>
      <c r="FT15" t="str">
        <f>IF(master_raw!FT15="","",master_raw!FT15)</f>
        <v>n</v>
      </c>
      <c r="FU15" t="str">
        <f>IF(master_raw!FU15="","",master_raw!FU15)</f>
        <v>A098-COG-X-BVM-Re05</v>
      </c>
      <c r="FV15" t="str">
        <f>IF(master_raw!FV15="","",master_raw!FV15)</f>
        <v>n</v>
      </c>
      <c r="FW15" t="str">
        <f>IF(master_raw!FW15="","",master_raw!FW15)</f>
        <v>A099-COG-X-BVM-Re05</v>
      </c>
      <c r="FX15" t="str">
        <f>IF(master_raw!FX15="","",master_raw!FX15)</f>
        <v>n</v>
      </c>
      <c r="FY15" t="str">
        <f>IF(master_raw!FY15="","",master_raw!FY15)</f>
        <v>A100-COG-X-BVM-Re05</v>
      </c>
      <c r="FZ15" t="str">
        <f>IF(master_raw!FZ15="","",master_raw!FZ15)</f>
        <v>n</v>
      </c>
      <c r="GA15" t="str">
        <f>IF(master_raw!GA15="","",master_raw!GA15)</f>
        <v>A101-COG-X-BVM-Re05</v>
      </c>
      <c r="GB15" t="str">
        <f>IF(master_raw!GB15="","",master_raw!GB15)</f>
        <v>n</v>
      </c>
      <c r="GC15" t="str">
        <f>IF(master_raw!GC15="","",master_raw!GC15)</f>
        <v>A102-COG-X-BVM-Re05</v>
      </c>
      <c r="GD15" t="str">
        <f>IF(master_raw!GD15="","",master_raw!GD15)</f>
        <v>n</v>
      </c>
      <c r="GE15" t="str">
        <f>IF(master_raw!GE15="","",master_raw!GE15)</f>
        <v>A103-COG-X-BVM-Re05</v>
      </c>
      <c r="GF15" t="str">
        <f>IF(master_raw!GF15="","",master_raw!GF15)</f>
        <v>n</v>
      </c>
      <c r="GG15" t="str">
        <f>IF(master_raw!GG15="","",master_raw!GG15)</f>
        <v>A104-COG-X-BVM-Re05</v>
      </c>
      <c r="GH15" t="str">
        <f>IF(master_raw!GH15="","",master_raw!GH15)</f>
        <v>n</v>
      </c>
      <c r="GI15" t="str">
        <f>IF(master_raw!GI15="","",master_raw!GI15)</f>
        <v>A105-COG-X-BVM-Re05</v>
      </c>
      <c r="GJ15" t="str">
        <f>IF(master_raw!GJ15="","",master_raw!GJ15)</f>
        <v>n</v>
      </c>
      <c r="GK15" t="str">
        <f>IF(master_raw!GK15="","",master_raw!GK15)</f>
        <v>A106-COG-X-BVM-Re05</v>
      </c>
      <c r="GL15" t="str">
        <f>IF(master_raw!GL15="","",master_raw!GL15)</f>
        <v>n</v>
      </c>
      <c r="GM15" t="str">
        <f>IF(master_raw!GM15="","",master_raw!GM15)</f>
        <v>A107-COG-X-BVM-Re05</v>
      </c>
      <c r="GN15" t="str">
        <f>IF(master_raw!GN15="","",master_raw!GN15)</f>
        <v>n</v>
      </c>
      <c r="GO15" t="str">
        <f>IF(master_raw!GO15="","",master_raw!GO15)</f>
        <v>A108-COG-X-BVM-Re05</v>
      </c>
      <c r="GP15" t="str">
        <f>IF(master_raw!GP15="","",master_raw!GP15)</f>
        <v>n</v>
      </c>
      <c r="GQ15" t="str">
        <f>IF(master_raw!GQ15="","",master_raw!GQ15)</f>
        <v>A109-COG-X-BVM-Re05</v>
      </c>
      <c r="GR15" t="str">
        <f>IF(master_raw!GR15="","",master_raw!GR15)</f>
        <v>n</v>
      </c>
    </row>
    <row r="16" spans="1:200" x14ac:dyDescent="0.25">
      <c r="A16" t="str">
        <f>IF(master_raw!A16="","",master_raw!A16)</f>
        <v>A010-COG-X-BVM-Re06</v>
      </c>
      <c r="B16" t="str">
        <f>IF(master_raw!B16="","",master_raw!B16)</f>
        <v>y</v>
      </c>
      <c r="C16" t="str">
        <f>IF(master_raw!C16="","",master_raw!C16)</f>
        <v>A011-COG-X-BVM-Re06</v>
      </c>
      <c r="D16" t="str">
        <f>IF(master_raw!D16="","",master_raw!D16)</f>
        <v>y</v>
      </c>
      <c r="E16" t="str">
        <f>IF(master_raw!E16="","",master_raw!E16)</f>
        <v>A012-COG-X-BVM-Re06</v>
      </c>
      <c r="F16" t="str">
        <f>IF(master_raw!F16="","",master_raw!F16)</f>
        <v>y</v>
      </c>
      <c r="G16" t="str">
        <f>IF(master_raw!G16="","",master_raw!G16)</f>
        <v>A013-COG-X-BVM-Re06</v>
      </c>
      <c r="H16" t="str">
        <f>IF(master_raw!H16="","",master_raw!H16)</f>
        <v>y</v>
      </c>
      <c r="I16" t="str">
        <f>IF(master_raw!I16="","",master_raw!I16)</f>
        <v>A014-COG-X-BVM-Re06</v>
      </c>
      <c r="J16" t="str">
        <f>IF(master_raw!J16="","",master_raw!J16)</f>
        <v>y</v>
      </c>
      <c r="K16" t="str">
        <f>IF(master_raw!K16="","",master_raw!K16)</f>
        <v>A015-COG-X-BVM-Re06</v>
      </c>
      <c r="L16" t="str">
        <f>IF(master_raw!L16="","",master_raw!L16)</f>
        <v>y</v>
      </c>
      <c r="M16" t="str">
        <f>IF(master_raw!M16="","",master_raw!M16)</f>
        <v>A016-COG-X-BVM-Re06</v>
      </c>
      <c r="N16" t="str">
        <f>IF(master_raw!N16="","",master_raw!N16)</f>
        <v>y</v>
      </c>
      <c r="O16" t="str">
        <f>IF(master_raw!O16="","",master_raw!O16)</f>
        <v>A017-COG-X-BVM-Re06</v>
      </c>
      <c r="P16" t="str">
        <f>IF(master_raw!P16="","",master_raw!P16)</f>
        <v>y</v>
      </c>
      <c r="Q16" t="str">
        <f>IF(master_raw!Q16="","",master_raw!Q16)</f>
        <v>A018-COG-X-BVM-Re06</v>
      </c>
      <c r="R16" t="str">
        <f>IF(master_raw!R16="","",master_raw!R16)</f>
        <v>y</v>
      </c>
      <c r="S16" t="str">
        <f>IF(master_raw!S16="","",master_raw!S16)</f>
        <v>A019-COG-X-BVM-Re06</v>
      </c>
      <c r="T16" t="str">
        <f>IF(master_raw!T16="","",master_raw!T16)</f>
        <v>y</v>
      </c>
      <c r="U16" t="str">
        <f>IF(master_raw!U16="","",master_raw!U16)</f>
        <v>A020-COG-X-BVM-Re06</v>
      </c>
      <c r="V16" t="str">
        <f>IF(master_raw!V16="","",master_raw!V16)</f>
        <v>y</v>
      </c>
      <c r="W16" t="str">
        <f>IF(master_raw!W16="","",master_raw!W16)</f>
        <v>A021-COG-X-BVM-Re06</v>
      </c>
      <c r="X16" t="str">
        <f>IF(master_raw!X16="","",master_raw!X16)</f>
        <v>y</v>
      </c>
      <c r="Y16" t="str">
        <f>IF(master_raw!Y16="","",master_raw!Y16)</f>
        <v>A022-COG-X-BVM-Re06</v>
      </c>
      <c r="Z16" t="str">
        <f>IF(master_raw!Z16="","",master_raw!Z16)</f>
        <v>y</v>
      </c>
      <c r="AA16" t="str">
        <f>IF(master_raw!AA16="","",master_raw!AA16)</f>
        <v>A023-COG-X-BVM-Re06</v>
      </c>
      <c r="AB16" t="str">
        <f>IF(master_raw!AB16="","",master_raw!AB16)</f>
        <v>y</v>
      </c>
      <c r="AC16" t="str">
        <f>IF(master_raw!AC16="","",master_raw!AC16)</f>
        <v>A024-COG-X-BVM-Re06</v>
      </c>
      <c r="AD16" t="str">
        <f>IF(master_raw!AD16="","",master_raw!AD16)</f>
        <v>y</v>
      </c>
      <c r="AE16" t="str">
        <f>IF(master_raw!AE16="","",master_raw!AE16)</f>
        <v>A025-COG-X-BVM-Re06</v>
      </c>
      <c r="AF16" t="str">
        <f>IF(master_raw!AF16="","",master_raw!AF16)</f>
        <v>y</v>
      </c>
      <c r="AG16" t="str">
        <f>IF(master_raw!AG16="","",master_raw!AG16)</f>
        <v>A026-COG-X-BVM-Re06</v>
      </c>
      <c r="AH16" t="str">
        <f>IF(master_raw!AH16="","",master_raw!AH16)</f>
        <v>y</v>
      </c>
      <c r="AI16" t="str">
        <f>IF(master_raw!AI16="","",master_raw!AI16)</f>
        <v>A027-COG-X-BVM-Re06</v>
      </c>
      <c r="AJ16" t="str">
        <f>IF(master_raw!AJ16="","",master_raw!AJ16)</f>
        <v>y</v>
      </c>
      <c r="AK16" t="str">
        <f>IF(master_raw!AK16="","",master_raw!AK16)</f>
        <v>A028-COG-X-BVM-Re06</v>
      </c>
      <c r="AL16" t="str">
        <f>IF(master_raw!AL16="","",master_raw!AL16)</f>
        <v>y</v>
      </c>
      <c r="AM16" t="str">
        <f>IF(master_raw!AM16="","",master_raw!AM16)</f>
        <v>A029-COG-X-BVM-Re06</v>
      </c>
      <c r="AN16" t="str">
        <f>IF(master_raw!AN16="","",master_raw!AN16)</f>
        <v>y</v>
      </c>
      <c r="AO16" t="str">
        <f>IF(master_raw!AO16="","",master_raw!AO16)</f>
        <v>A030-COG-X-BVM-Re06</v>
      </c>
      <c r="AP16" t="str">
        <f>IF(master_raw!AP16="","",master_raw!AP16)</f>
        <v>y</v>
      </c>
      <c r="AQ16" t="str">
        <f>IF(master_raw!AQ16="","",master_raw!AQ16)</f>
        <v>A031-COG-X-BVM-Re06</v>
      </c>
      <c r="AR16" t="str">
        <f>IF(master_raw!AR16="","",master_raw!AR16)</f>
        <v>y</v>
      </c>
      <c r="AS16" t="str">
        <f>IF(master_raw!AS16="","",master_raw!AS16)</f>
        <v>A032-COG-X-BVM-Re06</v>
      </c>
      <c r="AT16" t="str">
        <f>IF(master_raw!AT16="","",master_raw!AT16)</f>
        <v>y</v>
      </c>
      <c r="AU16" t="str">
        <f>IF(master_raw!AU16="","",master_raw!AU16)</f>
        <v>A033-COG-X-BVM-Re06</v>
      </c>
      <c r="AV16" t="str">
        <f>IF(master_raw!AV16="","",master_raw!AV16)</f>
        <v>y</v>
      </c>
      <c r="AW16" t="str">
        <f>IF(master_raw!AW16="","",master_raw!AW16)</f>
        <v>A034-COG-X-BVM-Re06</v>
      </c>
      <c r="AX16" t="str">
        <f>IF(master_raw!AX16="","",master_raw!AX16)</f>
        <v>y</v>
      </c>
      <c r="AY16" t="str">
        <f>IF(master_raw!AY16="","",master_raw!AY16)</f>
        <v>A035-COG-X-BVM-Re06</v>
      </c>
      <c r="AZ16" t="str">
        <f>IF(master_raw!AZ16="","",master_raw!AZ16)</f>
        <v>y</v>
      </c>
      <c r="BA16" t="str">
        <f>IF(master_raw!BA16="","",master_raw!BA16)</f>
        <v>A036-COG-X-BVM-Re06</v>
      </c>
      <c r="BB16" t="str">
        <f>IF(master_raw!BB16="","",master_raw!BB16)</f>
        <v>y</v>
      </c>
      <c r="BC16" t="str">
        <f>IF(master_raw!BC16="","",master_raw!BC16)</f>
        <v>A037-COG-X-BVM-Re06</v>
      </c>
      <c r="BD16" t="str">
        <f>IF(master_raw!BD16="","",master_raw!BD16)</f>
        <v>y</v>
      </c>
      <c r="BE16" t="str">
        <f>IF(master_raw!BE16="","",master_raw!BE16)</f>
        <v>A038-COG-X-BVM-Re06</v>
      </c>
      <c r="BF16" t="str">
        <f>IF(master_raw!BF16="","",master_raw!BF16)</f>
        <v>y</v>
      </c>
      <c r="BG16" t="str">
        <f>IF(master_raw!BG16="","",master_raw!BG16)</f>
        <v>A039-COG-X-BVM-Re06</v>
      </c>
      <c r="BH16" t="str">
        <f>IF(master_raw!BH16="","",master_raw!BH16)</f>
        <v>y</v>
      </c>
      <c r="BI16" t="str">
        <f>IF(master_raw!BI16="","",master_raw!BI16)</f>
        <v>A040-COG-X-BVM-Re06</v>
      </c>
      <c r="BJ16" t="str">
        <f>IF(master_raw!BJ16="","",master_raw!BJ16)</f>
        <v>y</v>
      </c>
      <c r="BK16" t="str">
        <f>IF(master_raw!BK16="","",master_raw!BK16)</f>
        <v>A041-COG-X-BVM-Re06</v>
      </c>
      <c r="BL16" t="str">
        <f>IF(master_raw!BL16="","",master_raw!BL16)</f>
        <v>y</v>
      </c>
      <c r="BM16" t="str">
        <f>IF(master_raw!BM16="","",master_raw!BM16)</f>
        <v>A042-COG-X-BVM-Re06</v>
      </c>
      <c r="BN16" t="str">
        <f>IF(master_raw!BN16="","",master_raw!BN16)</f>
        <v>y</v>
      </c>
      <c r="BO16" t="str">
        <f>IF(master_raw!BO16="","",master_raw!BO16)</f>
        <v>A043-COG-X-BVM-Re06</v>
      </c>
      <c r="BP16" t="str">
        <f>IF(master_raw!BP16="","",master_raw!BP16)</f>
        <v>y</v>
      </c>
      <c r="BQ16" t="str">
        <f>IF(master_raw!BQ16="","",master_raw!BQ16)</f>
        <v>A044-COG-X-BVM-Re06</v>
      </c>
      <c r="BR16" t="str">
        <f>IF(master_raw!BR16="","",master_raw!BR16)</f>
        <v>y</v>
      </c>
      <c r="BS16" t="str">
        <f>IF(master_raw!BS16="","",master_raw!BS16)</f>
        <v>A045-COG-X-BVM-Re06</v>
      </c>
      <c r="BT16" t="str">
        <f>IF(master_raw!BT16="","",master_raw!BT16)</f>
        <v>y</v>
      </c>
      <c r="BU16" t="str">
        <f>IF(master_raw!BU16="","",master_raw!BU16)</f>
        <v>A046-COG-X-BVM-Re06</v>
      </c>
      <c r="BV16" t="str">
        <f>IF(master_raw!BV16="","",master_raw!BV16)</f>
        <v>y</v>
      </c>
      <c r="BW16" t="str">
        <f>IF(master_raw!BW16="","",master_raw!BW16)</f>
        <v>A047-COG-X-BVM-Re06</v>
      </c>
      <c r="BX16" t="str">
        <f>IF(master_raw!BX16="","",master_raw!BX16)</f>
        <v>y</v>
      </c>
      <c r="BY16" t="str">
        <f>IF(master_raw!BY16="","",master_raw!BY16)</f>
        <v>A048-COG-X-BVM-Re06</v>
      </c>
      <c r="BZ16" t="str">
        <f>IF(master_raw!BZ16="","",master_raw!BZ16)</f>
        <v>y</v>
      </c>
      <c r="CA16" t="str">
        <f>IF(master_raw!CA16="","",master_raw!CA16)</f>
        <v>A049-COG-X-BVM-Re06</v>
      </c>
      <c r="CB16" t="str">
        <f>IF(master_raw!CB16="","",master_raw!CB16)</f>
        <v>y</v>
      </c>
      <c r="CC16" t="str">
        <f>IF(master_raw!CC16="","",master_raw!CC16)</f>
        <v>A050-COG-X-BVM-Re06</v>
      </c>
      <c r="CD16" t="str">
        <f>IF(master_raw!CD16="","",master_raw!CD16)</f>
        <v>y</v>
      </c>
      <c r="CE16" t="str">
        <f>IF(master_raw!CE16="","",master_raw!CE16)</f>
        <v>A051-COG-X-BVM-Re06</v>
      </c>
      <c r="CF16" t="str">
        <f>IF(master_raw!CF16="","",master_raw!CF16)</f>
        <v>y</v>
      </c>
      <c r="CG16" t="str">
        <f>IF(master_raw!CG16="","",master_raw!CG16)</f>
        <v>A052-COG-X-BVM-Re06</v>
      </c>
      <c r="CH16" t="str">
        <f>IF(master_raw!CH16="","",master_raw!CH16)</f>
        <v>y</v>
      </c>
      <c r="CI16" t="str">
        <f>IF(master_raw!CI16="","",master_raw!CI16)</f>
        <v>A053-COG-X-BVM-Re06</v>
      </c>
      <c r="CJ16" t="str">
        <f>IF(master_raw!CJ16="","",master_raw!CJ16)</f>
        <v>y</v>
      </c>
      <c r="CK16" t="str">
        <f>IF(master_raw!CK16="","",master_raw!CK16)</f>
        <v>A054-COG-X-BVM-Re06</v>
      </c>
      <c r="CL16" t="str">
        <f>IF(master_raw!CL16="","",master_raw!CL16)</f>
        <v>y</v>
      </c>
      <c r="CM16" t="str">
        <f>IF(master_raw!CM16="","",master_raw!CM16)</f>
        <v>A055-COG-X-BVM-Re06</v>
      </c>
      <c r="CN16" t="str">
        <f>IF(master_raw!CN16="","",master_raw!CN16)</f>
        <v>y</v>
      </c>
      <c r="CO16" t="str">
        <f>IF(master_raw!CO16="","",master_raw!CO16)</f>
        <v>A056-COG-X-BVM-Re06</v>
      </c>
      <c r="CP16" t="str">
        <f>IF(master_raw!CP16="","",master_raw!CP16)</f>
        <v>y</v>
      </c>
      <c r="CQ16" t="str">
        <f>IF(master_raw!CQ16="","",master_raw!CQ16)</f>
        <v>A057-COG-X-BVM-Re06</v>
      </c>
      <c r="CR16" t="str">
        <f>IF(master_raw!CR16="","",master_raw!CR16)</f>
        <v>y</v>
      </c>
      <c r="CS16" t="str">
        <f>IF(master_raw!CS16="","",master_raw!CS16)</f>
        <v>A058-COG-X-BVM-Re06</v>
      </c>
      <c r="CT16" t="str">
        <f>IF(master_raw!CT16="","",master_raw!CT16)</f>
        <v>y</v>
      </c>
      <c r="CU16" t="str">
        <f>IF(master_raw!CU16="","",master_raw!CU16)</f>
        <v>A059-COG-X-BVM-Re06</v>
      </c>
      <c r="CV16" t="str">
        <f>IF(master_raw!CV16="","",master_raw!CV16)</f>
        <v>y</v>
      </c>
      <c r="CW16" t="str">
        <f>IF(master_raw!CW16="","",master_raw!CW16)</f>
        <v>A060-COG-X-BVM-Re06</v>
      </c>
      <c r="CX16" t="str">
        <f>IF(master_raw!CX16="","",master_raw!CX16)</f>
        <v>y</v>
      </c>
      <c r="CY16" t="str">
        <f>IF(master_raw!CY16="","",master_raw!CY16)</f>
        <v>A061-COG-X-BVM-Re06</v>
      </c>
      <c r="CZ16" t="str">
        <f>IF(master_raw!CZ16="","",master_raw!CZ16)</f>
        <v>y</v>
      </c>
      <c r="DA16" t="str">
        <f>IF(master_raw!DA16="","",master_raw!DA16)</f>
        <v>A062-COG-X-BVM-Re06</v>
      </c>
      <c r="DB16" t="str">
        <f>IF(master_raw!DB16="","",master_raw!DB16)</f>
        <v>y</v>
      </c>
      <c r="DC16" t="str">
        <f>IF(master_raw!DC16="","",master_raw!DC16)</f>
        <v>A063-COG-X-BVM-Re06</v>
      </c>
      <c r="DD16" t="str">
        <f>IF(master_raw!DD16="","",master_raw!DD16)</f>
        <v>y</v>
      </c>
      <c r="DE16" t="str">
        <f>IF(master_raw!DE16="","",master_raw!DE16)</f>
        <v>A064-COG-X-BVM-Re06</v>
      </c>
      <c r="DF16" t="str">
        <f>IF(master_raw!DF16="","",master_raw!DF16)</f>
        <v>y</v>
      </c>
      <c r="DG16" t="str">
        <f>IF(master_raw!DG16="","",master_raw!DG16)</f>
        <v>A065-COG-X-BVM-Re06</v>
      </c>
      <c r="DH16" t="str">
        <f>IF(master_raw!DH16="","",master_raw!DH16)</f>
        <v>y</v>
      </c>
      <c r="DI16" t="str">
        <f>IF(master_raw!DI16="","",master_raw!DI16)</f>
        <v>A066-COG-X-BVM-Re06</v>
      </c>
      <c r="DJ16" t="str">
        <f>IF(master_raw!DJ16="","",master_raw!DJ16)</f>
        <v>y</v>
      </c>
      <c r="DK16" t="str">
        <f>IF(master_raw!DK16="","",master_raw!DK16)</f>
        <v>A067-COG-X-BVM-Re06</v>
      </c>
      <c r="DL16" t="str">
        <f>IF(master_raw!DL16="","",master_raw!DL16)</f>
        <v>y</v>
      </c>
      <c r="DM16" t="str">
        <f>IF(master_raw!DM16="","",master_raw!DM16)</f>
        <v>A068-COG-X-BVM-Re06</v>
      </c>
      <c r="DN16" t="str">
        <f>IF(master_raw!DN16="","",master_raw!DN16)</f>
        <v>y</v>
      </c>
      <c r="DO16" t="str">
        <f>IF(master_raw!DO16="","",master_raw!DO16)</f>
        <v>A069-COG-X-BVM-Re06</v>
      </c>
      <c r="DP16" t="str">
        <f>IF(master_raw!DP16="","",master_raw!DP16)</f>
        <v>y</v>
      </c>
      <c r="DQ16" t="str">
        <f>IF(master_raw!DQ16="","",master_raw!DQ16)</f>
        <v>A070-COG-X-BVM-Re06</v>
      </c>
      <c r="DR16" t="str">
        <f>IF(master_raw!DR16="","",master_raw!DR16)</f>
        <v>y</v>
      </c>
      <c r="DS16" t="str">
        <f>IF(master_raw!DS16="","",master_raw!DS16)</f>
        <v>A071-COG-X-BVM-Re06</v>
      </c>
      <c r="DT16" t="str">
        <f>IF(master_raw!DT16="","",master_raw!DT16)</f>
        <v>y</v>
      </c>
      <c r="DU16" t="str">
        <f>IF(master_raw!DU16="","",master_raw!DU16)</f>
        <v>A072-COG-X-BVM-Re06</v>
      </c>
      <c r="DV16" t="str">
        <f>IF(master_raw!DV16="","",master_raw!DV16)</f>
        <v>y</v>
      </c>
      <c r="DW16" t="str">
        <f>IF(master_raw!DW16="","",master_raw!DW16)</f>
        <v>A073-COG-X-BVM-Re06</v>
      </c>
      <c r="DX16" t="str">
        <f>IF(master_raw!DX16="","",master_raw!DX16)</f>
        <v>y</v>
      </c>
      <c r="DY16" t="str">
        <f>IF(master_raw!DY16="","",master_raw!DY16)</f>
        <v>A074-COG-X-BVM-Re06</v>
      </c>
      <c r="DZ16" t="str">
        <f>IF(master_raw!DZ16="","",master_raw!DZ16)</f>
        <v>y</v>
      </c>
      <c r="EA16" t="str">
        <f>IF(master_raw!EA16="","",master_raw!EA16)</f>
        <v>A075-COG-X-BVM-Re06</v>
      </c>
      <c r="EB16" t="str">
        <f>IF(master_raw!EB16="","",master_raw!EB16)</f>
        <v>y</v>
      </c>
      <c r="EC16" t="str">
        <f>IF(master_raw!EC16="","",master_raw!EC16)</f>
        <v>A076-COG-X-BVM-Re06</v>
      </c>
      <c r="ED16" t="str">
        <f>IF(master_raw!ED16="","",master_raw!ED16)</f>
        <v>y</v>
      </c>
      <c r="EE16" t="str">
        <f>IF(master_raw!EE16="","",master_raw!EE16)</f>
        <v>A077-COG-X-BVM-Re06</v>
      </c>
      <c r="EF16" t="str">
        <f>IF(master_raw!EF16="","",master_raw!EF16)</f>
        <v>y</v>
      </c>
      <c r="EG16" t="str">
        <f>IF(master_raw!EG16="","",master_raw!EG16)</f>
        <v>A078-COG-X-BVM-Re06</v>
      </c>
      <c r="EH16" t="str">
        <f>IF(master_raw!EH16="","",master_raw!EH16)</f>
        <v>y</v>
      </c>
      <c r="EI16" t="str">
        <f>IF(master_raw!EI16="","",master_raw!EI16)</f>
        <v>A079-COG-X-BVM-Re06</v>
      </c>
      <c r="EJ16" t="str">
        <f>IF(master_raw!EJ16="","",master_raw!EJ16)</f>
        <v>y</v>
      </c>
      <c r="EK16" t="str">
        <f>IF(master_raw!EK16="","",master_raw!EK16)</f>
        <v>A080-COG-X-BVM-Re06</v>
      </c>
      <c r="EL16" t="str">
        <f>IF(master_raw!EL16="","",master_raw!EL16)</f>
        <v>y</v>
      </c>
      <c r="EM16" t="str">
        <f>IF(master_raw!EM16="","",master_raw!EM16)</f>
        <v>A081-COG-X-BVM-Re06</v>
      </c>
      <c r="EN16" t="str">
        <f>IF(master_raw!EN16="","",master_raw!EN16)</f>
        <v>y</v>
      </c>
      <c r="EO16" t="str">
        <f>IF(master_raw!EO16="","",master_raw!EO16)</f>
        <v>A082-COG-X-BVM-Re06</v>
      </c>
      <c r="EP16" t="str">
        <f>IF(master_raw!EP16="","",master_raw!EP16)</f>
        <v>y</v>
      </c>
      <c r="EQ16" t="str">
        <f>IF(master_raw!EQ16="","",master_raw!EQ16)</f>
        <v>A083-COG-X-BVM-Re06</v>
      </c>
      <c r="ER16" t="str">
        <f>IF(master_raw!ER16="","",master_raw!ER16)</f>
        <v>y</v>
      </c>
      <c r="ES16" t="str">
        <f>IF(master_raw!ES16="","",master_raw!ES16)</f>
        <v>A084-COG-X-BVM-Re06</v>
      </c>
      <c r="ET16" t="str">
        <f>IF(master_raw!ET16="","",master_raw!ET16)</f>
        <v>y</v>
      </c>
      <c r="EU16" t="str">
        <f>IF(master_raw!EU16="","",master_raw!EU16)</f>
        <v>A085-COG-X-BVM-Re06</v>
      </c>
      <c r="EV16" t="str">
        <f>IF(master_raw!EV16="","",master_raw!EV16)</f>
        <v>y</v>
      </c>
      <c r="EW16" t="str">
        <f>IF(master_raw!EW16="","",master_raw!EW16)</f>
        <v>A086-COG-X-BVM-Re06</v>
      </c>
      <c r="EX16" t="str">
        <f>IF(master_raw!EX16="","",master_raw!EX16)</f>
        <v>y</v>
      </c>
      <c r="EY16" t="str">
        <f>IF(master_raw!EY16="","",master_raw!EY16)</f>
        <v>A087-COG-X-BVM-Re06</v>
      </c>
      <c r="EZ16" t="str">
        <f>IF(master_raw!EZ16="","",master_raw!EZ16)</f>
        <v>y</v>
      </c>
      <c r="FA16" t="str">
        <f>IF(master_raw!FA16="","",master_raw!FA16)</f>
        <v>A088-COG-X-BVM-Re06</v>
      </c>
      <c r="FB16" t="str">
        <f>IF(master_raw!FB16="","",master_raw!FB16)</f>
        <v>y</v>
      </c>
      <c r="FC16" t="str">
        <f>IF(master_raw!FC16="","",master_raw!FC16)</f>
        <v>A089-COG-X-BVM-Re06</v>
      </c>
      <c r="FD16" t="str">
        <f>IF(master_raw!FD16="","",master_raw!FD16)</f>
        <v>y</v>
      </c>
      <c r="FE16" t="str">
        <f>IF(master_raw!FE16="","",master_raw!FE16)</f>
        <v>A090-COG-X-BVM-Re06</v>
      </c>
      <c r="FF16" t="str">
        <f>IF(master_raw!FF16="","",master_raw!FF16)</f>
        <v>y</v>
      </c>
      <c r="FG16" t="str">
        <f>IF(master_raw!FG16="","",master_raw!FG16)</f>
        <v>A091-COG-X-BVM-Re06</v>
      </c>
      <c r="FH16" t="str">
        <f>IF(master_raw!FH16="","",master_raw!FH16)</f>
        <v>y</v>
      </c>
      <c r="FI16" t="str">
        <f>IF(master_raw!FI16="","",master_raw!FI16)</f>
        <v>A092-COG-X-BVM-Re06</v>
      </c>
      <c r="FJ16" t="str">
        <f>IF(master_raw!FJ16="","",master_raw!FJ16)</f>
        <v>y</v>
      </c>
      <c r="FK16" t="str">
        <f>IF(master_raw!FK16="","",master_raw!FK16)</f>
        <v>A093-COG-X-BVM-Re06</v>
      </c>
      <c r="FL16" t="str">
        <f>IF(master_raw!FL16="","",master_raw!FL16)</f>
        <v>y</v>
      </c>
      <c r="FM16" t="str">
        <f>IF(master_raw!FM16="","",master_raw!FM16)</f>
        <v>A094-COG-X-BVM-Re06</v>
      </c>
      <c r="FN16" t="str">
        <f>IF(master_raw!FN16="","",master_raw!FN16)</f>
        <v>y</v>
      </c>
      <c r="FO16" t="str">
        <f>IF(master_raw!FO16="","",master_raw!FO16)</f>
        <v>A095-COG-X-BVM-Re06</v>
      </c>
      <c r="FP16" t="str">
        <f>IF(master_raw!FP16="","",master_raw!FP16)</f>
        <v>y</v>
      </c>
      <c r="FQ16" t="str">
        <f>IF(master_raw!FQ16="","",master_raw!FQ16)</f>
        <v>A096-COG-X-BVM-Re06</v>
      </c>
      <c r="FR16" t="str">
        <f>IF(master_raw!FR16="","",master_raw!FR16)</f>
        <v>y</v>
      </c>
      <c r="FS16" t="str">
        <f>IF(master_raw!FS16="","",master_raw!FS16)</f>
        <v>A097-COG-X-BVM-Re06</v>
      </c>
      <c r="FT16" t="str">
        <f>IF(master_raw!FT16="","",master_raw!FT16)</f>
        <v>y</v>
      </c>
      <c r="FU16" t="str">
        <f>IF(master_raw!FU16="","",master_raw!FU16)</f>
        <v>A098-COG-X-BVM-Re06</v>
      </c>
      <c r="FV16" t="str">
        <f>IF(master_raw!FV16="","",master_raw!FV16)</f>
        <v>y</v>
      </c>
      <c r="FW16" t="str">
        <f>IF(master_raw!FW16="","",master_raw!FW16)</f>
        <v>A099-COG-X-BVM-Re06</v>
      </c>
      <c r="FX16" t="str">
        <f>IF(master_raw!FX16="","",master_raw!FX16)</f>
        <v>y</v>
      </c>
      <c r="FY16" t="str">
        <f>IF(master_raw!FY16="","",master_raw!FY16)</f>
        <v>A100-COG-X-BVM-Re06</v>
      </c>
      <c r="FZ16" t="str">
        <f>IF(master_raw!FZ16="","",master_raw!FZ16)</f>
        <v>y</v>
      </c>
      <c r="GA16" t="str">
        <f>IF(master_raw!GA16="","",master_raw!GA16)</f>
        <v>A101-COG-X-BVM-Re06</v>
      </c>
      <c r="GB16" t="str">
        <f>IF(master_raw!GB16="","",master_raw!GB16)</f>
        <v>n</v>
      </c>
      <c r="GC16" t="str">
        <f>IF(master_raw!GC16="","",master_raw!GC16)</f>
        <v>A102-COG-X-BVM-Re06</v>
      </c>
      <c r="GD16" t="str">
        <f>IF(master_raw!GD16="","",master_raw!GD16)</f>
        <v>y</v>
      </c>
      <c r="GE16" t="str">
        <f>IF(master_raw!GE16="","",master_raw!GE16)</f>
        <v>A103-COG-X-BVM-Re06</v>
      </c>
      <c r="GF16" t="str">
        <f>IF(master_raw!GF16="","",master_raw!GF16)</f>
        <v>y</v>
      </c>
      <c r="GG16" t="str">
        <f>IF(master_raw!GG16="","",master_raw!GG16)</f>
        <v>A104-COG-X-BVM-Re06</v>
      </c>
      <c r="GH16" t="str">
        <f>IF(master_raw!GH16="","",master_raw!GH16)</f>
        <v>y</v>
      </c>
      <c r="GI16" t="str">
        <f>IF(master_raw!GI16="","",master_raw!GI16)</f>
        <v>A105-COG-X-BVM-Re06</v>
      </c>
      <c r="GJ16" t="str">
        <f>IF(master_raw!GJ16="","",master_raw!GJ16)</f>
        <v>y</v>
      </c>
      <c r="GK16" t="str">
        <f>IF(master_raw!GK16="","",master_raw!GK16)</f>
        <v>A106-COG-X-BVM-Re06</v>
      </c>
      <c r="GL16" t="str">
        <f>IF(master_raw!GL16="","",master_raw!GL16)</f>
        <v>y</v>
      </c>
      <c r="GM16" t="str">
        <f>IF(master_raw!GM16="","",master_raw!GM16)</f>
        <v>A107-COG-X-BVM-Re06</v>
      </c>
      <c r="GN16" t="str">
        <f>IF(master_raw!GN16="","",master_raw!GN16)</f>
        <v>y</v>
      </c>
      <c r="GO16" t="str">
        <f>IF(master_raw!GO16="","",master_raw!GO16)</f>
        <v>A108-COG-X-BVM-Re06</v>
      </c>
      <c r="GP16" t="str">
        <f>IF(master_raw!GP16="","",master_raw!GP16)</f>
        <v>y</v>
      </c>
      <c r="GQ16" t="str">
        <f>IF(master_raw!GQ16="","",master_raw!GQ16)</f>
        <v>A109-COG-X-BVM-Re06</v>
      </c>
      <c r="GR16" t="str">
        <f>IF(master_raw!GR16="","",master_raw!GR16)</f>
        <v>y</v>
      </c>
    </row>
    <row r="17" spans="1:256" x14ac:dyDescent="0.25">
      <c r="A17" t="str">
        <f>IF(master_raw!A17="","",master_raw!A17)</f>
        <v>A010-COG-X-BVM-Re07</v>
      </c>
      <c r="B17" t="str">
        <f>IF(master_raw!B17="","",master_raw!B17)</f>
        <v>y</v>
      </c>
      <c r="C17" t="str">
        <f>IF(master_raw!C17="","",master_raw!C17)</f>
        <v>A011-COG-X-BVM-Re07</v>
      </c>
      <c r="D17" t="str">
        <f>IF(master_raw!D17="","",master_raw!D17)</f>
        <v>y</v>
      </c>
      <c r="E17" t="str">
        <f>IF(master_raw!E17="","",master_raw!E17)</f>
        <v>A012-COG-X-BVM-Re07</v>
      </c>
      <c r="F17" t="str">
        <f>IF(master_raw!F17="","",master_raw!F17)</f>
        <v>y</v>
      </c>
      <c r="G17" t="str">
        <f>IF(master_raw!G17="","",master_raw!G17)</f>
        <v>A013-COG-X-BVM-Re07</v>
      </c>
      <c r="H17" t="str">
        <f>IF(master_raw!H17="","",master_raw!H17)</f>
        <v>y</v>
      </c>
      <c r="I17" t="str">
        <f>IF(master_raw!I17="","",master_raw!I17)</f>
        <v>A014-COG-X-BVM-Re07</v>
      </c>
      <c r="J17" t="str">
        <f>IF(master_raw!J17="","",master_raw!J17)</f>
        <v>y</v>
      </c>
      <c r="K17" t="str">
        <f>IF(master_raw!K17="","",master_raw!K17)</f>
        <v>A015-COG-X-BVM-Re07</v>
      </c>
      <c r="L17" t="str">
        <f>IF(master_raw!L17="","",master_raw!L17)</f>
        <v>y</v>
      </c>
      <c r="M17" t="str">
        <f>IF(master_raw!M17="","",master_raw!M17)</f>
        <v>A016-COG-X-BVM-Re07</v>
      </c>
      <c r="N17" t="str">
        <f>IF(master_raw!N17="","",master_raw!N17)</f>
        <v>y</v>
      </c>
      <c r="O17" t="str">
        <f>IF(master_raw!O17="","",master_raw!O17)</f>
        <v>A017-COG-X-BVM-Re07</v>
      </c>
      <c r="P17" t="str">
        <f>IF(master_raw!P17="","",master_raw!P17)</f>
        <v>y</v>
      </c>
      <c r="Q17" t="str">
        <f>IF(master_raw!Q17="","",master_raw!Q17)</f>
        <v>A018-COG-X-BVM-Re07</v>
      </c>
      <c r="R17" t="str">
        <f>IF(master_raw!R17="","",master_raw!R17)</f>
        <v>y</v>
      </c>
      <c r="S17" t="str">
        <f>IF(master_raw!S17="","",master_raw!S17)</f>
        <v>A019-COG-X-BVM-Re07</v>
      </c>
      <c r="T17" t="str">
        <f>IF(master_raw!T17="","",master_raw!T17)</f>
        <v>y</v>
      </c>
      <c r="U17" t="str">
        <f>IF(master_raw!U17="","",master_raw!U17)</f>
        <v>A020-COG-X-BVM-Re07</v>
      </c>
      <c r="V17" t="str">
        <f>IF(master_raw!V17="","",master_raw!V17)</f>
        <v>y</v>
      </c>
      <c r="W17" t="str">
        <f>IF(master_raw!W17="","",master_raw!W17)</f>
        <v>A021-COG-X-BVM-Re07</v>
      </c>
      <c r="X17" t="str">
        <f>IF(master_raw!X17="","",master_raw!X17)</f>
        <v>y</v>
      </c>
      <c r="Y17" t="str">
        <f>IF(master_raw!Y17="","",master_raw!Y17)</f>
        <v>A022-COG-X-BVM-Re07</v>
      </c>
      <c r="Z17" t="str">
        <f>IF(master_raw!Z17="","",master_raw!Z17)</f>
        <v>y</v>
      </c>
      <c r="AA17" t="str">
        <f>IF(master_raw!AA17="","",master_raw!AA17)</f>
        <v>A023-COG-X-BVM-Re07</v>
      </c>
      <c r="AB17" t="str">
        <f>IF(master_raw!AB17="","",master_raw!AB17)</f>
        <v>y</v>
      </c>
      <c r="AC17" t="str">
        <f>IF(master_raw!AC17="","",master_raw!AC17)</f>
        <v>A024-COG-X-BVM-Re07</v>
      </c>
      <c r="AD17" t="str">
        <f>IF(master_raw!AD17="","",master_raw!AD17)</f>
        <v>n</v>
      </c>
      <c r="AE17" t="str">
        <f>IF(master_raw!AE17="","",master_raw!AE17)</f>
        <v>A025-COG-X-BVM-Re07</v>
      </c>
      <c r="AF17" t="str">
        <f>IF(master_raw!AF17="","",master_raw!AF17)</f>
        <v>y</v>
      </c>
      <c r="AG17" t="str">
        <f>IF(master_raw!AG17="","",master_raw!AG17)</f>
        <v>A026-COG-X-BVM-Re07</v>
      </c>
      <c r="AH17" t="str">
        <f>IF(master_raw!AH17="","",master_raw!AH17)</f>
        <v>y</v>
      </c>
      <c r="AI17" t="str">
        <f>IF(master_raw!AI17="","",master_raw!AI17)</f>
        <v>A027-COG-X-BVM-Re07</v>
      </c>
      <c r="AJ17" t="str">
        <f>IF(master_raw!AJ17="","",master_raw!AJ17)</f>
        <v>y</v>
      </c>
      <c r="AK17" t="str">
        <f>IF(master_raw!AK17="","",master_raw!AK17)</f>
        <v>A028-COG-X-BVM-Re07</v>
      </c>
      <c r="AL17" t="str">
        <f>IF(master_raw!AL17="","",master_raw!AL17)</f>
        <v>y</v>
      </c>
      <c r="AM17" t="str">
        <f>IF(master_raw!AM17="","",master_raw!AM17)</f>
        <v>A029-COG-X-BVM-Re07</v>
      </c>
      <c r="AN17" t="str">
        <f>IF(master_raw!AN17="","",master_raw!AN17)</f>
        <v>y</v>
      </c>
      <c r="AO17" t="str">
        <f>IF(master_raw!AO17="","",master_raw!AO17)</f>
        <v>A030-COG-X-BVM-Re07</v>
      </c>
      <c r="AP17" t="str">
        <f>IF(master_raw!AP17="","",master_raw!AP17)</f>
        <v>y</v>
      </c>
      <c r="AQ17" t="str">
        <f>IF(master_raw!AQ17="","",master_raw!AQ17)</f>
        <v>A031-COG-X-BVM-Re07</v>
      </c>
      <c r="AR17" t="str">
        <f>IF(master_raw!AR17="","",master_raw!AR17)</f>
        <v>y</v>
      </c>
      <c r="AS17" t="str">
        <f>IF(master_raw!AS17="","",master_raw!AS17)</f>
        <v>A032-COG-X-BVM-Re07</v>
      </c>
      <c r="AT17" t="str">
        <f>IF(master_raw!AT17="","",master_raw!AT17)</f>
        <v>y</v>
      </c>
      <c r="AU17" t="str">
        <f>IF(master_raw!AU17="","",master_raw!AU17)</f>
        <v>A033-COG-X-BVM-Re07</v>
      </c>
      <c r="AV17" t="str">
        <f>IF(master_raw!AV17="","",master_raw!AV17)</f>
        <v>y</v>
      </c>
      <c r="AW17" t="str">
        <f>IF(master_raw!AW17="","",master_raw!AW17)</f>
        <v>A034-COG-X-BVM-Re07</v>
      </c>
      <c r="AX17" t="str">
        <f>IF(master_raw!AX17="","",master_raw!AX17)</f>
        <v>y</v>
      </c>
      <c r="AY17" t="str">
        <f>IF(master_raw!AY17="","",master_raw!AY17)</f>
        <v>A035-COG-X-BVM-Re07</v>
      </c>
      <c r="AZ17" t="str">
        <f>IF(master_raw!AZ17="","",master_raw!AZ17)</f>
        <v>y</v>
      </c>
      <c r="BA17" t="str">
        <f>IF(master_raw!BA17="","",master_raw!BA17)</f>
        <v>A036-COG-X-BVM-Re07</v>
      </c>
      <c r="BB17" t="str">
        <f>IF(master_raw!BB17="","",master_raw!BB17)</f>
        <v>y</v>
      </c>
      <c r="BC17" t="str">
        <f>IF(master_raw!BC17="","",master_raw!BC17)</f>
        <v>A037-COG-X-BVM-Re07</v>
      </c>
      <c r="BD17" t="str">
        <f>IF(master_raw!BD17="","",master_raw!BD17)</f>
        <v>y</v>
      </c>
      <c r="BE17" t="str">
        <f>IF(master_raw!BE17="","",master_raw!BE17)</f>
        <v>A038-COG-X-BVM-Re07</v>
      </c>
      <c r="BF17" t="str">
        <f>IF(master_raw!BF17="","",master_raw!BF17)</f>
        <v>y</v>
      </c>
      <c r="BG17" t="str">
        <f>IF(master_raw!BG17="","",master_raw!BG17)</f>
        <v>A039-COG-X-BVM-Re07</v>
      </c>
      <c r="BH17" t="str">
        <f>IF(master_raw!BH17="","",master_raw!BH17)</f>
        <v>y</v>
      </c>
      <c r="BI17" t="str">
        <f>IF(master_raw!BI17="","",master_raw!BI17)</f>
        <v>A040-COG-X-BVM-Re07</v>
      </c>
      <c r="BJ17" t="str">
        <f>IF(master_raw!BJ17="","",master_raw!BJ17)</f>
        <v>y</v>
      </c>
      <c r="BK17" t="str">
        <f>IF(master_raw!BK17="","",master_raw!BK17)</f>
        <v>A041-COG-X-BVM-Re07</v>
      </c>
      <c r="BL17" t="str">
        <f>IF(master_raw!BL17="","",master_raw!BL17)</f>
        <v>y</v>
      </c>
      <c r="BM17" t="str">
        <f>IF(master_raw!BM17="","",master_raw!BM17)</f>
        <v>A042-COG-X-BVM-Re07</v>
      </c>
      <c r="BN17" t="str">
        <f>IF(master_raw!BN17="","",master_raw!BN17)</f>
        <v>y</v>
      </c>
      <c r="BO17" t="str">
        <f>IF(master_raw!BO17="","",master_raw!BO17)</f>
        <v>A043-COG-X-BVM-Re07</v>
      </c>
      <c r="BP17" t="str">
        <f>IF(master_raw!BP17="","",master_raw!BP17)</f>
        <v>y</v>
      </c>
      <c r="BQ17" t="str">
        <f>IF(master_raw!BQ17="","",master_raw!BQ17)</f>
        <v>A044-COG-X-BVM-Re07</v>
      </c>
      <c r="BR17" t="str">
        <f>IF(master_raw!BR17="","",master_raw!BR17)</f>
        <v>y</v>
      </c>
      <c r="BS17" t="str">
        <f>IF(master_raw!BS17="","",master_raw!BS17)</f>
        <v>A045-COG-X-BVM-Re07</v>
      </c>
      <c r="BT17" t="str">
        <f>IF(master_raw!BT17="","",master_raw!BT17)</f>
        <v>y</v>
      </c>
      <c r="BU17" t="str">
        <f>IF(master_raw!BU17="","",master_raw!BU17)</f>
        <v>A046-COG-X-BVM-Re07</v>
      </c>
      <c r="BV17" t="str">
        <f>IF(master_raw!BV17="","",master_raw!BV17)</f>
        <v>y</v>
      </c>
      <c r="BW17" t="str">
        <f>IF(master_raw!BW17="","",master_raw!BW17)</f>
        <v>A047-COG-X-BVM-Re07</v>
      </c>
      <c r="BX17" t="str">
        <f>IF(master_raw!BX17="","",master_raw!BX17)</f>
        <v>y</v>
      </c>
      <c r="BY17" t="str">
        <f>IF(master_raw!BY17="","",master_raw!BY17)</f>
        <v>A048-COG-X-BVM-Re07</v>
      </c>
      <c r="BZ17" t="str">
        <f>IF(master_raw!BZ17="","",master_raw!BZ17)</f>
        <v>y</v>
      </c>
      <c r="CA17" t="str">
        <f>IF(master_raw!CA17="","",master_raw!CA17)</f>
        <v>A049-COG-X-BVM-Re07</v>
      </c>
      <c r="CB17" t="str">
        <f>IF(master_raw!CB17="","",master_raw!CB17)</f>
        <v>y</v>
      </c>
      <c r="CC17" t="str">
        <f>IF(master_raw!CC17="","",master_raw!CC17)</f>
        <v>A050-COG-X-BVM-Re07</v>
      </c>
      <c r="CD17" t="str">
        <f>IF(master_raw!CD17="","",master_raw!CD17)</f>
        <v>y</v>
      </c>
      <c r="CE17" t="str">
        <f>IF(master_raw!CE17="","",master_raw!CE17)</f>
        <v>A051-COG-X-BVM-Re07</v>
      </c>
      <c r="CF17" t="str">
        <f>IF(master_raw!CF17="","",master_raw!CF17)</f>
        <v>y</v>
      </c>
      <c r="CG17" t="str">
        <f>IF(master_raw!CG17="","",master_raw!CG17)</f>
        <v>A052-COG-X-BVM-Re07</v>
      </c>
      <c r="CH17" t="str">
        <f>IF(master_raw!CH17="","",master_raw!CH17)</f>
        <v>y</v>
      </c>
      <c r="CI17" t="str">
        <f>IF(master_raw!CI17="","",master_raw!CI17)</f>
        <v>A053-COG-X-BVM-Re07</v>
      </c>
      <c r="CJ17" t="str">
        <f>IF(master_raw!CJ17="","",master_raw!CJ17)</f>
        <v>y</v>
      </c>
      <c r="CK17" t="str">
        <f>IF(master_raw!CK17="","",master_raw!CK17)</f>
        <v>A054-COG-X-BVM-Re07</v>
      </c>
      <c r="CL17" t="str">
        <f>IF(master_raw!CL17="","",master_raw!CL17)</f>
        <v>y</v>
      </c>
      <c r="CM17" t="str">
        <f>IF(master_raw!CM17="","",master_raw!CM17)</f>
        <v>A055-COG-X-BVM-Re07</v>
      </c>
      <c r="CN17" t="str">
        <f>IF(master_raw!CN17="","",master_raw!CN17)</f>
        <v>y</v>
      </c>
      <c r="CO17" t="str">
        <f>IF(master_raw!CO17="","",master_raw!CO17)</f>
        <v>A056-COG-X-BVM-Re07</v>
      </c>
      <c r="CP17" t="str">
        <f>IF(master_raw!CP17="","",master_raw!CP17)</f>
        <v>y</v>
      </c>
      <c r="CQ17" t="str">
        <f>IF(master_raw!CQ17="","",master_raw!CQ17)</f>
        <v>A057-COG-X-BVM-Re07</v>
      </c>
      <c r="CR17" t="str">
        <f>IF(master_raw!CR17="","",master_raw!CR17)</f>
        <v>y</v>
      </c>
      <c r="CS17" t="str">
        <f>IF(master_raw!CS17="","",master_raw!CS17)</f>
        <v>A058-COG-X-BVM-Re07</v>
      </c>
      <c r="CT17" t="str">
        <f>IF(master_raw!CT17="","",master_raw!CT17)</f>
        <v>y</v>
      </c>
      <c r="CU17" t="str">
        <f>IF(master_raw!CU17="","",master_raw!CU17)</f>
        <v>A059-COG-X-BVM-Re07</v>
      </c>
      <c r="CV17" t="str">
        <f>IF(master_raw!CV17="","",master_raw!CV17)</f>
        <v>y</v>
      </c>
      <c r="CW17" t="str">
        <f>IF(master_raw!CW17="","",master_raw!CW17)</f>
        <v>A060-COG-X-BVM-Re07</v>
      </c>
      <c r="CX17" t="str">
        <f>IF(master_raw!CX17="","",master_raw!CX17)</f>
        <v>y</v>
      </c>
      <c r="CY17" t="str">
        <f>IF(master_raw!CY17="","",master_raw!CY17)</f>
        <v>A061-COG-X-BVM-Re07</v>
      </c>
      <c r="CZ17" t="str">
        <f>IF(master_raw!CZ17="","",master_raw!CZ17)</f>
        <v>y</v>
      </c>
      <c r="DA17" t="str">
        <f>IF(master_raw!DA17="","",master_raw!DA17)</f>
        <v>A062-COG-X-BVM-Re07</v>
      </c>
      <c r="DB17" t="str">
        <f>IF(master_raw!DB17="","",master_raw!DB17)</f>
        <v>y</v>
      </c>
      <c r="DC17" t="str">
        <f>IF(master_raw!DC17="","",master_raw!DC17)</f>
        <v>A063-COG-X-BVM-Re07</v>
      </c>
      <c r="DD17" t="str">
        <f>IF(master_raw!DD17="","",master_raw!DD17)</f>
        <v>y</v>
      </c>
      <c r="DE17" t="str">
        <f>IF(master_raw!DE17="","",master_raw!DE17)</f>
        <v>A064-COG-X-BVM-Re07</v>
      </c>
      <c r="DF17" t="str">
        <f>IF(master_raw!DF17="","",master_raw!DF17)</f>
        <v>y</v>
      </c>
      <c r="DG17" t="str">
        <f>IF(master_raw!DG17="","",master_raw!DG17)</f>
        <v>A065-COG-X-BVM-Re07</v>
      </c>
      <c r="DH17" t="str">
        <f>IF(master_raw!DH17="","",master_raw!DH17)</f>
        <v>y</v>
      </c>
      <c r="DI17" t="str">
        <f>IF(master_raw!DI17="","",master_raw!DI17)</f>
        <v>A066-COG-X-BVM-Re07</v>
      </c>
      <c r="DJ17" t="str">
        <f>IF(master_raw!DJ17="","",master_raw!DJ17)</f>
        <v>y</v>
      </c>
      <c r="DK17" t="str">
        <f>IF(master_raw!DK17="","",master_raw!DK17)</f>
        <v>A067-COG-X-BVM-Re07</v>
      </c>
      <c r="DL17" t="str">
        <f>IF(master_raw!DL17="","",master_raw!DL17)</f>
        <v>y</v>
      </c>
      <c r="DM17" t="str">
        <f>IF(master_raw!DM17="","",master_raw!DM17)</f>
        <v>A068-COG-X-BVM-Re07</v>
      </c>
      <c r="DN17" t="str">
        <f>IF(master_raw!DN17="","",master_raw!DN17)</f>
        <v>y</v>
      </c>
      <c r="DO17" t="str">
        <f>IF(master_raw!DO17="","",master_raw!DO17)</f>
        <v>A069-COG-X-BVM-Re07</v>
      </c>
      <c r="DP17" t="str">
        <f>IF(master_raw!DP17="","",master_raw!DP17)</f>
        <v>y</v>
      </c>
      <c r="DQ17" t="str">
        <f>IF(master_raw!DQ17="","",master_raw!DQ17)</f>
        <v>A070-COG-X-BVM-Re07</v>
      </c>
      <c r="DR17" t="str">
        <f>IF(master_raw!DR17="","",master_raw!DR17)</f>
        <v>y</v>
      </c>
      <c r="DS17" t="str">
        <f>IF(master_raw!DS17="","",master_raw!DS17)</f>
        <v>A071-COG-X-BVM-Re07</v>
      </c>
      <c r="DT17" t="str">
        <f>IF(master_raw!DT17="","",master_raw!DT17)</f>
        <v>y</v>
      </c>
      <c r="DU17" t="str">
        <f>IF(master_raw!DU17="","",master_raw!DU17)</f>
        <v>A072-COG-X-BVM-Re07</v>
      </c>
      <c r="DV17" t="str">
        <f>IF(master_raw!DV17="","",master_raw!DV17)</f>
        <v>y</v>
      </c>
      <c r="DW17" t="str">
        <f>IF(master_raw!DW17="","",master_raw!DW17)</f>
        <v>A073-COG-X-BVM-Re07</v>
      </c>
      <c r="DX17" t="str">
        <f>IF(master_raw!DX17="","",master_raw!DX17)</f>
        <v>y</v>
      </c>
      <c r="DY17" t="str">
        <f>IF(master_raw!DY17="","",master_raw!DY17)</f>
        <v>A074-COG-X-BVM-Re07</v>
      </c>
      <c r="DZ17" t="str">
        <f>IF(master_raw!DZ17="","",master_raw!DZ17)</f>
        <v>y</v>
      </c>
      <c r="EA17" t="str">
        <f>IF(master_raw!EA17="","",master_raw!EA17)</f>
        <v>A075-COG-X-BVM-Re07</v>
      </c>
      <c r="EB17" t="str">
        <f>IF(master_raw!EB17="","",master_raw!EB17)</f>
        <v>y</v>
      </c>
      <c r="EC17" t="str">
        <f>IF(master_raw!EC17="","",master_raw!EC17)</f>
        <v>A076-COG-X-BVM-Re07</v>
      </c>
      <c r="ED17" t="str">
        <f>IF(master_raw!ED17="","",master_raw!ED17)</f>
        <v>y</v>
      </c>
      <c r="EE17" t="str">
        <f>IF(master_raw!EE17="","",master_raw!EE17)</f>
        <v>A077-COG-X-BVM-Re07</v>
      </c>
      <c r="EF17" t="str">
        <f>IF(master_raw!EF17="","",master_raw!EF17)</f>
        <v>y</v>
      </c>
      <c r="EG17" t="str">
        <f>IF(master_raw!EG17="","",master_raw!EG17)</f>
        <v>A078-COG-X-BVM-Re07</v>
      </c>
      <c r="EH17" t="str">
        <f>IF(master_raw!EH17="","",master_raw!EH17)</f>
        <v>y</v>
      </c>
      <c r="EI17" t="str">
        <f>IF(master_raw!EI17="","",master_raw!EI17)</f>
        <v>A079-COG-X-BVM-Re07</v>
      </c>
      <c r="EJ17" t="str">
        <f>IF(master_raw!EJ17="","",master_raw!EJ17)</f>
        <v>y</v>
      </c>
      <c r="EK17" t="str">
        <f>IF(master_raw!EK17="","",master_raw!EK17)</f>
        <v>A080-COG-X-BVM-Re07</v>
      </c>
      <c r="EL17" t="str">
        <f>IF(master_raw!EL17="","",master_raw!EL17)</f>
        <v>y</v>
      </c>
      <c r="EM17" t="str">
        <f>IF(master_raw!EM17="","",master_raw!EM17)</f>
        <v>A081-COG-X-BVM-Re07</v>
      </c>
      <c r="EN17" t="str">
        <f>IF(master_raw!EN17="","",master_raw!EN17)</f>
        <v>y</v>
      </c>
      <c r="EO17" t="str">
        <f>IF(master_raw!EO17="","",master_raw!EO17)</f>
        <v>A082-COG-X-BVM-Re07</v>
      </c>
      <c r="EP17" t="str">
        <f>IF(master_raw!EP17="","",master_raw!EP17)</f>
        <v>y</v>
      </c>
      <c r="EQ17" t="str">
        <f>IF(master_raw!EQ17="","",master_raw!EQ17)</f>
        <v>A083-COG-X-BVM-Re07</v>
      </c>
      <c r="ER17" t="str">
        <f>IF(master_raw!ER17="","",master_raw!ER17)</f>
        <v>y</v>
      </c>
      <c r="ES17" t="str">
        <f>IF(master_raw!ES17="","",master_raw!ES17)</f>
        <v>A084-COG-X-BVM-Re07</v>
      </c>
      <c r="ET17" t="str">
        <f>IF(master_raw!ET17="","",master_raw!ET17)</f>
        <v>y</v>
      </c>
      <c r="EU17" t="str">
        <f>IF(master_raw!EU17="","",master_raw!EU17)</f>
        <v>A085-COG-X-BVM-Re07</v>
      </c>
      <c r="EV17" t="str">
        <f>IF(master_raw!EV17="","",master_raw!EV17)</f>
        <v>y</v>
      </c>
      <c r="EW17" t="str">
        <f>IF(master_raw!EW17="","",master_raw!EW17)</f>
        <v>A086-COG-X-BVM-Re07</v>
      </c>
      <c r="EX17" t="str">
        <f>IF(master_raw!EX17="","",master_raw!EX17)</f>
        <v>y</v>
      </c>
      <c r="EY17" t="str">
        <f>IF(master_raw!EY17="","",master_raw!EY17)</f>
        <v>A087-COG-X-BVM-Re07</v>
      </c>
      <c r="EZ17" t="str">
        <f>IF(master_raw!EZ17="","",master_raw!EZ17)</f>
        <v>y</v>
      </c>
      <c r="FA17" t="str">
        <f>IF(master_raw!FA17="","",master_raw!FA17)</f>
        <v>A088-COG-X-BVM-Re07</v>
      </c>
      <c r="FB17" t="str">
        <f>IF(master_raw!FB17="","",master_raw!FB17)</f>
        <v>y</v>
      </c>
      <c r="FC17" t="str">
        <f>IF(master_raw!FC17="","",master_raw!FC17)</f>
        <v>A089-COG-X-BVM-Re07</v>
      </c>
      <c r="FD17" t="str">
        <f>IF(master_raw!FD17="","",master_raw!FD17)</f>
        <v>y</v>
      </c>
      <c r="FE17" t="str">
        <f>IF(master_raw!FE17="","",master_raw!FE17)</f>
        <v>A090-COG-X-BVM-Re07</v>
      </c>
      <c r="FF17" t="str">
        <f>IF(master_raw!FF17="","",master_raw!FF17)</f>
        <v>y</v>
      </c>
      <c r="FG17" t="str">
        <f>IF(master_raw!FG17="","",master_raw!FG17)</f>
        <v>A091-COG-X-BVM-Re07</v>
      </c>
      <c r="FH17" t="str">
        <f>IF(master_raw!FH17="","",master_raw!FH17)</f>
        <v>y</v>
      </c>
      <c r="FI17" t="str">
        <f>IF(master_raw!FI17="","",master_raw!FI17)</f>
        <v>A092-COG-X-BVM-Re07</v>
      </c>
      <c r="FJ17" t="str">
        <f>IF(master_raw!FJ17="","",master_raw!FJ17)</f>
        <v>y</v>
      </c>
      <c r="FK17" t="str">
        <f>IF(master_raw!FK17="","",master_raw!FK17)</f>
        <v>A093-COG-X-BVM-Re07</v>
      </c>
      <c r="FL17" t="str">
        <f>IF(master_raw!FL17="","",master_raw!FL17)</f>
        <v>y</v>
      </c>
      <c r="FM17" t="str">
        <f>IF(master_raw!FM17="","",master_raw!FM17)</f>
        <v>A094-COG-X-BVM-Re07</v>
      </c>
      <c r="FN17" t="str">
        <f>IF(master_raw!FN17="","",master_raw!FN17)</f>
        <v>y</v>
      </c>
      <c r="FO17" t="str">
        <f>IF(master_raw!FO17="","",master_raw!FO17)</f>
        <v>A095-COG-X-BVM-Re07</v>
      </c>
      <c r="FP17" t="str">
        <f>IF(master_raw!FP17="","",master_raw!FP17)</f>
        <v>n</v>
      </c>
      <c r="FQ17" t="str">
        <f>IF(master_raw!FQ17="","",master_raw!FQ17)</f>
        <v>A096-COG-X-BVM-Re07</v>
      </c>
      <c r="FR17" t="str">
        <f>IF(master_raw!FR17="","",master_raw!FR17)</f>
        <v>y</v>
      </c>
      <c r="FS17" t="str">
        <f>IF(master_raw!FS17="","",master_raw!FS17)</f>
        <v>A097-COG-X-BVM-Re07</v>
      </c>
      <c r="FT17" t="str">
        <f>IF(master_raw!FT17="","",master_raw!FT17)</f>
        <v>y</v>
      </c>
      <c r="FU17" t="str">
        <f>IF(master_raw!FU17="","",master_raw!FU17)</f>
        <v>A098-COG-X-BVM-Re07</v>
      </c>
      <c r="FV17" t="str">
        <f>IF(master_raw!FV17="","",master_raw!FV17)</f>
        <v>y</v>
      </c>
      <c r="FW17" t="str">
        <f>IF(master_raw!FW17="","",master_raw!FW17)</f>
        <v>A099-COG-X-BVM-Re07</v>
      </c>
      <c r="FX17" t="str">
        <f>IF(master_raw!FX17="","",master_raw!FX17)</f>
        <v>y</v>
      </c>
      <c r="FY17" t="str">
        <f>IF(master_raw!FY17="","",master_raw!FY17)</f>
        <v>A100-COG-X-BVM-Re07</v>
      </c>
      <c r="FZ17" t="str">
        <f>IF(master_raw!FZ17="","",master_raw!FZ17)</f>
        <v>y</v>
      </c>
      <c r="GA17" t="str">
        <f>IF(master_raw!GA17="","",master_raw!GA17)</f>
        <v>A101-COG-X-BVM-Re07</v>
      </c>
      <c r="GB17" t="str">
        <f>IF(master_raw!GB17="","",master_raw!GB17)</f>
        <v>y</v>
      </c>
      <c r="GC17" t="str">
        <f>IF(master_raw!GC17="","",master_raw!GC17)</f>
        <v>A102-COG-X-BVM-Re07</v>
      </c>
      <c r="GD17" t="str">
        <f>IF(master_raw!GD17="","",master_raw!GD17)</f>
        <v>y</v>
      </c>
      <c r="GE17" t="str">
        <f>IF(master_raw!GE17="","",master_raw!GE17)</f>
        <v>A103-COG-X-BVM-Re07</v>
      </c>
      <c r="GF17" t="str">
        <f>IF(master_raw!GF17="","",master_raw!GF17)</f>
        <v>y</v>
      </c>
      <c r="GG17" t="str">
        <f>IF(master_raw!GG17="","",master_raw!GG17)</f>
        <v>A104-COG-X-BVM-Re07</v>
      </c>
      <c r="GH17" t="str">
        <f>IF(master_raw!GH17="","",master_raw!GH17)</f>
        <v>y</v>
      </c>
      <c r="GI17" t="str">
        <f>IF(master_raw!GI17="","",master_raw!GI17)</f>
        <v>A105-COG-X-BVM-Re07</v>
      </c>
      <c r="GJ17" t="str">
        <f>IF(master_raw!GJ17="","",master_raw!GJ17)</f>
        <v>y</v>
      </c>
      <c r="GK17" t="str">
        <f>IF(master_raw!GK17="","",master_raw!GK17)</f>
        <v>A106-COG-X-BVM-Re07</v>
      </c>
      <c r="GL17" t="str">
        <f>IF(master_raw!GL17="","",master_raw!GL17)</f>
        <v>y</v>
      </c>
      <c r="GM17" t="str">
        <f>IF(master_raw!GM17="","",master_raw!GM17)</f>
        <v>A107-COG-X-BVM-Re07</v>
      </c>
      <c r="GN17" t="str">
        <f>IF(master_raw!GN17="","",master_raw!GN17)</f>
        <v>y</v>
      </c>
      <c r="GO17" t="str">
        <f>IF(master_raw!GO17="","",master_raw!GO17)</f>
        <v>A108-COG-X-BVM-Re07</v>
      </c>
      <c r="GP17" t="str">
        <f>IF(master_raw!GP17="","",master_raw!GP17)</f>
        <v>y</v>
      </c>
      <c r="GQ17" t="str">
        <f>IF(master_raw!GQ17="","",master_raw!GQ17)</f>
        <v>A109-COG-X-BVM-Re07</v>
      </c>
      <c r="GR17" t="str">
        <f>IF(master_raw!GR17="","",master_raw!GR17)</f>
        <v>y</v>
      </c>
    </row>
    <row r="18" spans="1:256" x14ac:dyDescent="0.25">
      <c r="A18" t="str">
        <f>IF(master_raw!A18="","",master_raw!A18)</f>
        <v>A010-COG-X-BVM-Re08</v>
      </c>
      <c r="B18" t="str">
        <f>IF(master_raw!B18="","",master_raw!B18)</f>
        <v>n</v>
      </c>
      <c r="C18" t="str">
        <f>IF(master_raw!C18="","",master_raw!C18)</f>
        <v>A011-COG-X-BVM-Re08</v>
      </c>
      <c r="D18" t="str">
        <f>IF(master_raw!D18="","",master_raw!D18)</f>
        <v>n</v>
      </c>
      <c r="E18" t="str">
        <f>IF(master_raw!E18="","",master_raw!E18)</f>
        <v>A012-COG-X-BVM-Re08</v>
      </c>
      <c r="F18" t="str">
        <f>IF(master_raw!F18="","",master_raw!F18)</f>
        <v>n</v>
      </c>
      <c r="G18" t="str">
        <f>IF(master_raw!G18="","",master_raw!G18)</f>
        <v>A013-COG-X-BVM-Re08</v>
      </c>
      <c r="H18" t="str">
        <f>IF(master_raw!H18="","",master_raw!H18)</f>
        <v>n</v>
      </c>
      <c r="I18" t="str">
        <f>IF(master_raw!I18="","",master_raw!I18)</f>
        <v>A014-COG-X-BVM-Re08</v>
      </c>
      <c r="J18" t="str">
        <f>IF(master_raw!J18="","",master_raw!J18)</f>
        <v>n</v>
      </c>
      <c r="K18" t="str">
        <f>IF(master_raw!K18="","",master_raw!K18)</f>
        <v>A015-COG-X-BVM-Re08</v>
      </c>
      <c r="L18" t="str">
        <f>IF(master_raw!L18="","",master_raw!L18)</f>
        <v>n</v>
      </c>
      <c r="M18" t="str">
        <f>IF(master_raw!M18="","",master_raw!M18)</f>
        <v>A016-COG-X-BVM-Re08</v>
      </c>
      <c r="N18" t="str">
        <f>IF(master_raw!N18="","",master_raw!N18)</f>
        <v>n</v>
      </c>
      <c r="O18" t="str">
        <f>IF(master_raw!O18="","",master_raw!O18)</f>
        <v>A017-COG-X-BVM-Re08</v>
      </c>
      <c r="P18" t="str">
        <f>IF(master_raw!P18="","",master_raw!P18)</f>
        <v>n</v>
      </c>
      <c r="Q18" t="str">
        <f>IF(master_raw!Q18="","",master_raw!Q18)</f>
        <v>A018-COG-X-BVM-Re08</v>
      </c>
      <c r="R18" t="str">
        <f>IF(master_raw!R18="","",master_raw!R18)</f>
        <v>n</v>
      </c>
      <c r="S18" t="str">
        <f>IF(master_raw!S18="","",master_raw!S18)</f>
        <v>A019-COG-X-BVM-Re08</v>
      </c>
      <c r="T18" t="str">
        <f>IF(master_raw!T18="","",master_raw!T18)</f>
        <v>n</v>
      </c>
      <c r="U18" t="str">
        <f>IF(master_raw!U18="","",master_raw!U18)</f>
        <v>A020-COG-X-BVM-Re08</v>
      </c>
      <c r="V18" t="str">
        <f>IF(master_raw!V18="","",master_raw!V18)</f>
        <v>n</v>
      </c>
      <c r="W18" t="str">
        <f>IF(master_raw!W18="","",master_raw!W18)</f>
        <v>A021-COG-X-BVM-Re08</v>
      </c>
      <c r="X18" t="str">
        <f>IF(master_raw!X18="","",master_raw!X18)</f>
        <v>n</v>
      </c>
      <c r="Y18" t="str">
        <f>IF(master_raw!Y18="","",master_raw!Y18)</f>
        <v>A022-COG-X-BVM-Re08</v>
      </c>
      <c r="Z18" t="str">
        <f>IF(master_raw!Z18="","",master_raw!Z18)</f>
        <v>n</v>
      </c>
      <c r="AA18" t="str">
        <f>IF(master_raw!AA18="","",master_raw!AA18)</f>
        <v>A023-COG-X-BVM-Re08</v>
      </c>
      <c r="AB18" t="str">
        <f>IF(master_raw!AB18="","",master_raw!AB18)</f>
        <v>n</v>
      </c>
      <c r="AC18" t="str">
        <f>IF(master_raw!AC18="","",master_raw!AC18)</f>
        <v>A024-COG-X-BVM-Re08</v>
      </c>
      <c r="AD18" t="str">
        <f>IF(master_raw!AD18="","",master_raw!AD18)</f>
        <v>n</v>
      </c>
      <c r="AE18" t="str">
        <f>IF(master_raw!AE18="","",master_raw!AE18)</f>
        <v>A025-COG-X-BVM-Re08</v>
      </c>
      <c r="AF18" t="str">
        <f>IF(master_raw!AF18="","",master_raw!AF18)</f>
        <v>n</v>
      </c>
      <c r="AG18" t="str">
        <f>IF(master_raw!AG18="","",master_raw!AG18)</f>
        <v>A026-COG-X-BVM-Re08</v>
      </c>
      <c r="AH18" t="str">
        <f>IF(master_raw!AH18="","",master_raw!AH18)</f>
        <v>n</v>
      </c>
      <c r="AI18" t="str">
        <f>IF(master_raw!AI18="","",master_raw!AI18)</f>
        <v>A027-COG-X-BVM-Re08</v>
      </c>
      <c r="AJ18" t="str">
        <f>IF(master_raw!AJ18="","",master_raw!AJ18)</f>
        <v>n</v>
      </c>
      <c r="AK18" t="str">
        <f>IF(master_raw!AK18="","",master_raw!AK18)</f>
        <v>A028-COG-X-BVM-Re08</v>
      </c>
      <c r="AL18" t="str">
        <f>IF(master_raw!AL18="","",master_raw!AL18)</f>
        <v>n</v>
      </c>
      <c r="AM18" t="str">
        <f>IF(master_raw!AM18="","",master_raw!AM18)</f>
        <v>A029-COG-X-BVM-Re08</v>
      </c>
      <c r="AN18" t="str">
        <f>IF(master_raw!AN18="","",master_raw!AN18)</f>
        <v>n</v>
      </c>
      <c r="AO18" t="str">
        <f>IF(master_raw!AO18="","",master_raw!AO18)</f>
        <v>A030-COG-X-BVM-Re08</v>
      </c>
      <c r="AP18" t="str">
        <f>IF(master_raw!AP18="","",master_raw!AP18)</f>
        <v>n</v>
      </c>
      <c r="AQ18" t="str">
        <f>IF(master_raw!AQ18="","",master_raw!AQ18)</f>
        <v>A031-COG-X-BVM-Re08</v>
      </c>
      <c r="AR18" t="str">
        <f>IF(master_raw!AR18="","",master_raw!AR18)</f>
        <v>n</v>
      </c>
      <c r="AS18" t="str">
        <f>IF(master_raw!AS18="","",master_raw!AS18)</f>
        <v>A032-COG-X-BVM-Re08</v>
      </c>
      <c r="AT18" t="str">
        <f>IF(master_raw!AT18="","",master_raw!AT18)</f>
        <v>n</v>
      </c>
      <c r="AU18" t="str">
        <f>IF(master_raw!AU18="","",master_raw!AU18)</f>
        <v>A033-COG-X-BVM-Re08</v>
      </c>
      <c r="AV18" t="str">
        <f>IF(master_raw!AV18="","",master_raw!AV18)</f>
        <v>n</v>
      </c>
      <c r="AW18" t="str">
        <f>IF(master_raw!AW18="","",master_raw!AW18)</f>
        <v>A034-COG-X-BVM-Re08</v>
      </c>
      <c r="AX18" t="str">
        <f>IF(master_raw!AX18="","",master_raw!AX18)</f>
        <v>n</v>
      </c>
      <c r="AY18" t="str">
        <f>IF(master_raw!AY18="","",master_raw!AY18)</f>
        <v>A035-COG-X-BVM-Re08</v>
      </c>
      <c r="AZ18" t="str">
        <f>IF(master_raw!AZ18="","",master_raw!AZ18)</f>
        <v>n</v>
      </c>
      <c r="BA18" t="str">
        <f>IF(master_raw!BA18="","",master_raw!BA18)</f>
        <v>A036-COG-X-BVM-Re08</v>
      </c>
      <c r="BB18" t="str">
        <f>IF(master_raw!BB18="","",master_raw!BB18)</f>
        <v>n</v>
      </c>
      <c r="BC18" t="str">
        <f>IF(master_raw!BC18="","",master_raw!BC18)</f>
        <v>A037-COG-X-BVM-Re08</v>
      </c>
      <c r="BD18" t="str">
        <f>IF(master_raw!BD18="","",master_raw!BD18)</f>
        <v>n</v>
      </c>
      <c r="BE18" t="str">
        <f>IF(master_raw!BE18="","",master_raw!BE18)</f>
        <v>A038-COG-X-BVM-Re08</v>
      </c>
      <c r="BF18" t="str">
        <f>IF(master_raw!BF18="","",master_raw!BF18)</f>
        <v>n</v>
      </c>
      <c r="BG18" t="str">
        <f>IF(master_raw!BG18="","",master_raw!BG18)</f>
        <v>A039-COG-X-BVM-Re08</v>
      </c>
      <c r="BH18" t="str">
        <f>IF(master_raw!BH18="","",master_raw!BH18)</f>
        <v>n</v>
      </c>
      <c r="BI18" t="str">
        <f>IF(master_raw!BI18="","",master_raw!BI18)</f>
        <v>A040-COG-X-BVM-Re08</v>
      </c>
      <c r="BJ18" t="str">
        <f>IF(master_raw!BJ18="","",master_raw!BJ18)</f>
        <v>n</v>
      </c>
      <c r="BK18" t="str">
        <f>IF(master_raw!BK18="","",master_raw!BK18)</f>
        <v>A041-COG-X-BVM-Re08</v>
      </c>
      <c r="BL18" t="str">
        <f>IF(master_raw!BL18="","",master_raw!BL18)</f>
        <v>n</v>
      </c>
      <c r="BM18" t="str">
        <f>IF(master_raw!BM18="","",master_raw!BM18)</f>
        <v>A042-COG-X-BVM-Re08</v>
      </c>
      <c r="BN18" t="str">
        <f>IF(master_raw!BN18="","",master_raw!BN18)</f>
        <v>n</v>
      </c>
      <c r="BO18" t="str">
        <f>IF(master_raw!BO18="","",master_raw!BO18)</f>
        <v>A043-COG-X-BVM-Re08</v>
      </c>
      <c r="BP18" t="str">
        <f>IF(master_raw!BP18="","",master_raw!BP18)</f>
        <v>n</v>
      </c>
      <c r="BQ18" t="str">
        <f>IF(master_raw!BQ18="","",master_raw!BQ18)</f>
        <v>A044-COG-X-BVM-Re08</v>
      </c>
      <c r="BR18" t="str">
        <f>IF(master_raw!BR18="","",master_raw!BR18)</f>
        <v>n</v>
      </c>
      <c r="BS18" t="str">
        <f>IF(master_raw!BS18="","",master_raw!BS18)</f>
        <v>A045-COG-X-BVM-Re08</v>
      </c>
      <c r="BT18" t="str">
        <f>IF(master_raw!BT18="","",master_raw!BT18)</f>
        <v>n</v>
      </c>
      <c r="BU18" t="str">
        <f>IF(master_raw!BU18="","",master_raw!BU18)</f>
        <v>A046-COG-X-BVM-Re08</v>
      </c>
      <c r="BV18" t="str">
        <f>IF(master_raw!BV18="","",master_raw!BV18)</f>
        <v>n</v>
      </c>
      <c r="BW18" t="str">
        <f>IF(master_raw!BW18="","",master_raw!BW18)</f>
        <v>A047-COG-X-BVM-Re08</v>
      </c>
      <c r="BX18" t="str">
        <f>IF(master_raw!BX18="","",master_raw!BX18)</f>
        <v>n</v>
      </c>
      <c r="BY18" t="str">
        <f>IF(master_raw!BY18="","",master_raw!BY18)</f>
        <v>A048-COG-X-BVM-Re08</v>
      </c>
      <c r="BZ18" t="str">
        <f>IF(master_raw!BZ18="","",master_raw!BZ18)</f>
        <v>n</v>
      </c>
      <c r="CA18" t="str">
        <f>IF(master_raw!CA18="","",master_raw!CA18)</f>
        <v>A049-COG-X-BVM-Re08</v>
      </c>
      <c r="CB18" t="str">
        <f>IF(master_raw!CB18="","",master_raw!CB18)</f>
        <v>n</v>
      </c>
      <c r="CC18" t="str">
        <f>IF(master_raw!CC18="","",master_raw!CC18)</f>
        <v>A050-COG-X-BVM-Re08</v>
      </c>
      <c r="CD18" t="str">
        <f>IF(master_raw!CD18="","",master_raw!CD18)</f>
        <v>n</v>
      </c>
      <c r="CE18" t="str">
        <f>IF(master_raw!CE18="","",master_raw!CE18)</f>
        <v>A051-COG-X-BVM-Re08</v>
      </c>
      <c r="CF18" t="str">
        <f>IF(master_raw!CF18="","",master_raw!CF18)</f>
        <v>n</v>
      </c>
      <c r="CG18" t="str">
        <f>IF(master_raw!CG18="","",master_raw!CG18)</f>
        <v>A052-COG-X-BVM-Re08</v>
      </c>
      <c r="CH18" t="str">
        <f>IF(master_raw!CH18="","",master_raw!CH18)</f>
        <v>n</v>
      </c>
      <c r="CI18" t="str">
        <f>IF(master_raw!CI18="","",master_raw!CI18)</f>
        <v>A053-COG-X-BVM-Re08</v>
      </c>
      <c r="CJ18" t="str">
        <f>IF(master_raw!CJ18="","",master_raw!CJ18)</f>
        <v>n</v>
      </c>
      <c r="CK18" t="str">
        <f>IF(master_raw!CK18="","",master_raw!CK18)</f>
        <v>A054-COG-X-BVM-Re08</v>
      </c>
      <c r="CL18" t="str">
        <f>IF(master_raw!CL18="","",master_raw!CL18)</f>
        <v>n</v>
      </c>
      <c r="CM18" t="str">
        <f>IF(master_raw!CM18="","",master_raw!CM18)</f>
        <v>A055-COG-X-BVM-Re08</v>
      </c>
      <c r="CN18" t="str">
        <f>IF(master_raw!CN18="","",master_raw!CN18)</f>
        <v>n</v>
      </c>
      <c r="CO18" t="str">
        <f>IF(master_raw!CO18="","",master_raw!CO18)</f>
        <v>A056-COG-X-BVM-Re08</v>
      </c>
      <c r="CP18" t="str">
        <f>IF(master_raw!CP18="","",master_raw!CP18)</f>
        <v>n</v>
      </c>
      <c r="CQ18" t="str">
        <f>IF(master_raw!CQ18="","",master_raw!CQ18)</f>
        <v>A057-COG-X-BVM-Re08</v>
      </c>
      <c r="CR18" t="str">
        <f>IF(master_raw!CR18="","",master_raw!CR18)</f>
        <v>n</v>
      </c>
      <c r="CS18" t="str">
        <f>IF(master_raw!CS18="","",master_raw!CS18)</f>
        <v>A058-COG-X-BVM-Re08</v>
      </c>
      <c r="CT18" t="str">
        <f>IF(master_raw!CT18="","",master_raw!CT18)</f>
        <v>n</v>
      </c>
      <c r="CU18" t="str">
        <f>IF(master_raw!CU18="","",master_raw!CU18)</f>
        <v>A059-COG-X-BVM-Re08</v>
      </c>
      <c r="CV18" t="str">
        <f>IF(master_raw!CV18="","",master_raw!CV18)</f>
        <v>n</v>
      </c>
      <c r="CW18" t="str">
        <f>IF(master_raw!CW18="","",master_raw!CW18)</f>
        <v>A060-COG-X-BVM-Re08</v>
      </c>
      <c r="CX18" t="str">
        <f>IF(master_raw!CX18="","",master_raw!CX18)</f>
        <v>n</v>
      </c>
      <c r="CY18" t="str">
        <f>IF(master_raw!CY18="","",master_raw!CY18)</f>
        <v>A061-COG-X-BVM-Re08</v>
      </c>
      <c r="CZ18" t="str">
        <f>IF(master_raw!CZ18="","",master_raw!CZ18)</f>
        <v>n</v>
      </c>
      <c r="DA18" t="str">
        <f>IF(master_raw!DA18="","",master_raw!DA18)</f>
        <v>A062-COG-X-BVM-Re08</v>
      </c>
      <c r="DB18" t="str">
        <f>IF(master_raw!DB18="","",master_raw!DB18)</f>
        <v>n</v>
      </c>
      <c r="DC18" t="str">
        <f>IF(master_raw!DC18="","",master_raw!DC18)</f>
        <v>A063-COG-X-BVM-Re08</v>
      </c>
      <c r="DD18" t="str">
        <f>IF(master_raw!DD18="","",master_raw!DD18)</f>
        <v>n</v>
      </c>
      <c r="DE18" t="str">
        <f>IF(master_raw!DE18="","",master_raw!DE18)</f>
        <v>A064-COG-X-BVM-Re08</v>
      </c>
      <c r="DF18" t="str">
        <f>IF(master_raw!DF18="","",master_raw!DF18)</f>
        <v>n</v>
      </c>
      <c r="DG18" t="str">
        <f>IF(master_raw!DG18="","",master_raw!DG18)</f>
        <v>A065-COG-X-BVM-Re08</v>
      </c>
      <c r="DH18" t="str">
        <f>IF(master_raw!DH18="","",master_raw!DH18)</f>
        <v>n</v>
      </c>
      <c r="DI18" t="str">
        <f>IF(master_raw!DI18="","",master_raw!DI18)</f>
        <v>A066-COG-X-BVM-Re08</v>
      </c>
      <c r="DJ18" t="str">
        <f>IF(master_raw!DJ18="","",master_raw!DJ18)</f>
        <v>n</v>
      </c>
      <c r="DK18" t="str">
        <f>IF(master_raw!DK18="","",master_raw!DK18)</f>
        <v>A067-COG-X-BVM-Re08</v>
      </c>
      <c r="DL18" t="str">
        <f>IF(master_raw!DL18="","",master_raw!DL18)</f>
        <v>n</v>
      </c>
      <c r="DM18" t="str">
        <f>IF(master_raw!DM18="","",master_raw!DM18)</f>
        <v>A068-COG-X-BVM-Re08</v>
      </c>
      <c r="DN18" t="str">
        <f>IF(master_raw!DN18="","",master_raw!DN18)</f>
        <v>n</v>
      </c>
      <c r="DO18" t="str">
        <f>IF(master_raw!DO18="","",master_raw!DO18)</f>
        <v>A069-COG-X-BVM-Re08</v>
      </c>
      <c r="DP18" t="str">
        <f>IF(master_raw!DP18="","",master_raw!DP18)</f>
        <v>n</v>
      </c>
      <c r="DQ18" t="str">
        <f>IF(master_raw!DQ18="","",master_raw!DQ18)</f>
        <v>A070-COG-X-BVM-Re08</v>
      </c>
      <c r="DR18" t="str">
        <f>IF(master_raw!DR18="","",master_raw!DR18)</f>
        <v>n</v>
      </c>
      <c r="DS18" t="str">
        <f>IF(master_raw!DS18="","",master_raw!DS18)</f>
        <v>A071-COG-X-BVM-Re08</v>
      </c>
      <c r="DT18" t="str">
        <f>IF(master_raw!DT18="","",master_raw!DT18)</f>
        <v>n</v>
      </c>
      <c r="DU18" t="str">
        <f>IF(master_raw!DU18="","",master_raw!DU18)</f>
        <v>A072-COG-X-BVM-Re08</v>
      </c>
      <c r="DV18" t="str">
        <f>IF(master_raw!DV18="","",master_raw!DV18)</f>
        <v>n</v>
      </c>
      <c r="DW18" t="str">
        <f>IF(master_raw!DW18="","",master_raw!DW18)</f>
        <v>A073-COG-X-BVM-Re08</v>
      </c>
      <c r="DX18" t="str">
        <f>IF(master_raw!DX18="","",master_raw!DX18)</f>
        <v>n</v>
      </c>
      <c r="DY18" t="str">
        <f>IF(master_raw!DY18="","",master_raw!DY18)</f>
        <v>A074-COG-X-BVM-Re08</v>
      </c>
      <c r="DZ18" t="str">
        <f>IF(master_raw!DZ18="","",master_raw!DZ18)</f>
        <v>n</v>
      </c>
      <c r="EA18" t="str">
        <f>IF(master_raw!EA18="","",master_raw!EA18)</f>
        <v>A075-COG-X-BVM-Re08</v>
      </c>
      <c r="EB18" t="str">
        <f>IF(master_raw!EB18="","",master_raw!EB18)</f>
        <v>n</v>
      </c>
      <c r="EC18" t="str">
        <f>IF(master_raw!EC18="","",master_raw!EC18)</f>
        <v>A076-COG-X-BVM-Re08</v>
      </c>
      <c r="ED18" t="str">
        <f>IF(master_raw!ED18="","",master_raw!ED18)</f>
        <v>n</v>
      </c>
      <c r="EE18" t="str">
        <f>IF(master_raw!EE18="","",master_raw!EE18)</f>
        <v>A077-COG-X-BVM-Re08</v>
      </c>
      <c r="EF18" t="str">
        <f>IF(master_raw!EF18="","",master_raw!EF18)</f>
        <v>n</v>
      </c>
      <c r="EG18" t="str">
        <f>IF(master_raw!EG18="","",master_raw!EG18)</f>
        <v>A078-COG-X-BVM-Re08</v>
      </c>
      <c r="EH18" t="str">
        <f>IF(master_raw!EH18="","",master_raw!EH18)</f>
        <v>n</v>
      </c>
      <c r="EI18" t="str">
        <f>IF(master_raw!EI18="","",master_raw!EI18)</f>
        <v>A079-COG-X-BVM-Re08</v>
      </c>
      <c r="EJ18" t="str">
        <f>IF(master_raw!EJ18="","",master_raw!EJ18)</f>
        <v>n</v>
      </c>
      <c r="EK18" t="str">
        <f>IF(master_raw!EK18="","",master_raw!EK18)</f>
        <v>A080-COG-X-BVM-Re08</v>
      </c>
      <c r="EL18" t="str">
        <f>IF(master_raw!EL18="","",master_raw!EL18)</f>
        <v>n</v>
      </c>
      <c r="EM18" t="str">
        <f>IF(master_raw!EM18="","",master_raw!EM18)</f>
        <v>A081-COG-X-BVM-Re08</v>
      </c>
      <c r="EN18" t="str">
        <f>IF(master_raw!EN18="","",master_raw!EN18)</f>
        <v>n</v>
      </c>
      <c r="EO18" t="str">
        <f>IF(master_raw!EO18="","",master_raw!EO18)</f>
        <v>A082-COG-X-BVM-Re08</v>
      </c>
      <c r="EP18" t="str">
        <f>IF(master_raw!EP18="","",master_raw!EP18)</f>
        <v>n</v>
      </c>
      <c r="EQ18" t="str">
        <f>IF(master_raw!EQ18="","",master_raw!EQ18)</f>
        <v>A083-COG-X-BVM-Re08</v>
      </c>
      <c r="ER18" t="str">
        <f>IF(master_raw!ER18="","",master_raw!ER18)</f>
        <v>n</v>
      </c>
      <c r="ES18" t="str">
        <f>IF(master_raw!ES18="","",master_raw!ES18)</f>
        <v>A084-COG-X-BVM-Re08</v>
      </c>
      <c r="ET18" t="str">
        <f>IF(master_raw!ET18="","",master_raw!ET18)</f>
        <v>n</v>
      </c>
      <c r="EU18" t="str">
        <f>IF(master_raw!EU18="","",master_raw!EU18)</f>
        <v>A085-COG-X-BVM-Re08</v>
      </c>
      <c r="EV18" t="str">
        <f>IF(master_raw!EV18="","",master_raw!EV18)</f>
        <v>n</v>
      </c>
      <c r="EW18" t="str">
        <f>IF(master_raw!EW18="","",master_raw!EW18)</f>
        <v>A086-COG-X-BVM-Re08</v>
      </c>
      <c r="EX18" t="str">
        <f>IF(master_raw!EX18="","",master_raw!EX18)</f>
        <v>n</v>
      </c>
      <c r="EY18" t="str">
        <f>IF(master_raw!EY18="","",master_raw!EY18)</f>
        <v>A087-COG-X-BVM-Re08</v>
      </c>
      <c r="EZ18" t="str">
        <f>IF(master_raw!EZ18="","",master_raw!EZ18)</f>
        <v>n</v>
      </c>
      <c r="FA18" t="str">
        <f>IF(master_raw!FA18="","",master_raw!FA18)</f>
        <v>A088-COG-X-BVM-Re08</v>
      </c>
      <c r="FB18" t="str">
        <f>IF(master_raw!FB18="","",master_raw!FB18)</f>
        <v>n</v>
      </c>
      <c r="FC18" t="str">
        <f>IF(master_raw!FC18="","",master_raw!FC18)</f>
        <v>A089-COG-X-BVM-Re08</v>
      </c>
      <c r="FD18" t="str">
        <f>IF(master_raw!FD18="","",master_raw!FD18)</f>
        <v>n</v>
      </c>
      <c r="FE18" t="str">
        <f>IF(master_raw!FE18="","",master_raw!FE18)</f>
        <v>A090-COG-X-BVM-Re08</v>
      </c>
      <c r="FF18" t="str">
        <f>IF(master_raw!FF18="","",master_raw!FF18)</f>
        <v>n</v>
      </c>
      <c r="FG18" t="str">
        <f>IF(master_raw!FG18="","",master_raw!FG18)</f>
        <v>A091-COG-X-BVM-Re08</v>
      </c>
      <c r="FH18" t="str">
        <f>IF(master_raw!FH18="","",master_raw!FH18)</f>
        <v>n</v>
      </c>
      <c r="FI18" t="str">
        <f>IF(master_raw!FI18="","",master_raw!FI18)</f>
        <v>A092-COG-X-BVM-Re08</v>
      </c>
      <c r="FJ18" t="str">
        <f>IF(master_raw!FJ18="","",master_raw!FJ18)</f>
        <v>n</v>
      </c>
      <c r="FK18" t="str">
        <f>IF(master_raw!FK18="","",master_raw!FK18)</f>
        <v>A093-COG-X-BVM-Re08</v>
      </c>
      <c r="FL18" t="str">
        <f>IF(master_raw!FL18="","",master_raw!FL18)</f>
        <v>n</v>
      </c>
      <c r="FM18" t="str">
        <f>IF(master_raw!FM18="","",master_raw!FM18)</f>
        <v>A094-COG-X-BVM-Re08</v>
      </c>
      <c r="FN18" t="str">
        <f>IF(master_raw!FN18="","",master_raw!FN18)</f>
        <v>n</v>
      </c>
      <c r="FO18" t="str">
        <f>IF(master_raw!FO18="","",master_raw!FO18)</f>
        <v>A095-COG-X-BVM-Re08</v>
      </c>
      <c r="FP18" t="str">
        <f>IF(master_raw!FP18="","",master_raw!FP18)</f>
        <v>n</v>
      </c>
      <c r="FQ18" t="str">
        <f>IF(master_raw!FQ18="","",master_raw!FQ18)</f>
        <v>A096-COG-X-BVM-Re08</v>
      </c>
      <c r="FR18" t="str">
        <f>IF(master_raw!FR18="","",master_raw!FR18)</f>
        <v>n</v>
      </c>
      <c r="FS18" t="str">
        <f>IF(master_raw!FS18="","",master_raw!FS18)</f>
        <v>A097-COG-X-BVM-Re08</v>
      </c>
      <c r="FT18" t="str">
        <f>IF(master_raw!FT18="","",master_raw!FT18)</f>
        <v>n</v>
      </c>
      <c r="FU18" t="str">
        <f>IF(master_raw!FU18="","",master_raw!FU18)</f>
        <v>A098-COG-X-BVM-Re08</v>
      </c>
      <c r="FV18" t="str">
        <f>IF(master_raw!FV18="","",master_raw!FV18)</f>
        <v>n</v>
      </c>
      <c r="FW18" t="str">
        <f>IF(master_raw!FW18="","",master_raw!FW18)</f>
        <v>A099-COG-X-BVM-Re08</v>
      </c>
      <c r="FX18" t="str">
        <f>IF(master_raw!FX18="","",master_raw!FX18)</f>
        <v>n</v>
      </c>
      <c r="FY18" t="str">
        <f>IF(master_raw!FY18="","",master_raw!FY18)</f>
        <v>A100-COG-X-BVM-Re08</v>
      </c>
      <c r="FZ18" t="str">
        <f>IF(master_raw!FZ18="","",master_raw!FZ18)</f>
        <v>n</v>
      </c>
      <c r="GA18" t="str">
        <f>IF(master_raw!GA18="","",master_raw!GA18)</f>
        <v>A101-COG-X-BVM-Re08</v>
      </c>
      <c r="GB18" t="str">
        <f>IF(master_raw!GB18="","",master_raw!GB18)</f>
        <v>n</v>
      </c>
      <c r="GC18" t="str">
        <f>IF(master_raw!GC18="","",master_raw!GC18)</f>
        <v>A102-COG-X-BVM-Re08</v>
      </c>
      <c r="GD18" t="str">
        <f>IF(master_raw!GD18="","",master_raw!GD18)</f>
        <v>n</v>
      </c>
      <c r="GE18" t="str">
        <f>IF(master_raw!GE18="","",master_raw!GE18)</f>
        <v>A103-COG-X-BVM-Re08</v>
      </c>
      <c r="GF18" t="str">
        <f>IF(master_raw!GF18="","",master_raw!GF18)</f>
        <v>n</v>
      </c>
      <c r="GG18" t="str">
        <f>IF(master_raw!GG18="","",master_raw!GG18)</f>
        <v>A104-COG-X-BVM-Re08</v>
      </c>
      <c r="GH18" t="str">
        <f>IF(master_raw!GH18="","",master_raw!GH18)</f>
        <v>n</v>
      </c>
      <c r="GI18" t="str">
        <f>IF(master_raw!GI18="","",master_raw!GI18)</f>
        <v>A105-COG-X-BVM-Re08</v>
      </c>
      <c r="GJ18" t="str">
        <f>IF(master_raw!GJ18="","",master_raw!GJ18)</f>
        <v>n</v>
      </c>
      <c r="GK18" t="str">
        <f>IF(master_raw!GK18="","",master_raw!GK18)</f>
        <v>A106-COG-X-BVM-Re08</v>
      </c>
      <c r="GL18" t="str">
        <f>IF(master_raw!GL18="","",master_raw!GL18)</f>
        <v>n</v>
      </c>
      <c r="GM18" t="str">
        <f>IF(master_raw!GM18="","",master_raw!GM18)</f>
        <v>A107-COG-X-BVM-Re08</v>
      </c>
      <c r="GN18" t="str">
        <f>IF(master_raw!GN18="","",master_raw!GN18)</f>
        <v>n</v>
      </c>
      <c r="GO18" t="str">
        <f>IF(master_raw!GO18="","",master_raw!GO18)</f>
        <v>A108-COG-X-BVM-Re08</v>
      </c>
      <c r="GP18" t="str">
        <f>IF(master_raw!GP18="","",master_raw!GP18)</f>
        <v>n</v>
      </c>
      <c r="GQ18" t="str">
        <f>IF(master_raw!GQ18="","",master_raw!GQ18)</f>
        <v>A109-COG-X-BVM-Re08</v>
      </c>
      <c r="GR18" t="str">
        <f>IF(master_raw!GR18="","",master_raw!GR18)</f>
        <v>n</v>
      </c>
    </row>
    <row r="19" spans="1:256" x14ac:dyDescent="0.25">
      <c r="A19" t="str">
        <f>IF(master_raw!A19="","",master_raw!A19)</f>
        <v>A010-COG-X-BVM-Re09</v>
      </c>
      <c r="B19" t="str">
        <f>IF(master_raw!B19="","",master_raw!B19)</f>
        <v>y</v>
      </c>
      <c r="C19" t="str">
        <f>IF(master_raw!C19="","",master_raw!C19)</f>
        <v>A011-COG-X-BVM-Re09</v>
      </c>
      <c r="D19" t="str">
        <f>IF(master_raw!D19="","",master_raw!D19)</f>
        <v>y</v>
      </c>
      <c r="E19" t="str">
        <f>IF(master_raw!E19="","",master_raw!E19)</f>
        <v>A012-COG-X-BVM-Re09</v>
      </c>
      <c r="F19" t="str">
        <f>IF(master_raw!F19="","",master_raw!F19)</f>
        <v>y</v>
      </c>
      <c r="G19" t="str">
        <f>IF(master_raw!G19="","",master_raw!G19)</f>
        <v>A013-COG-X-BVM-Re09</v>
      </c>
      <c r="H19" t="str">
        <f>IF(master_raw!H19="","",master_raw!H19)</f>
        <v>y</v>
      </c>
      <c r="I19" t="str">
        <f>IF(master_raw!I19="","",master_raw!I19)</f>
        <v>A014-COG-X-BVM-Re09</v>
      </c>
      <c r="J19" t="str">
        <f>IF(master_raw!J19="","",master_raw!J19)</f>
        <v>y</v>
      </c>
      <c r="K19" t="str">
        <f>IF(master_raw!K19="","",master_raw!K19)</f>
        <v>A015-COG-X-BVM-Re09</v>
      </c>
      <c r="L19" t="str">
        <f>IF(master_raw!L19="","",master_raw!L19)</f>
        <v>y</v>
      </c>
      <c r="M19" t="str">
        <f>IF(master_raw!M19="","",master_raw!M19)</f>
        <v>A016-COG-X-BVM-Re09</v>
      </c>
      <c r="N19" t="str">
        <f>IF(master_raw!N19="","",master_raw!N19)</f>
        <v>y</v>
      </c>
      <c r="O19" t="str">
        <f>IF(master_raw!O19="","",master_raw!O19)</f>
        <v>A017-COG-X-BVM-Re09</v>
      </c>
      <c r="P19" t="str">
        <f>IF(master_raw!P19="","",master_raw!P19)</f>
        <v>y</v>
      </c>
      <c r="Q19" t="str">
        <f>IF(master_raw!Q19="","",master_raw!Q19)</f>
        <v>A018-COG-X-BVM-Re09</v>
      </c>
      <c r="R19" t="str">
        <f>IF(master_raw!R19="","",master_raw!R19)</f>
        <v>y</v>
      </c>
      <c r="S19" t="str">
        <f>IF(master_raw!S19="","",master_raw!S19)</f>
        <v>A019-COG-X-BVM-Re09</v>
      </c>
      <c r="T19" t="str">
        <f>IF(master_raw!T19="","",master_raw!T19)</f>
        <v>y</v>
      </c>
      <c r="U19" t="str">
        <f>IF(master_raw!U19="","",master_raw!U19)</f>
        <v>A020-COG-X-BVM-Re09</v>
      </c>
      <c r="V19" t="str">
        <f>IF(master_raw!V19="","",master_raw!V19)</f>
        <v>y</v>
      </c>
      <c r="W19" t="str">
        <f>IF(master_raw!W19="","",master_raw!W19)</f>
        <v>A021-COG-X-BVM-Re09</v>
      </c>
      <c r="X19" t="str">
        <f>IF(master_raw!X19="","",master_raw!X19)</f>
        <v>y</v>
      </c>
      <c r="Y19" t="str">
        <f>IF(master_raw!Y19="","",master_raw!Y19)</f>
        <v>A022-COG-X-BVM-Re09</v>
      </c>
      <c r="Z19" t="str">
        <f>IF(master_raw!Z19="","",master_raw!Z19)</f>
        <v>y</v>
      </c>
      <c r="AA19" t="str">
        <f>IF(master_raw!AA19="","",master_raw!AA19)</f>
        <v>A023-COG-X-BVM-Re09</v>
      </c>
      <c r="AB19" t="str">
        <f>IF(master_raw!AB19="","",master_raw!AB19)</f>
        <v>y</v>
      </c>
      <c r="AC19" t="str">
        <f>IF(master_raw!AC19="","",master_raw!AC19)</f>
        <v>A024-COG-X-BVM-Re09</v>
      </c>
      <c r="AD19" t="str">
        <f>IF(master_raw!AD19="","",master_raw!AD19)</f>
        <v>y</v>
      </c>
      <c r="AE19" t="str">
        <f>IF(master_raw!AE19="","",master_raw!AE19)</f>
        <v>A025-COG-X-BVM-Re09</v>
      </c>
      <c r="AF19" t="str">
        <f>IF(master_raw!AF19="","",master_raw!AF19)</f>
        <v>y</v>
      </c>
      <c r="AG19" t="str">
        <f>IF(master_raw!AG19="","",master_raw!AG19)</f>
        <v>A026-COG-X-BVM-Re09</v>
      </c>
      <c r="AH19" t="str">
        <f>IF(master_raw!AH19="","",master_raw!AH19)</f>
        <v>y</v>
      </c>
      <c r="AI19" t="str">
        <f>IF(master_raw!AI19="","",master_raw!AI19)</f>
        <v>A027-COG-X-BVM-Re09</v>
      </c>
      <c r="AJ19" t="str">
        <f>IF(master_raw!AJ19="","",master_raw!AJ19)</f>
        <v>y</v>
      </c>
      <c r="AK19" t="str">
        <f>IF(master_raw!AK19="","",master_raw!AK19)</f>
        <v>A028-COG-X-BVM-Re09</v>
      </c>
      <c r="AL19" t="str">
        <f>IF(master_raw!AL19="","",master_raw!AL19)</f>
        <v>y</v>
      </c>
      <c r="AM19" t="str">
        <f>IF(master_raw!AM19="","",master_raw!AM19)</f>
        <v>A029-COG-X-BVM-Re09</v>
      </c>
      <c r="AN19" t="str">
        <f>IF(master_raw!AN19="","",master_raw!AN19)</f>
        <v>y</v>
      </c>
      <c r="AO19" t="str">
        <f>IF(master_raw!AO19="","",master_raw!AO19)</f>
        <v>A030-COG-X-BVM-Re09</v>
      </c>
      <c r="AP19" t="str">
        <f>IF(master_raw!AP19="","",master_raw!AP19)</f>
        <v>y</v>
      </c>
      <c r="AQ19" t="str">
        <f>IF(master_raw!AQ19="","",master_raw!AQ19)</f>
        <v>A031-COG-X-BVM-Re09</v>
      </c>
      <c r="AR19" t="str">
        <f>IF(master_raw!AR19="","",master_raw!AR19)</f>
        <v>y</v>
      </c>
      <c r="AS19" t="str">
        <f>IF(master_raw!AS19="","",master_raw!AS19)</f>
        <v>A032-COG-X-BVM-Re09</v>
      </c>
      <c r="AT19" t="str">
        <f>IF(master_raw!AT19="","",master_raw!AT19)</f>
        <v>y</v>
      </c>
      <c r="AU19" t="str">
        <f>IF(master_raw!AU19="","",master_raw!AU19)</f>
        <v>A033-COG-X-BVM-Re09</v>
      </c>
      <c r="AV19" t="str">
        <f>IF(master_raw!AV19="","",master_raw!AV19)</f>
        <v>y</v>
      </c>
      <c r="AW19" t="str">
        <f>IF(master_raw!AW19="","",master_raw!AW19)</f>
        <v>A034-COG-X-BVM-Re09</v>
      </c>
      <c r="AX19" t="str">
        <f>IF(master_raw!AX19="","",master_raw!AX19)</f>
        <v>y</v>
      </c>
      <c r="AY19" t="str">
        <f>IF(master_raw!AY19="","",master_raw!AY19)</f>
        <v>A035-COG-X-BVM-Re09</v>
      </c>
      <c r="AZ19" t="str">
        <f>IF(master_raw!AZ19="","",master_raw!AZ19)</f>
        <v>y</v>
      </c>
      <c r="BA19" t="str">
        <f>IF(master_raw!BA19="","",master_raw!BA19)</f>
        <v>A036-COG-X-BVM-Re09</v>
      </c>
      <c r="BB19" t="str">
        <f>IF(master_raw!BB19="","",master_raw!BB19)</f>
        <v>y</v>
      </c>
      <c r="BC19" t="str">
        <f>IF(master_raw!BC19="","",master_raw!BC19)</f>
        <v>A037-COG-X-BVM-Re09</v>
      </c>
      <c r="BD19" t="str">
        <f>IF(master_raw!BD19="","",master_raw!BD19)</f>
        <v>y</v>
      </c>
      <c r="BE19" t="str">
        <f>IF(master_raw!BE19="","",master_raw!BE19)</f>
        <v>A038-COG-X-BVM-Re09</v>
      </c>
      <c r="BF19" t="str">
        <f>IF(master_raw!BF19="","",master_raw!BF19)</f>
        <v>y</v>
      </c>
      <c r="BG19" t="str">
        <f>IF(master_raw!BG19="","",master_raw!BG19)</f>
        <v>A039-COG-X-BVM-Re09</v>
      </c>
      <c r="BH19" t="str">
        <f>IF(master_raw!BH19="","",master_raw!BH19)</f>
        <v>y</v>
      </c>
      <c r="BI19" t="str">
        <f>IF(master_raw!BI19="","",master_raw!BI19)</f>
        <v>A040-COG-X-BVM-Re09</v>
      </c>
      <c r="BJ19" t="str">
        <f>IF(master_raw!BJ19="","",master_raw!BJ19)</f>
        <v>y</v>
      </c>
      <c r="BK19" t="str">
        <f>IF(master_raw!BK19="","",master_raw!BK19)</f>
        <v>A041-COG-X-BVM-Re09</v>
      </c>
      <c r="BL19" t="str">
        <f>IF(master_raw!BL19="","",master_raw!BL19)</f>
        <v>y</v>
      </c>
      <c r="BM19" t="str">
        <f>IF(master_raw!BM19="","",master_raw!BM19)</f>
        <v>A042-COG-X-BVM-Re09</v>
      </c>
      <c r="BN19" t="str">
        <f>IF(master_raw!BN19="","",master_raw!BN19)</f>
        <v>y</v>
      </c>
      <c r="BO19" t="str">
        <f>IF(master_raw!BO19="","",master_raw!BO19)</f>
        <v>A043-COG-X-BVM-Re09</v>
      </c>
      <c r="BP19" t="str">
        <f>IF(master_raw!BP19="","",master_raw!BP19)</f>
        <v>y</v>
      </c>
      <c r="BQ19" t="str">
        <f>IF(master_raw!BQ19="","",master_raw!BQ19)</f>
        <v>A044-COG-X-BVM-Re09</v>
      </c>
      <c r="BR19" t="str">
        <f>IF(master_raw!BR19="","",master_raw!BR19)</f>
        <v>y</v>
      </c>
      <c r="BS19" t="str">
        <f>IF(master_raw!BS19="","",master_raw!BS19)</f>
        <v>A045-COG-X-BVM-Re09</v>
      </c>
      <c r="BT19" t="str">
        <f>IF(master_raw!BT19="","",master_raw!BT19)</f>
        <v>y</v>
      </c>
      <c r="BU19" t="str">
        <f>IF(master_raw!BU19="","",master_raw!BU19)</f>
        <v>A046-COG-X-BVM-Re09</v>
      </c>
      <c r="BV19" t="str">
        <f>IF(master_raw!BV19="","",master_raw!BV19)</f>
        <v>y</v>
      </c>
      <c r="BW19" t="str">
        <f>IF(master_raw!BW19="","",master_raw!BW19)</f>
        <v>A047-COG-X-BVM-Re09</v>
      </c>
      <c r="BX19" t="str">
        <f>IF(master_raw!BX19="","",master_raw!BX19)</f>
        <v>y</v>
      </c>
      <c r="BY19" t="str">
        <f>IF(master_raw!BY19="","",master_raw!BY19)</f>
        <v>A048-COG-X-BVM-Re09</v>
      </c>
      <c r="BZ19" t="str">
        <f>IF(master_raw!BZ19="","",master_raw!BZ19)</f>
        <v>y</v>
      </c>
      <c r="CA19" t="str">
        <f>IF(master_raw!CA19="","",master_raw!CA19)</f>
        <v>A049-COG-X-BVM-Re09</v>
      </c>
      <c r="CB19" t="str">
        <f>IF(master_raw!CB19="","",master_raw!CB19)</f>
        <v>y</v>
      </c>
      <c r="CC19" t="str">
        <f>IF(master_raw!CC19="","",master_raw!CC19)</f>
        <v>A050-COG-X-BVM-Re09</v>
      </c>
      <c r="CD19" t="str">
        <f>IF(master_raw!CD19="","",master_raw!CD19)</f>
        <v>y</v>
      </c>
      <c r="CE19" t="str">
        <f>IF(master_raw!CE19="","",master_raw!CE19)</f>
        <v>A051-COG-X-BVM-Re09</v>
      </c>
      <c r="CF19" t="str">
        <f>IF(master_raw!CF19="","",master_raw!CF19)</f>
        <v>y</v>
      </c>
      <c r="CG19" t="str">
        <f>IF(master_raw!CG19="","",master_raw!CG19)</f>
        <v>A052-COG-X-BVM-Re09</v>
      </c>
      <c r="CH19" t="str">
        <f>IF(master_raw!CH19="","",master_raw!CH19)</f>
        <v>y</v>
      </c>
      <c r="CI19" t="str">
        <f>IF(master_raw!CI19="","",master_raw!CI19)</f>
        <v>A053-COG-X-BVM-Re09</v>
      </c>
      <c r="CJ19" t="str">
        <f>IF(master_raw!CJ19="","",master_raw!CJ19)</f>
        <v>y</v>
      </c>
      <c r="CK19" t="str">
        <f>IF(master_raw!CK19="","",master_raw!CK19)</f>
        <v>A054-COG-X-BVM-Re09</v>
      </c>
      <c r="CL19" t="str">
        <f>IF(master_raw!CL19="","",master_raw!CL19)</f>
        <v>y</v>
      </c>
      <c r="CM19" t="str">
        <f>IF(master_raw!CM19="","",master_raw!CM19)</f>
        <v>A055-COG-X-BVM-Re09</v>
      </c>
      <c r="CN19" t="str">
        <f>IF(master_raw!CN19="","",master_raw!CN19)</f>
        <v>n</v>
      </c>
      <c r="CO19" t="str">
        <f>IF(master_raw!CO19="","",master_raw!CO19)</f>
        <v>A056-COG-X-BVM-Re09</v>
      </c>
      <c r="CP19" t="str">
        <f>IF(master_raw!CP19="","",master_raw!CP19)</f>
        <v>y</v>
      </c>
      <c r="CQ19" t="str">
        <f>IF(master_raw!CQ19="","",master_raw!CQ19)</f>
        <v>A057-COG-X-BVM-Re09</v>
      </c>
      <c r="CR19" t="str">
        <f>IF(master_raw!CR19="","",master_raw!CR19)</f>
        <v>y</v>
      </c>
      <c r="CS19" t="str">
        <f>IF(master_raw!CS19="","",master_raw!CS19)</f>
        <v>A058-COG-X-BVM-Re09</v>
      </c>
      <c r="CT19" t="str">
        <f>IF(master_raw!CT19="","",master_raw!CT19)</f>
        <v>y</v>
      </c>
      <c r="CU19" t="str">
        <f>IF(master_raw!CU19="","",master_raw!CU19)</f>
        <v>A059-COG-X-BVM-Re09</v>
      </c>
      <c r="CV19" t="str">
        <f>IF(master_raw!CV19="","",master_raw!CV19)</f>
        <v>y</v>
      </c>
      <c r="CW19" t="str">
        <f>IF(master_raw!CW19="","",master_raw!CW19)</f>
        <v>A060-COG-X-BVM-Re09</v>
      </c>
      <c r="CX19" t="str">
        <f>IF(master_raw!CX19="","",master_raw!CX19)</f>
        <v>y</v>
      </c>
      <c r="CY19" t="str">
        <f>IF(master_raw!CY19="","",master_raw!CY19)</f>
        <v>A061-COG-X-BVM-Re09</v>
      </c>
      <c r="CZ19" t="str">
        <f>IF(master_raw!CZ19="","",master_raw!CZ19)</f>
        <v>y</v>
      </c>
      <c r="DA19" t="str">
        <f>IF(master_raw!DA19="","",master_raw!DA19)</f>
        <v>A062-COG-X-BVM-Re09</v>
      </c>
      <c r="DB19" t="str">
        <f>IF(master_raw!DB19="","",master_raw!DB19)</f>
        <v>y</v>
      </c>
      <c r="DC19" t="str">
        <f>IF(master_raw!DC19="","",master_raw!DC19)</f>
        <v>A063-COG-X-BVM-Re09</v>
      </c>
      <c r="DD19" t="str">
        <f>IF(master_raw!DD19="","",master_raw!DD19)</f>
        <v>y</v>
      </c>
      <c r="DE19" t="str">
        <f>IF(master_raw!DE19="","",master_raw!DE19)</f>
        <v>A064-COG-X-BVM-Re09</v>
      </c>
      <c r="DF19" t="str">
        <f>IF(master_raw!DF19="","",master_raw!DF19)</f>
        <v>y</v>
      </c>
      <c r="DG19" t="str">
        <f>IF(master_raw!DG19="","",master_raw!DG19)</f>
        <v>A065-COG-X-BVM-Re09</v>
      </c>
      <c r="DH19" t="str">
        <f>IF(master_raw!DH19="","",master_raw!DH19)</f>
        <v>y</v>
      </c>
      <c r="DI19" t="str">
        <f>IF(master_raw!DI19="","",master_raw!DI19)</f>
        <v>A066-COG-X-BVM-Re09</v>
      </c>
      <c r="DJ19" t="str">
        <f>IF(master_raw!DJ19="","",master_raw!DJ19)</f>
        <v>y</v>
      </c>
      <c r="DK19" t="str">
        <f>IF(master_raw!DK19="","",master_raw!DK19)</f>
        <v>A067-COG-X-BVM-Re09</v>
      </c>
      <c r="DL19" t="str">
        <f>IF(master_raw!DL19="","",master_raw!DL19)</f>
        <v>y</v>
      </c>
      <c r="DM19" t="str">
        <f>IF(master_raw!DM19="","",master_raw!DM19)</f>
        <v>A068-COG-X-BVM-Re09</v>
      </c>
      <c r="DN19" t="str">
        <f>IF(master_raw!DN19="","",master_raw!DN19)</f>
        <v>y</v>
      </c>
      <c r="DO19" t="str">
        <f>IF(master_raw!DO19="","",master_raw!DO19)</f>
        <v>A069-COG-X-BVM-Re09</v>
      </c>
      <c r="DP19" t="str">
        <f>IF(master_raw!DP19="","",master_raw!DP19)</f>
        <v>y</v>
      </c>
      <c r="DQ19" t="str">
        <f>IF(master_raw!DQ19="","",master_raw!DQ19)</f>
        <v>A070-COG-X-BVM-Re09</v>
      </c>
      <c r="DR19" t="str">
        <f>IF(master_raw!DR19="","",master_raw!DR19)</f>
        <v>n</v>
      </c>
      <c r="DS19" t="str">
        <f>IF(master_raw!DS19="","",master_raw!DS19)</f>
        <v>A071-COG-X-BVM-Re09</v>
      </c>
      <c r="DT19" t="str">
        <f>IF(master_raw!DT19="","",master_raw!DT19)</f>
        <v>y</v>
      </c>
      <c r="DU19" t="str">
        <f>IF(master_raw!DU19="","",master_raw!DU19)</f>
        <v>A072-COG-X-BVM-Re09</v>
      </c>
      <c r="DV19" t="str">
        <f>IF(master_raw!DV19="","",master_raw!DV19)</f>
        <v>y</v>
      </c>
      <c r="DW19" t="str">
        <f>IF(master_raw!DW19="","",master_raw!DW19)</f>
        <v>A073-COG-X-BVM-Re09</v>
      </c>
      <c r="DX19" t="str">
        <f>IF(master_raw!DX19="","",master_raw!DX19)</f>
        <v>y</v>
      </c>
      <c r="DY19" t="str">
        <f>IF(master_raw!DY19="","",master_raw!DY19)</f>
        <v>A074-COG-X-BVM-Re09</v>
      </c>
      <c r="DZ19" t="str">
        <f>IF(master_raw!DZ19="","",master_raw!DZ19)</f>
        <v>y</v>
      </c>
      <c r="EA19" t="str">
        <f>IF(master_raw!EA19="","",master_raw!EA19)</f>
        <v>A075-COG-X-BVM-Re09</v>
      </c>
      <c r="EB19" t="str">
        <f>IF(master_raw!EB19="","",master_raw!EB19)</f>
        <v>y</v>
      </c>
      <c r="EC19" t="str">
        <f>IF(master_raw!EC19="","",master_raw!EC19)</f>
        <v>A076-COG-X-BVM-Re09</v>
      </c>
      <c r="ED19" t="str">
        <f>IF(master_raw!ED19="","",master_raw!ED19)</f>
        <v>y</v>
      </c>
      <c r="EE19" t="str">
        <f>IF(master_raw!EE19="","",master_raw!EE19)</f>
        <v>A077-COG-X-BVM-Re09</v>
      </c>
      <c r="EF19" t="str">
        <f>IF(master_raw!EF19="","",master_raw!EF19)</f>
        <v>y</v>
      </c>
      <c r="EG19" t="str">
        <f>IF(master_raw!EG19="","",master_raw!EG19)</f>
        <v>A078-COG-X-BVM-Re09</v>
      </c>
      <c r="EH19" t="str">
        <f>IF(master_raw!EH19="","",master_raw!EH19)</f>
        <v>y</v>
      </c>
      <c r="EI19" t="str">
        <f>IF(master_raw!EI19="","",master_raw!EI19)</f>
        <v>A079-COG-X-BVM-Re09</v>
      </c>
      <c r="EJ19" t="str">
        <f>IF(master_raw!EJ19="","",master_raw!EJ19)</f>
        <v>y</v>
      </c>
      <c r="EK19" t="str">
        <f>IF(master_raw!EK19="","",master_raw!EK19)</f>
        <v>A080-COG-X-BVM-Re09</v>
      </c>
      <c r="EL19" t="str">
        <f>IF(master_raw!EL19="","",master_raw!EL19)</f>
        <v>y</v>
      </c>
      <c r="EM19" t="str">
        <f>IF(master_raw!EM19="","",master_raw!EM19)</f>
        <v>A081-COG-X-BVM-Re09</v>
      </c>
      <c r="EN19" t="str">
        <f>IF(master_raw!EN19="","",master_raw!EN19)</f>
        <v>y</v>
      </c>
      <c r="EO19" t="str">
        <f>IF(master_raw!EO19="","",master_raw!EO19)</f>
        <v>A082-COG-X-BVM-Re09</v>
      </c>
      <c r="EP19" t="str">
        <f>IF(master_raw!EP19="","",master_raw!EP19)</f>
        <v>y</v>
      </c>
      <c r="EQ19" t="str">
        <f>IF(master_raw!EQ19="","",master_raw!EQ19)</f>
        <v>A083-COG-X-BVM-Re09</v>
      </c>
      <c r="ER19" t="str">
        <f>IF(master_raw!ER19="","",master_raw!ER19)</f>
        <v>y</v>
      </c>
      <c r="ES19" t="str">
        <f>IF(master_raw!ES19="","",master_raw!ES19)</f>
        <v>A084-COG-X-BVM-Re09</v>
      </c>
      <c r="ET19" t="str">
        <f>IF(master_raw!ET19="","",master_raw!ET19)</f>
        <v>y</v>
      </c>
      <c r="EU19" t="str">
        <f>IF(master_raw!EU19="","",master_raw!EU19)</f>
        <v>A085-COG-X-BVM-Re09</v>
      </c>
      <c r="EV19" t="str">
        <f>IF(master_raw!EV19="","",master_raw!EV19)</f>
        <v>y</v>
      </c>
      <c r="EW19" t="str">
        <f>IF(master_raw!EW19="","",master_raw!EW19)</f>
        <v>A086-COG-X-BVM-Re09</v>
      </c>
      <c r="EX19" t="str">
        <f>IF(master_raw!EX19="","",master_raw!EX19)</f>
        <v>y</v>
      </c>
      <c r="EY19" t="str">
        <f>IF(master_raw!EY19="","",master_raw!EY19)</f>
        <v>A087-COG-X-BVM-Re09</v>
      </c>
      <c r="EZ19" t="str">
        <f>IF(master_raw!EZ19="","",master_raw!EZ19)</f>
        <v>y</v>
      </c>
      <c r="FA19" t="str">
        <f>IF(master_raw!FA19="","",master_raw!FA19)</f>
        <v>A088-COG-X-BVM-Re09</v>
      </c>
      <c r="FB19" t="str">
        <f>IF(master_raw!FB19="","",master_raw!FB19)</f>
        <v>y</v>
      </c>
      <c r="FC19" t="str">
        <f>IF(master_raw!FC19="","",master_raw!FC19)</f>
        <v>A089-COG-X-BVM-Re09</v>
      </c>
      <c r="FD19" t="str">
        <f>IF(master_raw!FD19="","",master_raw!FD19)</f>
        <v>y</v>
      </c>
      <c r="FE19" t="str">
        <f>IF(master_raw!FE19="","",master_raw!FE19)</f>
        <v>A090-COG-X-BVM-Re09</v>
      </c>
      <c r="FF19" t="str">
        <f>IF(master_raw!FF19="","",master_raw!FF19)</f>
        <v>y</v>
      </c>
      <c r="FG19" t="str">
        <f>IF(master_raw!FG19="","",master_raw!FG19)</f>
        <v>A091-COG-X-BVM-Re09</v>
      </c>
      <c r="FH19" t="str">
        <f>IF(master_raw!FH19="","",master_raw!FH19)</f>
        <v>y</v>
      </c>
      <c r="FI19" t="str">
        <f>IF(master_raw!FI19="","",master_raw!FI19)</f>
        <v>A092-COG-X-BVM-Re09</v>
      </c>
      <c r="FJ19" t="str">
        <f>IF(master_raw!FJ19="","",master_raw!FJ19)</f>
        <v>y</v>
      </c>
      <c r="FK19" t="str">
        <f>IF(master_raw!FK19="","",master_raw!FK19)</f>
        <v>A093-COG-X-BVM-Re09</v>
      </c>
      <c r="FL19" t="str">
        <f>IF(master_raw!FL19="","",master_raw!FL19)</f>
        <v>y</v>
      </c>
      <c r="FM19" t="str">
        <f>IF(master_raw!FM19="","",master_raw!FM19)</f>
        <v>A094-COG-X-BVM-Re09</v>
      </c>
      <c r="FN19" t="str">
        <f>IF(master_raw!FN19="","",master_raw!FN19)</f>
        <v>y</v>
      </c>
      <c r="FO19" t="str">
        <f>IF(master_raw!FO19="","",master_raw!FO19)</f>
        <v>A095-COG-X-BVM-Re09</v>
      </c>
      <c r="FP19" t="str">
        <f>IF(master_raw!FP19="","",master_raw!FP19)</f>
        <v>y</v>
      </c>
      <c r="FQ19" t="str">
        <f>IF(master_raw!FQ19="","",master_raw!FQ19)</f>
        <v>A096-COG-X-BVM-Re09</v>
      </c>
      <c r="FR19" t="str">
        <f>IF(master_raw!FR19="","",master_raw!FR19)</f>
        <v>y</v>
      </c>
      <c r="FS19" t="str">
        <f>IF(master_raw!FS19="","",master_raw!FS19)</f>
        <v>A097-COG-X-BVM-Re09</v>
      </c>
      <c r="FT19" t="str">
        <f>IF(master_raw!FT19="","",master_raw!FT19)</f>
        <v>y</v>
      </c>
      <c r="FU19" t="str">
        <f>IF(master_raw!FU19="","",master_raw!FU19)</f>
        <v>A098-COG-X-BVM-Re09</v>
      </c>
      <c r="FV19" t="str">
        <f>IF(master_raw!FV19="","",master_raw!FV19)</f>
        <v>y</v>
      </c>
      <c r="FW19" t="str">
        <f>IF(master_raw!FW19="","",master_raw!FW19)</f>
        <v>A099-COG-X-BVM-Re09</v>
      </c>
      <c r="FX19" t="str">
        <f>IF(master_raw!FX19="","",master_raw!FX19)</f>
        <v>y</v>
      </c>
      <c r="FY19" t="str">
        <f>IF(master_raw!FY19="","",master_raw!FY19)</f>
        <v>A100-COG-X-BVM-Re09</v>
      </c>
      <c r="FZ19" t="str">
        <f>IF(master_raw!FZ19="","",master_raw!FZ19)</f>
        <v>y</v>
      </c>
      <c r="GA19" t="str">
        <f>IF(master_raw!GA19="","",master_raw!GA19)</f>
        <v>A101-COG-X-BVM-Re09</v>
      </c>
      <c r="GB19" t="str">
        <f>IF(master_raw!GB19="","",master_raw!GB19)</f>
        <v>y</v>
      </c>
      <c r="GC19" t="str">
        <f>IF(master_raw!GC19="","",master_raw!GC19)</f>
        <v>A102-COG-X-BVM-Re09</v>
      </c>
      <c r="GD19" t="str">
        <f>IF(master_raw!GD19="","",master_raw!GD19)</f>
        <v>y</v>
      </c>
      <c r="GE19" t="str">
        <f>IF(master_raw!GE19="","",master_raw!GE19)</f>
        <v>A103-COG-X-BVM-Re09</v>
      </c>
      <c r="GF19" t="str">
        <f>IF(master_raw!GF19="","",master_raw!GF19)</f>
        <v>y</v>
      </c>
      <c r="GG19" t="str">
        <f>IF(master_raw!GG19="","",master_raw!GG19)</f>
        <v>A104-COG-X-BVM-Re09</v>
      </c>
      <c r="GH19" t="str">
        <f>IF(master_raw!GH19="","",master_raw!GH19)</f>
        <v>y</v>
      </c>
      <c r="GI19" t="str">
        <f>IF(master_raw!GI19="","",master_raw!GI19)</f>
        <v>A105-COG-X-BVM-Re09</v>
      </c>
      <c r="GJ19" t="str">
        <f>IF(master_raw!GJ19="","",master_raw!GJ19)</f>
        <v>y</v>
      </c>
      <c r="GK19" t="str">
        <f>IF(master_raw!GK19="","",master_raw!GK19)</f>
        <v>A106-COG-X-BVM-Re09</v>
      </c>
      <c r="GL19" t="str">
        <f>IF(master_raw!GL19="","",master_raw!GL19)</f>
        <v>y</v>
      </c>
      <c r="GM19" t="str">
        <f>IF(master_raw!GM19="","",master_raw!GM19)</f>
        <v>A107-COG-X-BVM-Re09</v>
      </c>
      <c r="GN19" t="str">
        <f>IF(master_raw!GN19="","",master_raw!GN19)</f>
        <v>y</v>
      </c>
      <c r="GO19" t="str">
        <f>IF(master_raw!GO19="","",master_raw!GO19)</f>
        <v>A108-COG-X-BVM-Re09</v>
      </c>
      <c r="GP19" t="str">
        <f>IF(master_raw!GP19="","",master_raw!GP19)</f>
        <v>y</v>
      </c>
      <c r="GQ19" t="str">
        <f>IF(master_raw!GQ19="","",master_raw!GQ19)</f>
        <v>A109-COG-X-BVM-Re09</v>
      </c>
      <c r="GR19" t="str">
        <f>IF(master_raw!GR19="","",master_raw!GR19)</f>
        <v>y</v>
      </c>
    </row>
    <row r="20" spans="1:256" x14ac:dyDescent="0.25">
      <c r="A20" t="str">
        <f>IF(master_raw!A20="","",master_raw!A20)</f>
        <v>A010-COG-X-BVM-Re10</v>
      </c>
      <c r="B20" t="str">
        <f>IF(master_raw!B20="","",master_raw!B20)</f>
        <v>n</v>
      </c>
      <c r="C20" t="str">
        <f>IF(master_raw!C20="","",master_raw!C20)</f>
        <v>A011-COG-X-BVM-Re10</v>
      </c>
      <c r="D20" t="str">
        <f>IF(master_raw!D20="","",master_raw!D20)</f>
        <v>n</v>
      </c>
      <c r="E20" t="str">
        <f>IF(master_raw!E20="","",master_raw!E20)</f>
        <v>A012-COG-X-BVM-Re10</v>
      </c>
      <c r="F20" t="str">
        <f>IF(master_raw!F20="","",master_raw!F20)</f>
        <v>n</v>
      </c>
      <c r="G20" t="str">
        <f>IF(master_raw!G20="","",master_raw!G20)</f>
        <v>A013-COG-X-BVM-Re10</v>
      </c>
      <c r="H20" t="str">
        <f>IF(master_raw!H20="","",master_raw!H20)</f>
        <v>n</v>
      </c>
      <c r="I20" t="str">
        <f>IF(master_raw!I20="","",master_raw!I20)</f>
        <v>A014-COG-X-BVM-Re10</v>
      </c>
      <c r="J20" t="str">
        <f>IF(master_raw!J20="","",master_raw!J20)</f>
        <v>n</v>
      </c>
      <c r="K20" t="str">
        <f>IF(master_raw!K20="","",master_raw!K20)</f>
        <v>A015-COG-X-BVM-Re10</v>
      </c>
      <c r="L20" t="str">
        <f>IF(master_raw!L20="","",master_raw!L20)</f>
        <v>n</v>
      </c>
      <c r="M20" t="str">
        <f>IF(master_raw!M20="","",master_raw!M20)</f>
        <v>A016-COG-X-BVM-Re10</v>
      </c>
      <c r="N20" t="str">
        <f>IF(master_raw!N20="","",master_raw!N20)</f>
        <v>n</v>
      </c>
      <c r="O20" t="str">
        <f>IF(master_raw!O20="","",master_raw!O20)</f>
        <v>A017-COG-X-BVM-Re10</v>
      </c>
      <c r="P20" t="str">
        <f>IF(master_raw!P20="","",master_raw!P20)</f>
        <v>n</v>
      </c>
      <c r="Q20" t="str">
        <f>IF(master_raw!Q20="","",master_raw!Q20)</f>
        <v>A018-COG-X-BVM-Re10</v>
      </c>
      <c r="R20" t="str">
        <f>IF(master_raw!R20="","",master_raw!R20)</f>
        <v>n</v>
      </c>
      <c r="S20" t="str">
        <f>IF(master_raw!S20="","",master_raw!S20)</f>
        <v>A019-COG-X-BVM-Re10</v>
      </c>
      <c r="T20" t="str">
        <f>IF(master_raw!T20="","",master_raw!T20)</f>
        <v>n</v>
      </c>
      <c r="U20" t="str">
        <f>IF(master_raw!U20="","",master_raw!U20)</f>
        <v>A020-COG-X-BVM-Re10</v>
      </c>
      <c r="V20" t="str">
        <f>IF(master_raw!V20="","",master_raw!V20)</f>
        <v>n</v>
      </c>
      <c r="W20" t="str">
        <f>IF(master_raw!W20="","",master_raw!W20)</f>
        <v>A021-COG-X-BVM-Re10</v>
      </c>
      <c r="X20" t="str">
        <f>IF(master_raw!X20="","",master_raw!X20)</f>
        <v>n</v>
      </c>
      <c r="Y20" t="str">
        <f>IF(master_raw!Y20="","",master_raw!Y20)</f>
        <v>A022-COG-X-BVM-Re10</v>
      </c>
      <c r="Z20" t="str">
        <f>IF(master_raw!Z20="","",master_raw!Z20)</f>
        <v>n</v>
      </c>
      <c r="AA20" t="str">
        <f>IF(master_raw!AA20="","",master_raw!AA20)</f>
        <v>A023-COG-X-BVM-Re10</v>
      </c>
      <c r="AB20" t="str">
        <f>IF(master_raw!AB20="","",master_raw!AB20)</f>
        <v>n</v>
      </c>
      <c r="AC20" t="str">
        <f>IF(master_raw!AC20="","",master_raw!AC20)</f>
        <v>A024-COG-X-BVM-Re10</v>
      </c>
      <c r="AD20" t="str">
        <f>IF(master_raw!AD20="","",master_raw!AD20)</f>
        <v>n</v>
      </c>
      <c r="AE20" t="str">
        <f>IF(master_raw!AE20="","",master_raw!AE20)</f>
        <v>A025-COG-X-BVM-Re10</v>
      </c>
      <c r="AF20" t="str">
        <f>IF(master_raw!AF20="","",master_raw!AF20)</f>
        <v>n</v>
      </c>
      <c r="AG20" t="str">
        <f>IF(master_raw!AG20="","",master_raw!AG20)</f>
        <v>A026-COG-X-BVM-Re10</v>
      </c>
      <c r="AH20" t="str">
        <f>IF(master_raw!AH20="","",master_raw!AH20)</f>
        <v>n</v>
      </c>
      <c r="AI20" t="str">
        <f>IF(master_raw!AI20="","",master_raw!AI20)</f>
        <v>A027-COG-X-BVM-Re10</v>
      </c>
      <c r="AJ20" t="str">
        <f>IF(master_raw!AJ20="","",master_raw!AJ20)</f>
        <v>n</v>
      </c>
      <c r="AK20" t="str">
        <f>IF(master_raw!AK20="","",master_raw!AK20)</f>
        <v>A028-COG-X-BVM-Re10</v>
      </c>
      <c r="AL20" t="str">
        <f>IF(master_raw!AL20="","",master_raw!AL20)</f>
        <v>n</v>
      </c>
      <c r="AM20" t="str">
        <f>IF(master_raw!AM20="","",master_raw!AM20)</f>
        <v>A029-COG-X-BVM-Re10</v>
      </c>
      <c r="AN20" t="str">
        <f>IF(master_raw!AN20="","",master_raw!AN20)</f>
        <v>n</v>
      </c>
      <c r="AO20" t="str">
        <f>IF(master_raw!AO20="","",master_raw!AO20)</f>
        <v>A030-COG-X-BVM-Re10</v>
      </c>
      <c r="AP20" t="str">
        <f>IF(master_raw!AP20="","",master_raw!AP20)</f>
        <v>n</v>
      </c>
      <c r="AQ20" t="str">
        <f>IF(master_raw!AQ20="","",master_raw!AQ20)</f>
        <v>A031-COG-X-BVM-Re10</v>
      </c>
      <c r="AR20" t="str">
        <f>IF(master_raw!AR20="","",master_raw!AR20)</f>
        <v>n</v>
      </c>
      <c r="AS20" t="str">
        <f>IF(master_raw!AS20="","",master_raw!AS20)</f>
        <v>A032-COG-X-BVM-Re10</v>
      </c>
      <c r="AT20" t="str">
        <f>IF(master_raw!AT20="","",master_raw!AT20)</f>
        <v>n</v>
      </c>
      <c r="AU20" t="str">
        <f>IF(master_raw!AU20="","",master_raw!AU20)</f>
        <v>A033-COG-X-BVM-Re10</v>
      </c>
      <c r="AV20" t="str">
        <f>IF(master_raw!AV20="","",master_raw!AV20)</f>
        <v>n</v>
      </c>
      <c r="AW20" t="str">
        <f>IF(master_raw!AW20="","",master_raw!AW20)</f>
        <v>A034-COG-X-BVM-Re10</v>
      </c>
      <c r="AX20" t="str">
        <f>IF(master_raw!AX20="","",master_raw!AX20)</f>
        <v>n</v>
      </c>
      <c r="AY20" t="str">
        <f>IF(master_raw!AY20="","",master_raw!AY20)</f>
        <v>A035-COG-X-BVM-Re10</v>
      </c>
      <c r="AZ20" t="str">
        <f>IF(master_raw!AZ20="","",master_raw!AZ20)</f>
        <v>n</v>
      </c>
      <c r="BA20" t="str">
        <f>IF(master_raw!BA20="","",master_raw!BA20)</f>
        <v>A036-COG-X-BVM-Re10</v>
      </c>
      <c r="BB20" t="str">
        <f>IF(master_raw!BB20="","",master_raw!BB20)</f>
        <v>n</v>
      </c>
      <c r="BC20" t="str">
        <f>IF(master_raw!BC20="","",master_raw!BC20)</f>
        <v>A037-COG-X-BVM-Re10</v>
      </c>
      <c r="BD20" t="str">
        <f>IF(master_raw!BD20="","",master_raw!BD20)</f>
        <v>n</v>
      </c>
      <c r="BE20" t="str">
        <f>IF(master_raw!BE20="","",master_raw!BE20)</f>
        <v>A038-COG-X-BVM-Re10</v>
      </c>
      <c r="BF20" t="str">
        <f>IF(master_raw!BF20="","",master_raw!BF20)</f>
        <v>n</v>
      </c>
      <c r="BG20" t="str">
        <f>IF(master_raw!BG20="","",master_raw!BG20)</f>
        <v>A039-COG-X-BVM-Re10</v>
      </c>
      <c r="BH20" t="str">
        <f>IF(master_raw!BH20="","",master_raw!BH20)</f>
        <v>n</v>
      </c>
      <c r="BI20" t="str">
        <f>IF(master_raw!BI20="","",master_raw!BI20)</f>
        <v>A040-COG-X-BVM-Re10</v>
      </c>
      <c r="BJ20" t="str">
        <f>IF(master_raw!BJ20="","",master_raw!BJ20)</f>
        <v>n</v>
      </c>
      <c r="BK20" t="str">
        <f>IF(master_raw!BK20="","",master_raw!BK20)</f>
        <v>A041-COG-X-BVM-Re10</v>
      </c>
      <c r="BL20" t="str">
        <f>IF(master_raw!BL20="","",master_raw!BL20)</f>
        <v>n</v>
      </c>
      <c r="BM20" t="str">
        <f>IF(master_raw!BM20="","",master_raw!BM20)</f>
        <v>A042-COG-X-BVM-Re10</v>
      </c>
      <c r="BN20" t="str">
        <f>IF(master_raw!BN20="","",master_raw!BN20)</f>
        <v>n</v>
      </c>
      <c r="BO20" t="str">
        <f>IF(master_raw!BO20="","",master_raw!BO20)</f>
        <v>A043-COG-X-BVM-Re10</v>
      </c>
      <c r="BP20" t="str">
        <f>IF(master_raw!BP20="","",master_raw!BP20)</f>
        <v>n</v>
      </c>
      <c r="BQ20" t="str">
        <f>IF(master_raw!BQ20="","",master_raw!BQ20)</f>
        <v>A044-COG-X-BVM-Re10</v>
      </c>
      <c r="BR20" t="str">
        <f>IF(master_raw!BR20="","",master_raw!BR20)</f>
        <v>n</v>
      </c>
      <c r="BS20" t="str">
        <f>IF(master_raw!BS20="","",master_raw!BS20)</f>
        <v>A045-COG-X-BVM-Re10</v>
      </c>
      <c r="BT20" t="str">
        <f>IF(master_raw!BT20="","",master_raw!BT20)</f>
        <v>n</v>
      </c>
      <c r="BU20" t="str">
        <f>IF(master_raw!BU20="","",master_raw!BU20)</f>
        <v>A046-COG-X-BVM-Re10</v>
      </c>
      <c r="BV20" t="str">
        <f>IF(master_raw!BV20="","",master_raw!BV20)</f>
        <v>n</v>
      </c>
      <c r="BW20" t="str">
        <f>IF(master_raw!BW20="","",master_raw!BW20)</f>
        <v>A047-COG-X-BVM-Re10</v>
      </c>
      <c r="BX20" t="str">
        <f>IF(master_raw!BX20="","",master_raw!BX20)</f>
        <v>n</v>
      </c>
      <c r="BY20" t="str">
        <f>IF(master_raw!BY20="","",master_raw!BY20)</f>
        <v>A048-COG-X-BVM-Re10</v>
      </c>
      <c r="BZ20" t="str">
        <f>IF(master_raw!BZ20="","",master_raw!BZ20)</f>
        <v>n</v>
      </c>
      <c r="CA20" t="str">
        <f>IF(master_raw!CA20="","",master_raw!CA20)</f>
        <v>A049-COG-X-BVM-Re10</v>
      </c>
      <c r="CB20" t="str">
        <f>IF(master_raw!CB20="","",master_raw!CB20)</f>
        <v>n</v>
      </c>
      <c r="CC20" t="str">
        <f>IF(master_raw!CC20="","",master_raw!CC20)</f>
        <v>A050-COG-X-BVM-Re10</v>
      </c>
      <c r="CD20" t="str">
        <f>IF(master_raw!CD20="","",master_raw!CD20)</f>
        <v>n</v>
      </c>
      <c r="CE20" t="str">
        <f>IF(master_raw!CE20="","",master_raw!CE20)</f>
        <v>A051-COG-X-BVM-Re10</v>
      </c>
      <c r="CF20" t="str">
        <f>IF(master_raw!CF20="","",master_raw!CF20)</f>
        <v>n</v>
      </c>
      <c r="CG20" t="str">
        <f>IF(master_raw!CG20="","",master_raw!CG20)</f>
        <v>A052-COG-X-BVM-Re10</v>
      </c>
      <c r="CH20" t="str">
        <f>IF(master_raw!CH20="","",master_raw!CH20)</f>
        <v>n</v>
      </c>
      <c r="CI20" t="str">
        <f>IF(master_raw!CI20="","",master_raw!CI20)</f>
        <v>A053-COG-X-BVM-Re10</v>
      </c>
      <c r="CJ20" t="str">
        <f>IF(master_raw!CJ20="","",master_raw!CJ20)</f>
        <v>n</v>
      </c>
      <c r="CK20" t="str">
        <f>IF(master_raw!CK20="","",master_raw!CK20)</f>
        <v>A054-COG-X-BVM-Re10</v>
      </c>
      <c r="CL20" t="str">
        <f>IF(master_raw!CL20="","",master_raw!CL20)</f>
        <v>n</v>
      </c>
      <c r="CM20" t="str">
        <f>IF(master_raw!CM20="","",master_raw!CM20)</f>
        <v>A055-COG-X-BVM-Re10</v>
      </c>
      <c r="CN20" t="str">
        <f>IF(master_raw!CN20="","",master_raw!CN20)</f>
        <v>n</v>
      </c>
      <c r="CO20" t="str">
        <f>IF(master_raw!CO20="","",master_raw!CO20)</f>
        <v>A056-COG-X-BVM-Re10</v>
      </c>
      <c r="CP20" t="str">
        <f>IF(master_raw!CP20="","",master_raw!CP20)</f>
        <v>n</v>
      </c>
      <c r="CQ20" t="str">
        <f>IF(master_raw!CQ20="","",master_raw!CQ20)</f>
        <v>A057-COG-X-BVM-Re10</v>
      </c>
      <c r="CR20" t="str">
        <f>IF(master_raw!CR20="","",master_raw!CR20)</f>
        <v>n</v>
      </c>
      <c r="CS20" t="str">
        <f>IF(master_raw!CS20="","",master_raw!CS20)</f>
        <v>A058-COG-X-BVM-Re10</v>
      </c>
      <c r="CT20" t="str">
        <f>IF(master_raw!CT20="","",master_raw!CT20)</f>
        <v>n</v>
      </c>
      <c r="CU20" t="str">
        <f>IF(master_raw!CU20="","",master_raw!CU20)</f>
        <v>A059-COG-X-BVM-Re10</v>
      </c>
      <c r="CV20" t="str">
        <f>IF(master_raw!CV20="","",master_raw!CV20)</f>
        <v>n</v>
      </c>
      <c r="CW20" t="str">
        <f>IF(master_raw!CW20="","",master_raw!CW20)</f>
        <v>A060-COG-X-BVM-Re10</v>
      </c>
      <c r="CX20" t="str">
        <f>IF(master_raw!CX20="","",master_raw!CX20)</f>
        <v>n</v>
      </c>
      <c r="CY20" t="str">
        <f>IF(master_raw!CY20="","",master_raw!CY20)</f>
        <v>A061-COG-X-BVM-Re10</v>
      </c>
      <c r="CZ20" t="str">
        <f>IF(master_raw!CZ20="","",master_raw!CZ20)</f>
        <v>n</v>
      </c>
      <c r="DA20" t="str">
        <f>IF(master_raw!DA20="","",master_raw!DA20)</f>
        <v>A062-COG-X-BVM-Re10</v>
      </c>
      <c r="DB20" t="str">
        <f>IF(master_raw!DB20="","",master_raw!DB20)</f>
        <v>n</v>
      </c>
      <c r="DC20" t="str">
        <f>IF(master_raw!DC20="","",master_raw!DC20)</f>
        <v>A063-COG-X-BVM-Re10</v>
      </c>
      <c r="DD20" t="str">
        <f>IF(master_raw!DD20="","",master_raw!DD20)</f>
        <v>n</v>
      </c>
      <c r="DE20" t="str">
        <f>IF(master_raw!DE20="","",master_raw!DE20)</f>
        <v>A064-COG-X-BVM-Re10</v>
      </c>
      <c r="DF20" t="str">
        <f>IF(master_raw!DF20="","",master_raw!DF20)</f>
        <v>n</v>
      </c>
      <c r="DG20" t="str">
        <f>IF(master_raw!DG20="","",master_raw!DG20)</f>
        <v>A065-COG-X-BVM-Re10</v>
      </c>
      <c r="DH20" t="str">
        <f>IF(master_raw!DH20="","",master_raw!DH20)</f>
        <v>n</v>
      </c>
      <c r="DI20" t="str">
        <f>IF(master_raw!DI20="","",master_raw!DI20)</f>
        <v>A066-COG-X-BVM-Re10</v>
      </c>
      <c r="DJ20" t="str">
        <f>IF(master_raw!DJ20="","",master_raw!DJ20)</f>
        <v>n</v>
      </c>
      <c r="DK20" t="str">
        <f>IF(master_raw!DK20="","",master_raw!DK20)</f>
        <v>A067-COG-X-BVM-Re10</v>
      </c>
      <c r="DL20" t="str">
        <f>IF(master_raw!DL20="","",master_raw!DL20)</f>
        <v>n</v>
      </c>
      <c r="DM20" t="str">
        <f>IF(master_raw!DM20="","",master_raw!DM20)</f>
        <v>A068-COG-X-BVM-Re10</v>
      </c>
      <c r="DN20" t="str">
        <f>IF(master_raw!DN20="","",master_raw!DN20)</f>
        <v>n</v>
      </c>
      <c r="DO20" t="str">
        <f>IF(master_raw!DO20="","",master_raw!DO20)</f>
        <v>A069-COG-X-BVM-Re10</v>
      </c>
      <c r="DP20" t="str">
        <f>IF(master_raw!DP20="","",master_raw!DP20)</f>
        <v>n</v>
      </c>
      <c r="DQ20" t="str">
        <f>IF(master_raw!DQ20="","",master_raw!DQ20)</f>
        <v>A070-COG-X-BVM-Re10</v>
      </c>
      <c r="DR20" t="str">
        <f>IF(master_raw!DR20="","",master_raw!DR20)</f>
        <v>n</v>
      </c>
      <c r="DS20" t="str">
        <f>IF(master_raw!DS20="","",master_raw!DS20)</f>
        <v>A071-COG-X-BVM-Re10</v>
      </c>
      <c r="DT20" t="str">
        <f>IF(master_raw!DT20="","",master_raw!DT20)</f>
        <v>n</v>
      </c>
      <c r="DU20" t="str">
        <f>IF(master_raw!DU20="","",master_raw!DU20)</f>
        <v>A072-COG-X-BVM-Re10</v>
      </c>
      <c r="DV20" t="str">
        <f>IF(master_raw!DV20="","",master_raw!DV20)</f>
        <v>n</v>
      </c>
      <c r="DW20" t="str">
        <f>IF(master_raw!DW20="","",master_raw!DW20)</f>
        <v>A073-COG-X-BVM-Re10</v>
      </c>
      <c r="DX20" t="str">
        <f>IF(master_raw!DX20="","",master_raw!DX20)</f>
        <v>n</v>
      </c>
      <c r="DY20" t="str">
        <f>IF(master_raw!DY20="","",master_raw!DY20)</f>
        <v>A074-COG-X-BVM-Re10</v>
      </c>
      <c r="DZ20" t="str">
        <f>IF(master_raw!DZ20="","",master_raw!DZ20)</f>
        <v>n</v>
      </c>
      <c r="EA20" t="str">
        <f>IF(master_raw!EA20="","",master_raw!EA20)</f>
        <v>A075-COG-X-BVM-Re10</v>
      </c>
      <c r="EB20" t="str">
        <f>IF(master_raw!EB20="","",master_raw!EB20)</f>
        <v>n</v>
      </c>
      <c r="EC20" t="str">
        <f>IF(master_raw!EC20="","",master_raw!EC20)</f>
        <v>A076-COG-X-BVM-Re10</v>
      </c>
      <c r="ED20" t="str">
        <f>IF(master_raw!ED20="","",master_raw!ED20)</f>
        <v>n</v>
      </c>
      <c r="EE20" t="str">
        <f>IF(master_raw!EE20="","",master_raw!EE20)</f>
        <v>A077-COG-X-BVM-Re10</v>
      </c>
      <c r="EF20" t="str">
        <f>IF(master_raw!EF20="","",master_raw!EF20)</f>
        <v>n</v>
      </c>
      <c r="EG20" t="str">
        <f>IF(master_raw!EG20="","",master_raw!EG20)</f>
        <v>A078-COG-X-BVM-Re10</v>
      </c>
      <c r="EH20" t="str">
        <f>IF(master_raw!EH20="","",master_raw!EH20)</f>
        <v>n</v>
      </c>
      <c r="EI20" t="str">
        <f>IF(master_raw!EI20="","",master_raw!EI20)</f>
        <v>A079-COG-X-BVM-Re10</v>
      </c>
      <c r="EJ20" t="str">
        <f>IF(master_raw!EJ20="","",master_raw!EJ20)</f>
        <v>n</v>
      </c>
      <c r="EK20" t="str">
        <f>IF(master_raw!EK20="","",master_raw!EK20)</f>
        <v>A080-COG-X-BVM-Re10</v>
      </c>
      <c r="EL20" t="str">
        <f>IF(master_raw!EL20="","",master_raw!EL20)</f>
        <v>n</v>
      </c>
      <c r="EM20" t="str">
        <f>IF(master_raw!EM20="","",master_raw!EM20)</f>
        <v>A081-COG-X-BVM-Re10</v>
      </c>
      <c r="EN20" t="str">
        <f>IF(master_raw!EN20="","",master_raw!EN20)</f>
        <v>n</v>
      </c>
      <c r="EO20" t="str">
        <f>IF(master_raw!EO20="","",master_raw!EO20)</f>
        <v>A082-COG-X-BVM-Re10</v>
      </c>
      <c r="EP20" t="str">
        <f>IF(master_raw!EP20="","",master_raw!EP20)</f>
        <v>n</v>
      </c>
      <c r="EQ20" t="str">
        <f>IF(master_raw!EQ20="","",master_raw!EQ20)</f>
        <v>A083-COG-X-BVM-Re10</v>
      </c>
      <c r="ER20" t="str">
        <f>IF(master_raw!ER20="","",master_raw!ER20)</f>
        <v>n</v>
      </c>
      <c r="ES20" t="str">
        <f>IF(master_raw!ES20="","",master_raw!ES20)</f>
        <v>A084-COG-X-BVM-Re10</v>
      </c>
      <c r="ET20" t="str">
        <f>IF(master_raw!ET20="","",master_raw!ET20)</f>
        <v>n</v>
      </c>
      <c r="EU20" t="str">
        <f>IF(master_raw!EU20="","",master_raw!EU20)</f>
        <v>A085-COG-X-BVM-Re10</v>
      </c>
      <c r="EV20" t="str">
        <f>IF(master_raw!EV20="","",master_raw!EV20)</f>
        <v>n</v>
      </c>
      <c r="EW20" t="str">
        <f>IF(master_raw!EW20="","",master_raw!EW20)</f>
        <v>A086-COG-X-BVM-Re10</v>
      </c>
      <c r="EX20" t="str">
        <f>IF(master_raw!EX20="","",master_raw!EX20)</f>
        <v>n</v>
      </c>
      <c r="EY20" t="str">
        <f>IF(master_raw!EY20="","",master_raw!EY20)</f>
        <v>A087-COG-X-BVM-Re10</v>
      </c>
      <c r="EZ20" t="str">
        <f>IF(master_raw!EZ20="","",master_raw!EZ20)</f>
        <v>n</v>
      </c>
      <c r="FA20" t="str">
        <f>IF(master_raw!FA20="","",master_raw!FA20)</f>
        <v>A088-COG-X-BVM-Re10</v>
      </c>
      <c r="FB20" t="str">
        <f>IF(master_raw!FB20="","",master_raw!FB20)</f>
        <v>n</v>
      </c>
      <c r="FC20" t="str">
        <f>IF(master_raw!FC20="","",master_raw!FC20)</f>
        <v>A089-COG-X-BVM-Re10</v>
      </c>
      <c r="FD20" t="str">
        <f>IF(master_raw!FD20="","",master_raw!FD20)</f>
        <v>n</v>
      </c>
      <c r="FE20" t="str">
        <f>IF(master_raw!FE20="","",master_raw!FE20)</f>
        <v>A090-COG-X-BVM-Re10</v>
      </c>
      <c r="FF20" t="str">
        <f>IF(master_raw!FF20="","",master_raw!FF20)</f>
        <v>n</v>
      </c>
      <c r="FG20" t="str">
        <f>IF(master_raw!FG20="","",master_raw!FG20)</f>
        <v>A091-COG-X-BVM-Re10</v>
      </c>
      <c r="FH20" t="str">
        <f>IF(master_raw!FH20="","",master_raw!FH20)</f>
        <v>n</v>
      </c>
      <c r="FI20" t="str">
        <f>IF(master_raw!FI20="","",master_raw!FI20)</f>
        <v>A092-COG-X-BVM-Re10</v>
      </c>
      <c r="FJ20" t="str">
        <f>IF(master_raw!FJ20="","",master_raw!FJ20)</f>
        <v>n</v>
      </c>
      <c r="FK20" t="str">
        <f>IF(master_raw!FK20="","",master_raw!FK20)</f>
        <v>A093-COG-X-BVM-Re10</v>
      </c>
      <c r="FL20" t="str">
        <f>IF(master_raw!FL20="","",master_raw!FL20)</f>
        <v>n</v>
      </c>
      <c r="FM20" t="str">
        <f>IF(master_raw!FM20="","",master_raw!FM20)</f>
        <v>A094-COG-X-BVM-Re10</v>
      </c>
      <c r="FN20" t="str">
        <f>IF(master_raw!FN20="","",master_raw!FN20)</f>
        <v>n</v>
      </c>
      <c r="FO20" t="str">
        <f>IF(master_raw!FO20="","",master_raw!FO20)</f>
        <v>A095-COG-X-BVM-Re10</v>
      </c>
      <c r="FP20" t="str">
        <f>IF(master_raw!FP20="","",master_raw!FP20)</f>
        <v>n</v>
      </c>
      <c r="FQ20" t="str">
        <f>IF(master_raw!FQ20="","",master_raw!FQ20)</f>
        <v>A096-COG-X-BVM-Re10</v>
      </c>
      <c r="FR20" t="str">
        <f>IF(master_raw!FR20="","",master_raw!FR20)</f>
        <v>n</v>
      </c>
      <c r="FS20" t="str">
        <f>IF(master_raw!FS20="","",master_raw!FS20)</f>
        <v>A097-COG-X-BVM-Re10</v>
      </c>
      <c r="FT20" t="str">
        <f>IF(master_raw!FT20="","",master_raw!FT20)</f>
        <v>n</v>
      </c>
      <c r="FU20" t="str">
        <f>IF(master_raw!FU20="","",master_raw!FU20)</f>
        <v>A098-COG-X-BVM-Re10</v>
      </c>
      <c r="FV20" t="str">
        <f>IF(master_raw!FV20="","",master_raw!FV20)</f>
        <v>n</v>
      </c>
      <c r="FW20" t="str">
        <f>IF(master_raw!FW20="","",master_raw!FW20)</f>
        <v>A099-COG-X-BVM-Re10</v>
      </c>
      <c r="FX20" t="str">
        <f>IF(master_raw!FX20="","",master_raw!FX20)</f>
        <v>n</v>
      </c>
      <c r="FY20" t="str">
        <f>IF(master_raw!FY20="","",master_raw!FY20)</f>
        <v>A100-COG-X-BVM-Re10</v>
      </c>
      <c r="FZ20" t="str">
        <f>IF(master_raw!FZ20="","",master_raw!FZ20)</f>
        <v>n</v>
      </c>
      <c r="GA20" t="str">
        <f>IF(master_raw!GA20="","",master_raw!GA20)</f>
        <v>A101-COG-X-BVM-Re10</v>
      </c>
      <c r="GB20" t="str">
        <f>IF(master_raw!GB20="","",master_raw!GB20)</f>
        <v>n</v>
      </c>
      <c r="GC20" t="str">
        <f>IF(master_raw!GC20="","",master_raw!GC20)</f>
        <v>A102-COG-X-BVM-Re10</v>
      </c>
      <c r="GD20" t="str">
        <f>IF(master_raw!GD20="","",master_raw!GD20)</f>
        <v>n</v>
      </c>
      <c r="GE20" t="str">
        <f>IF(master_raw!GE20="","",master_raw!GE20)</f>
        <v>A103-COG-X-BVM-Re10</v>
      </c>
      <c r="GF20" t="str">
        <f>IF(master_raw!GF20="","",master_raw!GF20)</f>
        <v>n</v>
      </c>
      <c r="GG20" t="str">
        <f>IF(master_raw!GG20="","",master_raw!GG20)</f>
        <v>A104-COG-X-BVM-Re10</v>
      </c>
      <c r="GH20" t="str">
        <f>IF(master_raw!GH20="","",master_raw!GH20)</f>
        <v>n</v>
      </c>
      <c r="GI20" t="str">
        <f>IF(master_raw!GI20="","",master_raw!GI20)</f>
        <v>A105-COG-X-BVM-Re10</v>
      </c>
      <c r="GJ20" t="str">
        <f>IF(master_raw!GJ20="","",master_raw!GJ20)</f>
        <v>n</v>
      </c>
      <c r="GK20" t="str">
        <f>IF(master_raw!GK20="","",master_raw!GK20)</f>
        <v>A106-COG-X-BVM-Re10</v>
      </c>
      <c r="GL20" t="str">
        <f>IF(master_raw!GL20="","",master_raw!GL20)</f>
        <v>n</v>
      </c>
      <c r="GM20" t="str">
        <f>IF(master_raw!GM20="","",master_raw!GM20)</f>
        <v>A107-COG-X-BVM-Re10</v>
      </c>
      <c r="GN20" t="str">
        <f>IF(master_raw!GN20="","",master_raw!GN20)</f>
        <v>n</v>
      </c>
      <c r="GO20" t="str">
        <f>IF(master_raw!GO20="","",master_raw!GO20)</f>
        <v>A108-COG-X-BVM-Re10</v>
      </c>
      <c r="GP20" t="str">
        <f>IF(master_raw!GP20="","",master_raw!GP20)</f>
        <v>n</v>
      </c>
      <c r="GQ20" t="str">
        <f>IF(master_raw!GQ20="","",master_raw!GQ20)</f>
        <v>A109-COG-X-BVM-Re10</v>
      </c>
      <c r="GR20" t="str">
        <f>IF(master_raw!GR20="","",master_raw!GR20)</f>
        <v>n</v>
      </c>
    </row>
    <row r="21" spans="1:256" x14ac:dyDescent="0.25">
      <c r="A21" t="str">
        <f>IF(master_raw!A21="","",master_raw!A21)</f>
        <v>A010-COG-X-BVM-Re11</v>
      </c>
      <c r="B21" t="str">
        <f>IF(master_raw!B21="","",master_raw!B21)</f>
        <v>n</v>
      </c>
      <c r="C21" t="str">
        <f>IF(master_raw!C21="","",master_raw!C21)</f>
        <v>A011-COG-X-BVM-Re11</v>
      </c>
      <c r="D21" t="str">
        <f>IF(master_raw!D21="","",master_raw!D21)</f>
        <v>n</v>
      </c>
      <c r="E21" t="str">
        <f>IF(master_raw!E21="","",master_raw!E21)</f>
        <v>A012-COG-X-BVM-Re11</v>
      </c>
      <c r="F21" t="str">
        <f>IF(master_raw!F21="","",master_raw!F21)</f>
        <v>n</v>
      </c>
      <c r="G21" t="str">
        <f>IF(master_raw!G21="","",master_raw!G21)</f>
        <v>A013-COG-X-BVM-Re11</v>
      </c>
      <c r="H21" t="str">
        <f>IF(master_raw!H21="","",master_raw!H21)</f>
        <v>n</v>
      </c>
      <c r="I21" t="str">
        <f>IF(master_raw!I21="","",master_raw!I21)</f>
        <v>A014-COG-X-BVM-Re11</v>
      </c>
      <c r="J21" t="str">
        <f>IF(master_raw!J21="","",master_raw!J21)</f>
        <v>n</v>
      </c>
      <c r="K21" t="str">
        <f>IF(master_raw!K21="","",master_raw!K21)</f>
        <v>A015-COG-X-BVM-Re11</v>
      </c>
      <c r="L21" t="str">
        <f>IF(master_raw!L21="","",master_raw!L21)</f>
        <v>n</v>
      </c>
      <c r="M21" t="str">
        <f>IF(master_raw!M21="","",master_raw!M21)</f>
        <v>A016-COG-X-BVM-Re11</v>
      </c>
      <c r="N21" t="str">
        <f>IF(master_raw!N21="","",master_raw!N21)</f>
        <v>n</v>
      </c>
      <c r="O21" t="str">
        <f>IF(master_raw!O21="","",master_raw!O21)</f>
        <v>A017-COG-X-BVM-Re11</v>
      </c>
      <c r="P21" t="str">
        <f>IF(master_raw!P21="","",master_raw!P21)</f>
        <v>n</v>
      </c>
      <c r="Q21" t="str">
        <f>IF(master_raw!Q21="","",master_raw!Q21)</f>
        <v>A018-COG-X-BVM-Re11</v>
      </c>
      <c r="R21" t="str">
        <f>IF(master_raw!R21="","",master_raw!R21)</f>
        <v>n</v>
      </c>
      <c r="S21" t="str">
        <f>IF(master_raw!S21="","",master_raw!S21)</f>
        <v>A019-COG-X-BVM-Re11</v>
      </c>
      <c r="T21" t="str">
        <f>IF(master_raw!T21="","",master_raw!T21)</f>
        <v>n</v>
      </c>
      <c r="U21" t="str">
        <f>IF(master_raw!U21="","",master_raw!U21)</f>
        <v>A020-COG-X-BVM-Re11</v>
      </c>
      <c r="V21" t="str">
        <f>IF(master_raw!V21="","",master_raw!V21)</f>
        <v>n</v>
      </c>
      <c r="W21" t="str">
        <f>IF(master_raw!W21="","",master_raw!W21)</f>
        <v>A021-COG-X-BVM-Re11</v>
      </c>
      <c r="X21" t="str">
        <f>IF(master_raw!X21="","",master_raw!X21)</f>
        <v>n</v>
      </c>
      <c r="Y21" t="str">
        <f>IF(master_raw!Y21="","",master_raw!Y21)</f>
        <v>A022-COG-X-BVM-Re11</v>
      </c>
      <c r="Z21" t="str">
        <f>IF(master_raw!Z21="","",master_raw!Z21)</f>
        <v>n</v>
      </c>
      <c r="AA21" t="str">
        <f>IF(master_raw!AA21="","",master_raw!AA21)</f>
        <v>A023-COG-X-BVM-Re11</v>
      </c>
      <c r="AB21" t="str">
        <f>IF(master_raw!AB21="","",master_raw!AB21)</f>
        <v>n</v>
      </c>
      <c r="AC21" t="str">
        <f>IF(master_raw!AC21="","",master_raw!AC21)</f>
        <v>A024-COG-X-BVM-Re11</v>
      </c>
      <c r="AD21" t="str">
        <f>IF(master_raw!AD21="","",master_raw!AD21)</f>
        <v>n</v>
      </c>
      <c r="AE21" t="str">
        <f>IF(master_raw!AE21="","",master_raw!AE21)</f>
        <v>A025-COG-X-BVM-Re11</v>
      </c>
      <c r="AF21" t="str">
        <f>IF(master_raw!AF21="","",master_raw!AF21)</f>
        <v>n</v>
      </c>
      <c r="AG21" t="str">
        <f>IF(master_raw!AG21="","",master_raw!AG21)</f>
        <v>A026-COG-X-BVM-Re11</v>
      </c>
      <c r="AH21" t="str">
        <f>IF(master_raw!AH21="","",master_raw!AH21)</f>
        <v>n</v>
      </c>
      <c r="AI21" t="str">
        <f>IF(master_raw!AI21="","",master_raw!AI21)</f>
        <v>A027-COG-X-BVM-Re11</v>
      </c>
      <c r="AJ21" t="str">
        <f>IF(master_raw!AJ21="","",master_raw!AJ21)</f>
        <v>n</v>
      </c>
      <c r="AK21" t="str">
        <f>IF(master_raw!AK21="","",master_raw!AK21)</f>
        <v>A028-COG-X-BVM-Re11</v>
      </c>
      <c r="AL21" t="str">
        <f>IF(master_raw!AL21="","",master_raw!AL21)</f>
        <v>n</v>
      </c>
      <c r="AM21" t="str">
        <f>IF(master_raw!AM21="","",master_raw!AM21)</f>
        <v>A029-COG-X-BVM-Re11</v>
      </c>
      <c r="AN21" t="str">
        <f>IF(master_raw!AN21="","",master_raw!AN21)</f>
        <v>n</v>
      </c>
      <c r="AO21" t="str">
        <f>IF(master_raw!AO21="","",master_raw!AO21)</f>
        <v>A030-COG-X-BVM-Re11</v>
      </c>
      <c r="AP21" t="str">
        <f>IF(master_raw!AP21="","",master_raw!AP21)</f>
        <v>n</v>
      </c>
      <c r="AQ21" t="str">
        <f>IF(master_raw!AQ21="","",master_raw!AQ21)</f>
        <v>A031-COG-X-BVM-Re11</v>
      </c>
      <c r="AR21" t="str">
        <f>IF(master_raw!AR21="","",master_raw!AR21)</f>
        <v>n</v>
      </c>
      <c r="AS21" t="str">
        <f>IF(master_raw!AS21="","",master_raw!AS21)</f>
        <v>A032-COG-X-BVM-Re11</v>
      </c>
      <c r="AT21" t="str">
        <f>IF(master_raw!AT21="","",master_raw!AT21)</f>
        <v>n</v>
      </c>
      <c r="AU21" t="str">
        <f>IF(master_raw!AU21="","",master_raw!AU21)</f>
        <v>A033-COG-X-BVM-Re11</v>
      </c>
      <c r="AV21" t="str">
        <f>IF(master_raw!AV21="","",master_raw!AV21)</f>
        <v>n</v>
      </c>
      <c r="AW21" t="str">
        <f>IF(master_raw!AW21="","",master_raw!AW21)</f>
        <v>A034-COG-X-BVM-Re11</v>
      </c>
      <c r="AX21" t="str">
        <f>IF(master_raw!AX21="","",master_raw!AX21)</f>
        <v>n</v>
      </c>
      <c r="AY21" t="str">
        <f>IF(master_raw!AY21="","",master_raw!AY21)</f>
        <v>A035-COG-X-BVM-Re11</v>
      </c>
      <c r="AZ21" t="str">
        <f>IF(master_raw!AZ21="","",master_raw!AZ21)</f>
        <v>n</v>
      </c>
      <c r="BA21" t="str">
        <f>IF(master_raw!BA21="","",master_raw!BA21)</f>
        <v>A036-COG-X-BVM-Re11</v>
      </c>
      <c r="BB21" t="str">
        <f>IF(master_raw!BB21="","",master_raw!BB21)</f>
        <v>n</v>
      </c>
      <c r="BC21" t="str">
        <f>IF(master_raw!BC21="","",master_raw!BC21)</f>
        <v>A037-COG-X-BVM-Re11</v>
      </c>
      <c r="BD21" t="str">
        <f>IF(master_raw!BD21="","",master_raw!BD21)</f>
        <v>n</v>
      </c>
      <c r="BE21" t="str">
        <f>IF(master_raw!BE21="","",master_raw!BE21)</f>
        <v>A038-COG-X-BVM-Re11</v>
      </c>
      <c r="BF21" t="str">
        <f>IF(master_raw!BF21="","",master_raw!BF21)</f>
        <v>n</v>
      </c>
      <c r="BG21" t="str">
        <f>IF(master_raw!BG21="","",master_raw!BG21)</f>
        <v>A039-COG-X-BVM-Re11</v>
      </c>
      <c r="BH21" t="str">
        <f>IF(master_raw!BH21="","",master_raw!BH21)</f>
        <v>n</v>
      </c>
      <c r="BI21" t="str">
        <f>IF(master_raw!BI21="","",master_raw!BI21)</f>
        <v>A040-COG-X-BVM-Re11</v>
      </c>
      <c r="BJ21" t="str">
        <f>IF(master_raw!BJ21="","",master_raw!BJ21)</f>
        <v>n</v>
      </c>
      <c r="BK21" t="str">
        <f>IF(master_raw!BK21="","",master_raw!BK21)</f>
        <v>A041-COG-X-BVM-Re11</v>
      </c>
      <c r="BL21" t="str">
        <f>IF(master_raw!BL21="","",master_raw!BL21)</f>
        <v>n</v>
      </c>
      <c r="BM21" t="str">
        <f>IF(master_raw!BM21="","",master_raw!BM21)</f>
        <v>A042-COG-X-BVM-Re11</v>
      </c>
      <c r="BN21" t="str">
        <f>IF(master_raw!BN21="","",master_raw!BN21)</f>
        <v>n</v>
      </c>
      <c r="BO21" t="str">
        <f>IF(master_raw!BO21="","",master_raw!BO21)</f>
        <v>A043-COG-X-BVM-Re11</v>
      </c>
      <c r="BP21" t="str">
        <f>IF(master_raw!BP21="","",master_raw!BP21)</f>
        <v>n</v>
      </c>
      <c r="BQ21" t="str">
        <f>IF(master_raw!BQ21="","",master_raw!BQ21)</f>
        <v>A044-COG-X-BVM-Re11</v>
      </c>
      <c r="BR21" t="str">
        <f>IF(master_raw!BR21="","",master_raw!BR21)</f>
        <v>n</v>
      </c>
      <c r="BS21" t="str">
        <f>IF(master_raw!BS21="","",master_raw!BS21)</f>
        <v>A045-COG-X-BVM-Re11</v>
      </c>
      <c r="BT21" t="str">
        <f>IF(master_raw!BT21="","",master_raw!BT21)</f>
        <v>n</v>
      </c>
      <c r="BU21" t="str">
        <f>IF(master_raw!BU21="","",master_raw!BU21)</f>
        <v>A046-COG-X-BVM-Re11</v>
      </c>
      <c r="BV21" t="str">
        <f>IF(master_raw!BV21="","",master_raw!BV21)</f>
        <v>n</v>
      </c>
      <c r="BW21" t="str">
        <f>IF(master_raw!BW21="","",master_raw!BW21)</f>
        <v>A047-COG-X-BVM-Re11</v>
      </c>
      <c r="BX21" t="str">
        <f>IF(master_raw!BX21="","",master_raw!BX21)</f>
        <v>n</v>
      </c>
      <c r="BY21" t="str">
        <f>IF(master_raw!BY21="","",master_raw!BY21)</f>
        <v>A048-COG-X-BVM-Re11</v>
      </c>
      <c r="BZ21" t="str">
        <f>IF(master_raw!BZ21="","",master_raw!BZ21)</f>
        <v>n</v>
      </c>
      <c r="CA21" t="str">
        <f>IF(master_raw!CA21="","",master_raw!CA21)</f>
        <v>A049-COG-X-BVM-Re11</v>
      </c>
      <c r="CB21" t="str">
        <f>IF(master_raw!CB21="","",master_raw!CB21)</f>
        <v>n</v>
      </c>
      <c r="CC21" t="str">
        <f>IF(master_raw!CC21="","",master_raw!CC21)</f>
        <v>A050-COG-X-BVM-Re11</v>
      </c>
      <c r="CD21" t="str">
        <f>IF(master_raw!CD21="","",master_raw!CD21)</f>
        <v>n</v>
      </c>
      <c r="CE21" t="str">
        <f>IF(master_raw!CE21="","",master_raw!CE21)</f>
        <v>A051-COG-X-BVM-Re11</v>
      </c>
      <c r="CF21" t="str">
        <f>IF(master_raw!CF21="","",master_raw!CF21)</f>
        <v>n</v>
      </c>
      <c r="CG21" t="str">
        <f>IF(master_raw!CG21="","",master_raw!CG21)</f>
        <v>A052-COG-X-BVM-Re11</v>
      </c>
      <c r="CH21" t="str">
        <f>IF(master_raw!CH21="","",master_raw!CH21)</f>
        <v>n</v>
      </c>
      <c r="CI21" t="str">
        <f>IF(master_raw!CI21="","",master_raw!CI21)</f>
        <v>A053-COG-X-BVM-Re11</v>
      </c>
      <c r="CJ21" t="str">
        <f>IF(master_raw!CJ21="","",master_raw!CJ21)</f>
        <v>n</v>
      </c>
      <c r="CK21" t="str">
        <f>IF(master_raw!CK21="","",master_raw!CK21)</f>
        <v>A054-COG-X-BVM-Re11</v>
      </c>
      <c r="CL21" t="str">
        <f>IF(master_raw!CL21="","",master_raw!CL21)</f>
        <v>n</v>
      </c>
      <c r="CM21" t="str">
        <f>IF(master_raw!CM21="","",master_raw!CM21)</f>
        <v>A055-COG-X-BVM-Re11</v>
      </c>
      <c r="CN21" t="str">
        <f>IF(master_raw!CN21="","",master_raw!CN21)</f>
        <v>n</v>
      </c>
      <c r="CO21" t="str">
        <f>IF(master_raw!CO21="","",master_raw!CO21)</f>
        <v>A056-COG-X-BVM-Re11</v>
      </c>
      <c r="CP21" t="str">
        <f>IF(master_raw!CP21="","",master_raw!CP21)</f>
        <v>n</v>
      </c>
      <c r="CQ21" t="str">
        <f>IF(master_raw!CQ21="","",master_raw!CQ21)</f>
        <v>A057-COG-X-BVM-Re11</v>
      </c>
      <c r="CR21" t="str">
        <f>IF(master_raw!CR21="","",master_raw!CR21)</f>
        <v>n</v>
      </c>
      <c r="CS21" t="str">
        <f>IF(master_raw!CS21="","",master_raw!CS21)</f>
        <v>A058-COG-X-BVM-Re11</v>
      </c>
      <c r="CT21" t="str">
        <f>IF(master_raw!CT21="","",master_raw!CT21)</f>
        <v>n</v>
      </c>
      <c r="CU21" t="str">
        <f>IF(master_raw!CU21="","",master_raw!CU21)</f>
        <v>A059-COG-X-BVM-Re11</v>
      </c>
      <c r="CV21" t="str">
        <f>IF(master_raw!CV21="","",master_raw!CV21)</f>
        <v>n</v>
      </c>
      <c r="CW21" t="str">
        <f>IF(master_raw!CW21="","",master_raw!CW21)</f>
        <v>A060-COG-X-BVM-Re11</v>
      </c>
      <c r="CX21" t="str">
        <f>IF(master_raw!CX21="","",master_raw!CX21)</f>
        <v>n</v>
      </c>
      <c r="CY21" t="str">
        <f>IF(master_raw!CY21="","",master_raw!CY21)</f>
        <v>A061-COG-X-BVM-Re11</v>
      </c>
      <c r="CZ21" t="str">
        <f>IF(master_raw!CZ21="","",master_raw!CZ21)</f>
        <v>n</v>
      </c>
      <c r="DA21" t="str">
        <f>IF(master_raw!DA21="","",master_raw!DA21)</f>
        <v>A062-COG-X-BVM-Re11</v>
      </c>
      <c r="DB21" t="str">
        <f>IF(master_raw!DB21="","",master_raw!DB21)</f>
        <v>n</v>
      </c>
      <c r="DC21" t="str">
        <f>IF(master_raw!DC21="","",master_raw!DC21)</f>
        <v>A063-COG-X-BVM-Re11</v>
      </c>
      <c r="DD21" t="str">
        <f>IF(master_raw!DD21="","",master_raw!DD21)</f>
        <v>n</v>
      </c>
      <c r="DE21" t="str">
        <f>IF(master_raw!DE21="","",master_raw!DE21)</f>
        <v>A064-COG-X-BVM-Re11</v>
      </c>
      <c r="DF21" t="str">
        <f>IF(master_raw!DF21="","",master_raw!DF21)</f>
        <v>n</v>
      </c>
      <c r="DG21" t="str">
        <f>IF(master_raw!DG21="","",master_raw!DG21)</f>
        <v>A065-COG-X-BVM-Re11</v>
      </c>
      <c r="DH21" t="str">
        <f>IF(master_raw!DH21="","",master_raw!DH21)</f>
        <v>n</v>
      </c>
      <c r="DI21" t="str">
        <f>IF(master_raw!DI21="","",master_raw!DI21)</f>
        <v>A066-COG-X-BVM-Re11</v>
      </c>
      <c r="DJ21" t="str">
        <f>IF(master_raw!DJ21="","",master_raw!DJ21)</f>
        <v>n</v>
      </c>
      <c r="DK21" t="str">
        <f>IF(master_raw!DK21="","",master_raw!DK21)</f>
        <v>A067-COG-X-BVM-Re11</v>
      </c>
      <c r="DL21" t="str">
        <f>IF(master_raw!DL21="","",master_raw!DL21)</f>
        <v>n</v>
      </c>
      <c r="DM21" t="str">
        <f>IF(master_raw!DM21="","",master_raw!DM21)</f>
        <v>A068-COG-X-BVM-Re11</v>
      </c>
      <c r="DN21" t="str">
        <f>IF(master_raw!DN21="","",master_raw!DN21)</f>
        <v>n</v>
      </c>
      <c r="DO21" t="str">
        <f>IF(master_raw!DO21="","",master_raw!DO21)</f>
        <v>A069-COG-X-BVM-Re11</v>
      </c>
      <c r="DP21" t="str">
        <f>IF(master_raw!DP21="","",master_raw!DP21)</f>
        <v>n</v>
      </c>
      <c r="DQ21" t="str">
        <f>IF(master_raw!DQ21="","",master_raw!DQ21)</f>
        <v>A070-COG-X-BVM-Re11</v>
      </c>
      <c r="DR21" t="str">
        <f>IF(master_raw!DR21="","",master_raw!DR21)</f>
        <v>n</v>
      </c>
      <c r="DS21" t="str">
        <f>IF(master_raw!DS21="","",master_raw!DS21)</f>
        <v>A071-COG-X-BVM-Re11</v>
      </c>
      <c r="DT21" t="str">
        <f>IF(master_raw!DT21="","",master_raw!DT21)</f>
        <v>n</v>
      </c>
      <c r="DU21" t="str">
        <f>IF(master_raw!DU21="","",master_raw!DU21)</f>
        <v>A072-COG-X-BVM-Re11</v>
      </c>
      <c r="DV21" t="str">
        <f>IF(master_raw!DV21="","",master_raw!DV21)</f>
        <v>n</v>
      </c>
      <c r="DW21" t="str">
        <f>IF(master_raw!DW21="","",master_raw!DW21)</f>
        <v>A073-COG-X-BVM-Re11</v>
      </c>
      <c r="DX21" t="str">
        <f>IF(master_raw!DX21="","",master_raw!DX21)</f>
        <v>n</v>
      </c>
      <c r="DY21" t="str">
        <f>IF(master_raw!DY21="","",master_raw!DY21)</f>
        <v>A074-COG-X-BVM-Re11</v>
      </c>
      <c r="DZ21" t="str">
        <f>IF(master_raw!DZ21="","",master_raw!DZ21)</f>
        <v>n</v>
      </c>
      <c r="EA21" t="str">
        <f>IF(master_raw!EA21="","",master_raw!EA21)</f>
        <v>A075-COG-X-BVM-Re11</v>
      </c>
      <c r="EB21" t="str">
        <f>IF(master_raw!EB21="","",master_raw!EB21)</f>
        <v>n</v>
      </c>
      <c r="EC21" t="str">
        <f>IF(master_raw!EC21="","",master_raw!EC21)</f>
        <v>A076-COG-X-BVM-Re11</v>
      </c>
      <c r="ED21" t="str">
        <f>IF(master_raw!ED21="","",master_raw!ED21)</f>
        <v>n</v>
      </c>
      <c r="EE21" t="str">
        <f>IF(master_raw!EE21="","",master_raw!EE21)</f>
        <v>A077-COG-X-BVM-Re11</v>
      </c>
      <c r="EF21" t="str">
        <f>IF(master_raw!EF21="","",master_raw!EF21)</f>
        <v>n</v>
      </c>
      <c r="EG21" t="str">
        <f>IF(master_raw!EG21="","",master_raw!EG21)</f>
        <v>A078-COG-X-BVM-Re11</v>
      </c>
      <c r="EH21" t="str">
        <f>IF(master_raw!EH21="","",master_raw!EH21)</f>
        <v>n</v>
      </c>
      <c r="EI21" t="str">
        <f>IF(master_raw!EI21="","",master_raw!EI21)</f>
        <v>A079-COG-X-BVM-Re11</v>
      </c>
      <c r="EJ21" t="str">
        <f>IF(master_raw!EJ21="","",master_raw!EJ21)</f>
        <v>n</v>
      </c>
      <c r="EK21" t="str">
        <f>IF(master_raw!EK21="","",master_raw!EK21)</f>
        <v>A080-COG-X-BVM-Re11</v>
      </c>
      <c r="EL21" t="str">
        <f>IF(master_raw!EL21="","",master_raw!EL21)</f>
        <v>n</v>
      </c>
      <c r="EM21" t="str">
        <f>IF(master_raw!EM21="","",master_raw!EM21)</f>
        <v>A081-COG-X-BVM-Re11</v>
      </c>
      <c r="EN21" t="str">
        <f>IF(master_raw!EN21="","",master_raw!EN21)</f>
        <v>n</v>
      </c>
      <c r="EO21" t="str">
        <f>IF(master_raw!EO21="","",master_raw!EO21)</f>
        <v>A082-COG-X-BVM-Re11</v>
      </c>
      <c r="EP21" t="str">
        <f>IF(master_raw!EP21="","",master_raw!EP21)</f>
        <v>n</v>
      </c>
      <c r="EQ21" t="str">
        <f>IF(master_raw!EQ21="","",master_raw!EQ21)</f>
        <v>A083-COG-X-BVM-Re11</v>
      </c>
      <c r="ER21" t="str">
        <f>IF(master_raw!ER21="","",master_raw!ER21)</f>
        <v>n</v>
      </c>
      <c r="ES21" t="str">
        <f>IF(master_raw!ES21="","",master_raw!ES21)</f>
        <v>A084-COG-X-BVM-Re11</v>
      </c>
      <c r="ET21" t="str">
        <f>IF(master_raw!ET21="","",master_raw!ET21)</f>
        <v>n</v>
      </c>
      <c r="EU21" t="str">
        <f>IF(master_raw!EU21="","",master_raw!EU21)</f>
        <v>A085-COG-X-BVM-Re11</v>
      </c>
      <c r="EV21" t="str">
        <f>IF(master_raw!EV21="","",master_raw!EV21)</f>
        <v>n</v>
      </c>
      <c r="EW21" t="str">
        <f>IF(master_raw!EW21="","",master_raw!EW21)</f>
        <v>A086-COG-X-BVM-Re11</v>
      </c>
      <c r="EX21" t="str">
        <f>IF(master_raw!EX21="","",master_raw!EX21)</f>
        <v>n</v>
      </c>
      <c r="EY21" t="str">
        <f>IF(master_raw!EY21="","",master_raw!EY21)</f>
        <v>A087-COG-X-BVM-Re11</v>
      </c>
      <c r="EZ21" t="str">
        <f>IF(master_raw!EZ21="","",master_raw!EZ21)</f>
        <v>n</v>
      </c>
      <c r="FA21" t="str">
        <f>IF(master_raw!FA21="","",master_raw!FA21)</f>
        <v>A088-COG-X-BVM-Re11</v>
      </c>
      <c r="FB21" t="str">
        <f>IF(master_raw!FB21="","",master_raw!FB21)</f>
        <v>n</v>
      </c>
      <c r="FC21" t="str">
        <f>IF(master_raw!FC21="","",master_raw!FC21)</f>
        <v>A089-COG-X-BVM-Re11</v>
      </c>
      <c r="FD21" t="str">
        <f>IF(master_raw!FD21="","",master_raw!FD21)</f>
        <v>n</v>
      </c>
      <c r="FE21" t="str">
        <f>IF(master_raw!FE21="","",master_raw!FE21)</f>
        <v>A090-COG-X-BVM-Re11</v>
      </c>
      <c r="FF21" t="str">
        <f>IF(master_raw!FF21="","",master_raw!FF21)</f>
        <v>n</v>
      </c>
      <c r="FG21" t="str">
        <f>IF(master_raw!FG21="","",master_raw!FG21)</f>
        <v>A091-COG-X-BVM-Re11</v>
      </c>
      <c r="FH21" t="str">
        <f>IF(master_raw!FH21="","",master_raw!FH21)</f>
        <v>n</v>
      </c>
      <c r="FI21" t="str">
        <f>IF(master_raw!FI21="","",master_raw!FI21)</f>
        <v>A092-COG-X-BVM-Re11</v>
      </c>
      <c r="FJ21" t="str">
        <f>IF(master_raw!FJ21="","",master_raw!FJ21)</f>
        <v>n</v>
      </c>
      <c r="FK21" t="str">
        <f>IF(master_raw!FK21="","",master_raw!FK21)</f>
        <v>A093-COG-X-BVM-Re11</v>
      </c>
      <c r="FL21" t="str">
        <f>IF(master_raw!FL21="","",master_raw!FL21)</f>
        <v>n</v>
      </c>
      <c r="FM21" t="str">
        <f>IF(master_raw!FM21="","",master_raw!FM21)</f>
        <v>A094-COG-X-BVM-Re11</v>
      </c>
      <c r="FN21" t="str">
        <f>IF(master_raw!FN21="","",master_raw!FN21)</f>
        <v>n</v>
      </c>
      <c r="FO21" t="str">
        <f>IF(master_raw!FO21="","",master_raw!FO21)</f>
        <v>A095-COG-X-BVM-Re11</v>
      </c>
      <c r="FP21" t="str">
        <f>IF(master_raw!FP21="","",master_raw!FP21)</f>
        <v>n</v>
      </c>
      <c r="FQ21" t="str">
        <f>IF(master_raw!FQ21="","",master_raw!FQ21)</f>
        <v>A096-COG-X-BVM-Re11</v>
      </c>
      <c r="FR21" t="str">
        <f>IF(master_raw!FR21="","",master_raw!FR21)</f>
        <v>n</v>
      </c>
      <c r="FS21" t="str">
        <f>IF(master_raw!FS21="","",master_raw!FS21)</f>
        <v>A097-COG-X-BVM-Re11</v>
      </c>
      <c r="FT21" t="str">
        <f>IF(master_raw!FT21="","",master_raw!FT21)</f>
        <v>n</v>
      </c>
      <c r="FU21" t="str">
        <f>IF(master_raw!FU21="","",master_raw!FU21)</f>
        <v>A098-COG-X-BVM-Re11</v>
      </c>
      <c r="FV21" t="str">
        <f>IF(master_raw!FV21="","",master_raw!FV21)</f>
        <v>n</v>
      </c>
      <c r="FW21" t="str">
        <f>IF(master_raw!FW21="","",master_raw!FW21)</f>
        <v>A099-COG-X-BVM-Re11</v>
      </c>
      <c r="FX21" t="str">
        <f>IF(master_raw!FX21="","",master_raw!FX21)</f>
        <v>n</v>
      </c>
      <c r="FY21" t="str">
        <f>IF(master_raw!FY21="","",master_raw!FY21)</f>
        <v>A100-COG-X-BVM-Re11</v>
      </c>
      <c r="FZ21" t="str">
        <f>IF(master_raw!FZ21="","",master_raw!FZ21)</f>
        <v>n</v>
      </c>
      <c r="GA21" t="str">
        <f>IF(master_raw!GA21="","",master_raw!GA21)</f>
        <v>A101-COG-X-BVM-Re11</v>
      </c>
      <c r="GB21" t="str">
        <f>IF(master_raw!GB21="","",master_raw!GB21)</f>
        <v>n</v>
      </c>
      <c r="GC21" t="str">
        <f>IF(master_raw!GC21="","",master_raw!GC21)</f>
        <v>A102-COG-X-BVM-Re11</v>
      </c>
      <c r="GD21" t="str">
        <f>IF(master_raw!GD21="","",master_raw!GD21)</f>
        <v>n</v>
      </c>
      <c r="GE21" t="str">
        <f>IF(master_raw!GE21="","",master_raw!GE21)</f>
        <v>A103-COG-X-BVM-Re11</v>
      </c>
      <c r="GF21" t="str">
        <f>IF(master_raw!GF21="","",master_raw!GF21)</f>
        <v>n</v>
      </c>
      <c r="GG21" t="str">
        <f>IF(master_raw!GG21="","",master_raw!GG21)</f>
        <v>A104-COG-X-BVM-Re11</v>
      </c>
      <c r="GH21" t="str">
        <f>IF(master_raw!GH21="","",master_raw!GH21)</f>
        <v>n</v>
      </c>
      <c r="GI21" t="str">
        <f>IF(master_raw!GI21="","",master_raw!GI21)</f>
        <v>A105-COG-X-BVM-Re11</v>
      </c>
      <c r="GJ21" t="str">
        <f>IF(master_raw!GJ21="","",master_raw!GJ21)</f>
        <v>n</v>
      </c>
      <c r="GK21" t="str">
        <f>IF(master_raw!GK21="","",master_raw!GK21)</f>
        <v>A106-COG-X-BVM-Re11</v>
      </c>
      <c r="GL21" t="str">
        <f>IF(master_raw!GL21="","",master_raw!GL21)</f>
        <v>n</v>
      </c>
      <c r="GM21" t="str">
        <f>IF(master_raw!GM21="","",master_raw!GM21)</f>
        <v>A107-COG-X-BVM-Re11</v>
      </c>
      <c r="GN21" t="str">
        <f>IF(master_raw!GN21="","",master_raw!GN21)</f>
        <v>n</v>
      </c>
      <c r="GO21" t="str">
        <f>IF(master_raw!GO21="","",master_raw!GO21)</f>
        <v>A108-COG-X-BVM-Re11</v>
      </c>
      <c r="GP21" t="str">
        <f>IF(master_raw!GP21="","",master_raw!GP21)</f>
        <v>n</v>
      </c>
      <c r="GQ21" t="str">
        <f>IF(master_raw!GQ21="","",master_raw!GQ21)</f>
        <v>A109-COG-X-BVM-Re11</v>
      </c>
      <c r="GR21" t="str">
        <f>IF(master_raw!GR21="","",master_raw!GR21)</f>
        <v>n</v>
      </c>
    </row>
    <row r="22" spans="1:256" x14ac:dyDescent="0.25">
      <c r="A22" t="str">
        <f>IF(master_raw!A22="","",master_raw!A22)</f>
        <v>A010-COG-X-BVM-Re12</v>
      </c>
      <c r="B22" t="str">
        <f>IF(master_raw!B22="","",master_raw!B22)</f>
        <v>y</v>
      </c>
      <c r="C22" t="str">
        <f>IF(master_raw!C22="","",master_raw!C22)</f>
        <v>A011-COG-X-BVM-Re12</v>
      </c>
      <c r="D22" t="str">
        <f>IF(master_raw!D22="","",master_raw!D22)</f>
        <v>y</v>
      </c>
      <c r="E22" t="str">
        <f>IF(master_raw!E22="","",master_raw!E22)</f>
        <v>A012-COG-X-BVM-Re12</v>
      </c>
      <c r="F22" t="str">
        <f>IF(master_raw!F22="","",master_raw!F22)</f>
        <v>y</v>
      </c>
      <c r="G22" t="str">
        <f>IF(master_raw!G22="","",master_raw!G22)</f>
        <v>A013-COG-X-BVM-Re12</v>
      </c>
      <c r="H22" t="str">
        <f>IF(master_raw!H22="","",master_raw!H22)</f>
        <v>y</v>
      </c>
      <c r="I22" t="str">
        <f>IF(master_raw!I22="","",master_raw!I22)</f>
        <v>A014-COG-X-BVM-Re12</v>
      </c>
      <c r="J22" t="str">
        <f>IF(master_raw!J22="","",master_raw!J22)</f>
        <v>y</v>
      </c>
      <c r="K22" t="str">
        <f>IF(master_raw!K22="","",master_raw!K22)</f>
        <v>A015-COG-X-BVM-Re12</v>
      </c>
      <c r="L22" t="str">
        <f>IF(master_raw!L22="","",master_raw!L22)</f>
        <v>y</v>
      </c>
      <c r="M22" t="str">
        <f>IF(master_raw!M22="","",master_raw!M22)</f>
        <v>A016-COG-X-BVM-Re12</v>
      </c>
      <c r="N22" t="str">
        <f>IF(master_raw!N22="","",master_raw!N22)</f>
        <v>y</v>
      </c>
      <c r="O22" t="str">
        <f>IF(master_raw!O22="","",master_raw!O22)</f>
        <v>A017-COG-X-BVM-Re12</v>
      </c>
      <c r="P22" t="str">
        <f>IF(master_raw!P22="","",master_raw!P22)</f>
        <v>y</v>
      </c>
      <c r="Q22" t="str">
        <f>IF(master_raw!Q22="","",master_raw!Q22)</f>
        <v>A018-COG-X-BVM-Re12</v>
      </c>
      <c r="R22" t="str">
        <f>IF(master_raw!R22="","",master_raw!R22)</f>
        <v>y</v>
      </c>
      <c r="S22" t="str">
        <f>IF(master_raw!S22="","",master_raw!S22)</f>
        <v>A019-COG-X-BVM-Re12</v>
      </c>
      <c r="T22" t="str">
        <f>IF(master_raw!T22="","",master_raw!T22)</f>
        <v>n</v>
      </c>
      <c r="U22" t="str">
        <f>IF(master_raw!U22="","",master_raw!U22)</f>
        <v>A020-COG-X-BVM-Re12</v>
      </c>
      <c r="V22" t="str">
        <f>IF(master_raw!V22="","",master_raw!V22)</f>
        <v>y</v>
      </c>
      <c r="W22" t="str">
        <f>IF(master_raw!W22="","",master_raw!W22)</f>
        <v>A021-COG-X-BVM-Re12</v>
      </c>
      <c r="X22" t="str">
        <f>IF(master_raw!X22="","",master_raw!X22)</f>
        <v>y</v>
      </c>
      <c r="Y22" t="str">
        <f>IF(master_raw!Y22="","",master_raw!Y22)</f>
        <v>A022-COG-X-BVM-Re12</v>
      </c>
      <c r="Z22" t="str">
        <f>IF(master_raw!Z22="","",master_raw!Z22)</f>
        <v>y</v>
      </c>
      <c r="AA22" t="str">
        <f>IF(master_raw!AA22="","",master_raw!AA22)</f>
        <v>A023-COG-X-BVM-Re12</v>
      </c>
      <c r="AB22" t="str">
        <f>IF(master_raw!AB22="","",master_raw!AB22)</f>
        <v>y</v>
      </c>
      <c r="AC22" t="str">
        <f>IF(master_raw!AC22="","",master_raw!AC22)</f>
        <v>A024-COG-X-BVM-Re12</v>
      </c>
      <c r="AD22" t="str">
        <f>IF(master_raw!AD22="","",master_raw!AD22)</f>
        <v>y</v>
      </c>
      <c r="AE22" t="str">
        <f>IF(master_raw!AE22="","",master_raw!AE22)</f>
        <v>A025-COG-X-BVM-Re12</v>
      </c>
      <c r="AF22" t="str">
        <f>IF(master_raw!AF22="","",master_raw!AF22)</f>
        <v>y</v>
      </c>
      <c r="AG22" t="str">
        <f>IF(master_raw!AG22="","",master_raw!AG22)</f>
        <v>A026-COG-X-BVM-Re12</v>
      </c>
      <c r="AH22" t="str">
        <f>IF(master_raw!AH22="","",master_raw!AH22)</f>
        <v>y</v>
      </c>
      <c r="AI22" t="str">
        <f>IF(master_raw!AI22="","",master_raw!AI22)</f>
        <v>A027-COG-X-BVM-Re12</v>
      </c>
      <c r="AJ22" t="str">
        <f>IF(master_raw!AJ22="","",master_raw!AJ22)</f>
        <v>y</v>
      </c>
      <c r="AK22" t="str">
        <f>IF(master_raw!AK22="","",master_raw!AK22)</f>
        <v>A028-COG-X-BVM-Re12</v>
      </c>
      <c r="AL22" t="str">
        <f>IF(master_raw!AL22="","",master_raw!AL22)</f>
        <v>y</v>
      </c>
      <c r="AM22" t="str">
        <f>IF(master_raw!AM22="","",master_raw!AM22)</f>
        <v>A029-COG-X-BVM-Re12</v>
      </c>
      <c r="AN22" t="str">
        <f>IF(master_raw!AN22="","",master_raw!AN22)</f>
        <v>y</v>
      </c>
      <c r="AO22" t="str">
        <f>IF(master_raw!AO22="","",master_raw!AO22)</f>
        <v>A030-COG-X-BVM-Re12</v>
      </c>
      <c r="AP22" t="str">
        <f>IF(master_raw!AP22="","",master_raw!AP22)</f>
        <v>y</v>
      </c>
      <c r="AQ22" t="str">
        <f>IF(master_raw!AQ22="","",master_raw!AQ22)</f>
        <v>A031-COG-X-BVM-Re12</v>
      </c>
      <c r="AR22" t="str">
        <f>IF(master_raw!AR22="","",master_raw!AR22)</f>
        <v>y</v>
      </c>
      <c r="AS22" t="str">
        <f>IF(master_raw!AS22="","",master_raw!AS22)</f>
        <v>A032-COG-X-BVM-Re12</v>
      </c>
      <c r="AT22" t="str">
        <f>IF(master_raw!AT22="","",master_raw!AT22)</f>
        <v>y</v>
      </c>
      <c r="AU22" t="str">
        <f>IF(master_raw!AU22="","",master_raw!AU22)</f>
        <v>A033-COG-X-BVM-Re12</v>
      </c>
      <c r="AV22" t="str">
        <f>IF(master_raw!AV22="","",master_raw!AV22)</f>
        <v>y</v>
      </c>
      <c r="AW22" t="str">
        <f>IF(master_raw!AW22="","",master_raw!AW22)</f>
        <v>A034-COG-X-BVM-Re12</v>
      </c>
      <c r="AX22" t="str">
        <f>IF(master_raw!AX22="","",master_raw!AX22)</f>
        <v>y</v>
      </c>
      <c r="AY22" t="str">
        <f>IF(master_raw!AY22="","",master_raw!AY22)</f>
        <v>A035-COG-X-BVM-Re12</v>
      </c>
      <c r="AZ22" t="str">
        <f>IF(master_raw!AZ22="","",master_raw!AZ22)</f>
        <v>y</v>
      </c>
      <c r="BA22" t="str">
        <f>IF(master_raw!BA22="","",master_raw!BA22)</f>
        <v>A036-COG-X-BVM-Re12</v>
      </c>
      <c r="BB22" t="str">
        <f>IF(master_raw!BB22="","",master_raw!BB22)</f>
        <v>y</v>
      </c>
      <c r="BC22" t="str">
        <f>IF(master_raw!BC22="","",master_raw!BC22)</f>
        <v>A037-COG-X-BVM-Re12</v>
      </c>
      <c r="BD22" t="str">
        <f>IF(master_raw!BD22="","",master_raw!BD22)</f>
        <v>y</v>
      </c>
      <c r="BE22" t="str">
        <f>IF(master_raw!BE22="","",master_raw!BE22)</f>
        <v>A038-COG-X-BVM-Re12</v>
      </c>
      <c r="BF22" t="str">
        <f>IF(master_raw!BF22="","",master_raw!BF22)</f>
        <v>y</v>
      </c>
      <c r="BG22" t="str">
        <f>IF(master_raw!BG22="","",master_raw!BG22)</f>
        <v>A039-COG-X-BVM-Re12</v>
      </c>
      <c r="BH22" t="str">
        <f>IF(master_raw!BH22="","",master_raw!BH22)</f>
        <v>y</v>
      </c>
      <c r="BI22" t="str">
        <f>IF(master_raw!BI22="","",master_raw!BI22)</f>
        <v>A040-COG-X-BVM-Re12</v>
      </c>
      <c r="BJ22" t="str">
        <f>IF(master_raw!BJ22="","",master_raw!BJ22)</f>
        <v>y</v>
      </c>
      <c r="BK22" t="str">
        <f>IF(master_raw!BK22="","",master_raw!BK22)</f>
        <v>A041-COG-X-BVM-Re12</v>
      </c>
      <c r="BL22" t="str">
        <f>IF(master_raw!BL22="","",master_raw!BL22)</f>
        <v>y</v>
      </c>
      <c r="BM22" t="str">
        <f>IF(master_raw!BM22="","",master_raw!BM22)</f>
        <v>A042-COG-X-BVM-Re12</v>
      </c>
      <c r="BN22" t="str">
        <f>IF(master_raw!BN22="","",master_raw!BN22)</f>
        <v>y</v>
      </c>
      <c r="BO22" t="str">
        <f>IF(master_raw!BO22="","",master_raw!BO22)</f>
        <v>A043-COG-X-BVM-Re12</v>
      </c>
      <c r="BP22" t="str">
        <f>IF(master_raw!BP22="","",master_raw!BP22)</f>
        <v>y</v>
      </c>
      <c r="BQ22" t="str">
        <f>IF(master_raw!BQ22="","",master_raw!BQ22)</f>
        <v>A044-COG-X-BVM-Re12</v>
      </c>
      <c r="BR22" t="str">
        <f>IF(master_raw!BR22="","",master_raw!BR22)</f>
        <v>y</v>
      </c>
      <c r="BS22" t="str">
        <f>IF(master_raw!BS22="","",master_raw!BS22)</f>
        <v>A045-COG-X-BVM-Re12</v>
      </c>
      <c r="BT22" t="str">
        <f>IF(master_raw!BT22="","",master_raw!BT22)</f>
        <v>y</v>
      </c>
      <c r="BU22" t="str">
        <f>IF(master_raw!BU22="","",master_raw!BU22)</f>
        <v>A046-COG-X-BVM-Re12</v>
      </c>
      <c r="BV22" t="str">
        <f>IF(master_raw!BV22="","",master_raw!BV22)</f>
        <v>y</v>
      </c>
      <c r="BW22" t="str">
        <f>IF(master_raw!BW22="","",master_raw!BW22)</f>
        <v>A047-COG-X-BVM-Re12</v>
      </c>
      <c r="BX22" t="str">
        <f>IF(master_raw!BX22="","",master_raw!BX22)</f>
        <v>y</v>
      </c>
      <c r="BY22" t="str">
        <f>IF(master_raw!BY22="","",master_raw!BY22)</f>
        <v>A048-COG-X-BVM-Re12</v>
      </c>
      <c r="BZ22" t="str">
        <f>IF(master_raw!BZ22="","",master_raw!BZ22)</f>
        <v>y</v>
      </c>
      <c r="CA22" t="str">
        <f>IF(master_raw!CA22="","",master_raw!CA22)</f>
        <v>A049-COG-X-BVM-Re12</v>
      </c>
      <c r="CB22" t="str">
        <f>IF(master_raw!CB22="","",master_raw!CB22)</f>
        <v>y</v>
      </c>
      <c r="CC22" t="str">
        <f>IF(master_raw!CC22="","",master_raw!CC22)</f>
        <v>A050-COG-X-BVM-Re12</v>
      </c>
      <c r="CD22" t="str">
        <f>IF(master_raw!CD22="","",master_raw!CD22)</f>
        <v>y</v>
      </c>
      <c r="CE22" t="str">
        <f>IF(master_raw!CE22="","",master_raw!CE22)</f>
        <v>A051-COG-X-BVM-Re12</v>
      </c>
      <c r="CF22" t="str">
        <f>IF(master_raw!CF22="","",master_raw!CF22)</f>
        <v>y</v>
      </c>
      <c r="CG22" t="str">
        <f>IF(master_raw!CG22="","",master_raw!CG22)</f>
        <v>A052-COG-X-BVM-Re12</v>
      </c>
      <c r="CH22" t="str">
        <f>IF(master_raw!CH22="","",master_raw!CH22)</f>
        <v>y</v>
      </c>
      <c r="CI22" t="str">
        <f>IF(master_raw!CI22="","",master_raw!CI22)</f>
        <v>A053-COG-X-BVM-Re12</v>
      </c>
      <c r="CJ22" t="str">
        <f>IF(master_raw!CJ22="","",master_raw!CJ22)</f>
        <v>y</v>
      </c>
      <c r="CK22" t="str">
        <f>IF(master_raw!CK22="","",master_raw!CK22)</f>
        <v>A054-COG-X-BVM-Re12</v>
      </c>
      <c r="CL22" t="str">
        <f>IF(master_raw!CL22="","",master_raw!CL22)</f>
        <v>y</v>
      </c>
      <c r="CM22" t="str">
        <f>IF(master_raw!CM22="","",master_raw!CM22)</f>
        <v>A055-COG-X-BVM-Re12</v>
      </c>
      <c r="CN22" t="str">
        <f>IF(master_raw!CN22="","",master_raw!CN22)</f>
        <v>y</v>
      </c>
      <c r="CO22" t="str">
        <f>IF(master_raw!CO22="","",master_raw!CO22)</f>
        <v>A056-COG-X-BVM-Re12</v>
      </c>
      <c r="CP22" t="str">
        <f>IF(master_raw!CP22="","",master_raw!CP22)</f>
        <v>y</v>
      </c>
      <c r="CQ22" t="str">
        <f>IF(master_raw!CQ22="","",master_raw!CQ22)</f>
        <v>A057-COG-X-BVM-Re12</v>
      </c>
      <c r="CR22" t="str">
        <f>IF(master_raw!CR22="","",master_raw!CR22)</f>
        <v>y</v>
      </c>
      <c r="CS22" t="str">
        <f>IF(master_raw!CS22="","",master_raw!CS22)</f>
        <v>A058-COG-X-BVM-Re12</v>
      </c>
      <c r="CT22" t="str">
        <f>IF(master_raw!CT22="","",master_raw!CT22)</f>
        <v>y</v>
      </c>
      <c r="CU22" t="str">
        <f>IF(master_raw!CU22="","",master_raw!CU22)</f>
        <v>A059-COG-X-BVM-Re12</v>
      </c>
      <c r="CV22" t="str">
        <f>IF(master_raw!CV22="","",master_raw!CV22)</f>
        <v>y</v>
      </c>
      <c r="CW22" t="str">
        <f>IF(master_raw!CW22="","",master_raw!CW22)</f>
        <v>A060-COG-X-BVM-Re12</v>
      </c>
      <c r="CX22" t="str">
        <f>IF(master_raw!CX22="","",master_raw!CX22)</f>
        <v>y</v>
      </c>
      <c r="CY22" t="str">
        <f>IF(master_raw!CY22="","",master_raw!CY22)</f>
        <v>A061-COG-X-BVM-Re12</v>
      </c>
      <c r="CZ22" t="str">
        <f>IF(master_raw!CZ22="","",master_raw!CZ22)</f>
        <v>y</v>
      </c>
      <c r="DA22" t="str">
        <f>IF(master_raw!DA22="","",master_raw!DA22)</f>
        <v>A062-COG-X-BVM-Re12</v>
      </c>
      <c r="DB22" t="str">
        <f>IF(master_raw!DB22="","",master_raw!DB22)</f>
        <v>y</v>
      </c>
      <c r="DC22" t="str">
        <f>IF(master_raw!DC22="","",master_raw!DC22)</f>
        <v>A063-COG-X-BVM-Re12</v>
      </c>
      <c r="DD22" t="str">
        <f>IF(master_raw!DD22="","",master_raw!DD22)</f>
        <v>y</v>
      </c>
      <c r="DE22" t="str">
        <f>IF(master_raw!DE22="","",master_raw!DE22)</f>
        <v>A064-COG-X-BVM-Re12</v>
      </c>
      <c r="DF22" t="str">
        <f>IF(master_raw!DF22="","",master_raw!DF22)</f>
        <v>y</v>
      </c>
      <c r="DG22" t="str">
        <f>IF(master_raw!DG22="","",master_raw!DG22)</f>
        <v>A065-COG-X-BVM-Re12</v>
      </c>
      <c r="DH22" t="str">
        <f>IF(master_raw!DH22="","",master_raw!DH22)</f>
        <v>y</v>
      </c>
      <c r="DI22" t="str">
        <f>IF(master_raw!DI22="","",master_raw!DI22)</f>
        <v>A066-COG-X-BVM-Re12</v>
      </c>
      <c r="DJ22" t="str">
        <f>IF(master_raw!DJ22="","",master_raw!DJ22)</f>
        <v>y</v>
      </c>
      <c r="DK22" t="str">
        <f>IF(master_raw!DK22="","",master_raw!DK22)</f>
        <v>A067-COG-X-BVM-Re12</v>
      </c>
      <c r="DL22" t="str">
        <f>IF(master_raw!DL22="","",master_raw!DL22)</f>
        <v>y</v>
      </c>
      <c r="DM22" t="str">
        <f>IF(master_raw!DM22="","",master_raw!DM22)</f>
        <v>A068-COG-X-BVM-Re12</v>
      </c>
      <c r="DN22" t="str">
        <f>IF(master_raw!DN22="","",master_raw!DN22)</f>
        <v>y</v>
      </c>
      <c r="DO22" t="str">
        <f>IF(master_raw!DO22="","",master_raw!DO22)</f>
        <v>A069-COG-X-BVM-Re12</v>
      </c>
      <c r="DP22" t="str">
        <f>IF(master_raw!DP22="","",master_raw!DP22)</f>
        <v>y</v>
      </c>
      <c r="DQ22" t="str">
        <f>IF(master_raw!DQ22="","",master_raw!DQ22)</f>
        <v>A070-COG-X-BVM-Re12</v>
      </c>
      <c r="DR22" t="str">
        <f>IF(master_raw!DR22="","",master_raw!DR22)</f>
        <v>y</v>
      </c>
      <c r="DS22" t="str">
        <f>IF(master_raw!DS22="","",master_raw!DS22)</f>
        <v>A071-COG-X-BVM-Re12</v>
      </c>
      <c r="DT22" t="str">
        <f>IF(master_raw!DT22="","",master_raw!DT22)</f>
        <v>y</v>
      </c>
      <c r="DU22" t="str">
        <f>IF(master_raw!DU22="","",master_raw!DU22)</f>
        <v>A072-COG-X-BVM-Re12</v>
      </c>
      <c r="DV22" t="str">
        <f>IF(master_raw!DV22="","",master_raw!DV22)</f>
        <v>y</v>
      </c>
      <c r="DW22" t="str">
        <f>IF(master_raw!DW22="","",master_raw!DW22)</f>
        <v>A073-COG-X-BVM-Re12</v>
      </c>
      <c r="DX22" t="str">
        <f>IF(master_raw!DX22="","",master_raw!DX22)</f>
        <v>y</v>
      </c>
      <c r="DY22" t="str">
        <f>IF(master_raw!DY22="","",master_raw!DY22)</f>
        <v>A074-COG-X-BVM-Re12</v>
      </c>
      <c r="DZ22" t="str">
        <f>IF(master_raw!DZ22="","",master_raw!DZ22)</f>
        <v>y</v>
      </c>
      <c r="EA22" t="str">
        <f>IF(master_raw!EA22="","",master_raw!EA22)</f>
        <v>A075-COG-X-BVM-Re12</v>
      </c>
      <c r="EB22" t="str">
        <f>IF(master_raw!EB22="","",master_raw!EB22)</f>
        <v>y</v>
      </c>
      <c r="EC22" t="str">
        <f>IF(master_raw!EC22="","",master_raw!EC22)</f>
        <v>A076-COG-X-BVM-Re12</v>
      </c>
      <c r="ED22" t="str">
        <f>IF(master_raw!ED22="","",master_raw!ED22)</f>
        <v>y</v>
      </c>
      <c r="EE22" t="str">
        <f>IF(master_raw!EE22="","",master_raw!EE22)</f>
        <v>A077-COG-X-BVM-Re12</v>
      </c>
      <c r="EF22" t="str">
        <f>IF(master_raw!EF22="","",master_raw!EF22)</f>
        <v>y</v>
      </c>
      <c r="EG22" t="str">
        <f>IF(master_raw!EG22="","",master_raw!EG22)</f>
        <v>A078-COG-X-BVM-Re12</v>
      </c>
      <c r="EH22" t="str">
        <f>IF(master_raw!EH22="","",master_raw!EH22)</f>
        <v>y</v>
      </c>
      <c r="EI22" t="str">
        <f>IF(master_raw!EI22="","",master_raw!EI22)</f>
        <v>A079-COG-X-BVM-Re12</v>
      </c>
      <c r="EJ22" t="str">
        <f>IF(master_raw!EJ22="","",master_raw!EJ22)</f>
        <v>y</v>
      </c>
      <c r="EK22" t="str">
        <f>IF(master_raw!EK22="","",master_raw!EK22)</f>
        <v>A080-COG-X-BVM-Re12</v>
      </c>
      <c r="EL22" t="str">
        <f>IF(master_raw!EL22="","",master_raw!EL22)</f>
        <v>y</v>
      </c>
      <c r="EM22" t="str">
        <f>IF(master_raw!EM22="","",master_raw!EM22)</f>
        <v>A081-COG-X-BVM-Re12</v>
      </c>
      <c r="EN22" t="str">
        <f>IF(master_raw!EN22="","",master_raw!EN22)</f>
        <v>y</v>
      </c>
      <c r="EO22" t="str">
        <f>IF(master_raw!EO22="","",master_raw!EO22)</f>
        <v>A082-COG-X-BVM-Re12</v>
      </c>
      <c r="EP22" t="str">
        <f>IF(master_raw!EP22="","",master_raw!EP22)</f>
        <v>y</v>
      </c>
      <c r="EQ22" t="str">
        <f>IF(master_raw!EQ22="","",master_raw!EQ22)</f>
        <v>A083-COG-X-BVM-Re12</v>
      </c>
      <c r="ER22" t="str">
        <f>IF(master_raw!ER22="","",master_raw!ER22)</f>
        <v>y</v>
      </c>
      <c r="ES22" t="str">
        <f>IF(master_raw!ES22="","",master_raw!ES22)</f>
        <v>A084-COG-X-BVM-Re12</v>
      </c>
      <c r="ET22" t="str">
        <f>IF(master_raw!ET22="","",master_raw!ET22)</f>
        <v>y</v>
      </c>
      <c r="EU22" t="str">
        <f>IF(master_raw!EU22="","",master_raw!EU22)</f>
        <v>A085-COG-X-BVM-Re12</v>
      </c>
      <c r="EV22" t="str">
        <f>IF(master_raw!EV22="","",master_raw!EV22)</f>
        <v>y</v>
      </c>
      <c r="EW22" t="str">
        <f>IF(master_raw!EW22="","",master_raw!EW22)</f>
        <v>A086-COG-X-BVM-Re12</v>
      </c>
      <c r="EX22" t="str">
        <f>IF(master_raw!EX22="","",master_raw!EX22)</f>
        <v>y</v>
      </c>
      <c r="EY22" t="str">
        <f>IF(master_raw!EY22="","",master_raw!EY22)</f>
        <v>A087-COG-X-BVM-Re12</v>
      </c>
      <c r="EZ22" t="str">
        <f>IF(master_raw!EZ22="","",master_raw!EZ22)</f>
        <v>y</v>
      </c>
      <c r="FA22" t="str">
        <f>IF(master_raw!FA22="","",master_raw!FA22)</f>
        <v>A088-COG-X-BVM-Re12</v>
      </c>
      <c r="FB22" t="str">
        <f>IF(master_raw!FB22="","",master_raw!FB22)</f>
        <v>y</v>
      </c>
      <c r="FC22" t="str">
        <f>IF(master_raw!FC22="","",master_raw!FC22)</f>
        <v>A089-COG-X-BVM-Re12</v>
      </c>
      <c r="FD22" t="str">
        <f>IF(master_raw!FD22="","",master_raw!FD22)</f>
        <v>y</v>
      </c>
      <c r="FE22" t="str">
        <f>IF(master_raw!FE22="","",master_raw!FE22)</f>
        <v>A090-COG-X-BVM-Re12</v>
      </c>
      <c r="FF22" t="str">
        <f>IF(master_raw!FF22="","",master_raw!FF22)</f>
        <v>y</v>
      </c>
      <c r="FG22" t="str">
        <f>IF(master_raw!FG22="","",master_raw!FG22)</f>
        <v>A091-COG-X-BVM-Re12</v>
      </c>
      <c r="FH22" t="str">
        <f>IF(master_raw!FH22="","",master_raw!FH22)</f>
        <v>y</v>
      </c>
      <c r="FI22" t="str">
        <f>IF(master_raw!FI22="","",master_raw!FI22)</f>
        <v>A092-COG-X-BVM-Re12</v>
      </c>
      <c r="FJ22" t="str">
        <f>IF(master_raw!FJ22="","",master_raw!FJ22)</f>
        <v>y</v>
      </c>
      <c r="FK22" t="str">
        <f>IF(master_raw!FK22="","",master_raw!FK22)</f>
        <v>A093-COG-X-BVM-Re12</v>
      </c>
      <c r="FL22" t="str">
        <f>IF(master_raw!FL22="","",master_raw!FL22)</f>
        <v>y</v>
      </c>
      <c r="FM22" t="str">
        <f>IF(master_raw!FM22="","",master_raw!FM22)</f>
        <v>A094-COG-X-BVM-Re12</v>
      </c>
      <c r="FN22" t="str">
        <f>IF(master_raw!FN22="","",master_raw!FN22)</f>
        <v>y</v>
      </c>
      <c r="FO22" t="str">
        <f>IF(master_raw!FO22="","",master_raw!FO22)</f>
        <v>A095-COG-X-BVM-Re12</v>
      </c>
      <c r="FP22" t="str">
        <f>IF(master_raw!FP22="","",master_raw!FP22)</f>
        <v>y</v>
      </c>
      <c r="FQ22" t="str">
        <f>IF(master_raw!FQ22="","",master_raw!FQ22)</f>
        <v>A096-COG-X-BVM-Re12</v>
      </c>
      <c r="FR22" t="str">
        <f>IF(master_raw!FR22="","",master_raw!FR22)</f>
        <v>n</v>
      </c>
      <c r="FS22" t="str">
        <f>IF(master_raw!FS22="","",master_raw!FS22)</f>
        <v>A097-COG-X-BVM-Re12</v>
      </c>
      <c r="FT22" t="str">
        <f>IF(master_raw!FT22="","",master_raw!FT22)</f>
        <v>y</v>
      </c>
      <c r="FU22" t="str">
        <f>IF(master_raw!FU22="","",master_raw!FU22)</f>
        <v>A098-COG-X-BVM-Re12</v>
      </c>
      <c r="FV22" t="str">
        <f>IF(master_raw!FV22="","",master_raw!FV22)</f>
        <v>y</v>
      </c>
      <c r="FW22" t="str">
        <f>IF(master_raw!FW22="","",master_raw!FW22)</f>
        <v>A099-COG-X-BVM-Re12</v>
      </c>
      <c r="FX22" t="str">
        <f>IF(master_raw!FX22="","",master_raw!FX22)</f>
        <v>y</v>
      </c>
      <c r="FY22" t="str">
        <f>IF(master_raw!FY22="","",master_raw!FY22)</f>
        <v>A100-COG-X-BVM-Re12</v>
      </c>
      <c r="FZ22" t="str">
        <f>IF(master_raw!FZ22="","",master_raw!FZ22)</f>
        <v>y</v>
      </c>
      <c r="GA22" t="str">
        <f>IF(master_raw!GA22="","",master_raw!GA22)</f>
        <v>A101-COG-X-BVM-Re12</v>
      </c>
      <c r="GB22" t="str">
        <f>IF(master_raw!GB22="","",master_raw!GB22)</f>
        <v>y</v>
      </c>
      <c r="GC22" t="str">
        <f>IF(master_raw!GC22="","",master_raw!GC22)</f>
        <v>A102-COG-X-BVM-Re12</v>
      </c>
      <c r="GD22" t="str">
        <f>IF(master_raw!GD22="","",master_raw!GD22)</f>
        <v>y</v>
      </c>
      <c r="GE22" t="str">
        <f>IF(master_raw!GE22="","",master_raw!GE22)</f>
        <v>A103-COG-X-BVM-Re12</v>
      </c>
      <c r="GF22" t="str">
        <f>IF(master_raw!GF22="","",master_raw!GF22)</f>
        <v>y</v>
      </c>
      <c r="GG22" t="str">
        <f>IF(master_raw!GG22="","",master_raw!GG22)</f>
        <v>A104-COG-X-BVM-Re12</v>
      </c>
      <c r="GH22" t="str">
        <f>IF(master_raw!GH22="","",master_raw!GH22)</f>
        <v>y</v>
      </c>
      <c r="GI22" t="str">
        <f>IF(master_raw!GI22="","",master_raw!GI22)</f>
        <v>A105-COG-X-BVM-Re12</v>
      </c>
      <c r="GJ22" t="str">
        <f>IF(master_raw!GJ22="","",master_raw!GJ22)</f>
        <v>y</v>
      </c>
      <c r="GK22" t="str">
        <f>IF(master_raw!GK22="","",master_raw!GK22)</f>
        <v>A106-COG-X-BVM-Re12</v>
      </c>
      <c r="GL22" t="str">
        <f>IF(master_raw!GL22="","",master_raw!GL22)</f>
        <v>y</v>
      </c>
      <c r="GM22" t="str">
        <f>IF(master_raw!GM22="","",master_raw!GM22)</f>
        <v>A107-COG-X-BVM-Re12</v>
      </c>
      <c r="GN22" t="str">
        <f>IF(master_raw!GN22="","",master_raw!GN22)</f>
        <v>y</v>
      </c>
      <c r="GO22" t="str">
        <f>IF(master_raw!GO22="","",master_raw!GO22)</f>
        <v>A108-COG-X-BVM-Re12</v>
      </c>
      <c r="GP22" t="str">
        <f>IF(master_raw!GP22="","",master_raw!GP22)</f>
        <v>y</v>
      </c>
      <c r="GQ22" t="str">
        <f>IF(master_raw!GQ22="","",master_raw!GQ22)</f>
        <v>A109-COG-X-BVM-Re12</v>
      </c>
      <c r="GR22" t="str">
        <f>IF(master_raw!GR22="","",master_raw!GR22)</f>
        <v>y</v>
      </c>
    </row>
    <row r="23" spans="1:256" x14ac:dyDescent="0.25">
      <c r="A23" t="str">
        <f>IF(master_raw!A23="","",master_raw!A23)</f>
        <v>A010-COG-X-BVM-TotR</v>
      </c>
      <c r="B23">
        <f>B3+B5+B7</f>
        <v>35</v>
      </c>
      <c r="C23" t="str">
        <f>IF(master_raw!C23="","",master_raw!C23)</f>
        <v>A011-COG-X-BVM-TotR</v>
      </c>
      <c r="D23">
        <f>D3+D5+D7</f>
        <v>34</v>
      </c>
      <c r="E23" t="str">
        <f>IF(master_raw!E23="","",master_raw!E23)</f>
        <v>A012-COG-X-BVM-TotR</v>
      </c>
      <c r="F23">
        <f>F3+F5+F7</f>
        <v>31</v>
      </c>
      <c r="G23" t="str">
        <f>IF(master_raw!G23="","",master_raw!G23)</f>
        <v>A013-COG-X-BVM-TotR</v>
      </c>
      <c r="H23">
        <f>H3+H5+H7</f>
        <v>27</v>
      </c>
      <c r="I23" t="str">
        <f>IF(master_raw!I23="","",master_raw!I23)</f>
        <v>A014-COG-X-BVM-TotR</v>
      </c>
      <c r="J23">
        <f>J3+J5+J7</f>
        <v>35</v>
      </c>
      <c r="K23" t="str">
        <f>IF(master_raw!K23="","",master_raw!K23)</f>
        <v>A015-COG-X-BVM-TotR</v>
      </c>
      <c r="L23">
        <f>L3+L5+L7</f>
        <v>31</v>
      </c>
      <c r="M23" t="str">
        <f>IF(master_raw!M23="","",master_raw!M23)</f>
        <v>A016-COG-X-BVM-TotR</v>
      </c>
      <c r="N23">
        <f>N3+N5+N7</f>
        <v>34</v>
      </c>
      <c r="O23" t="str">
        <f>IF(master_raw!O23="","",master_raw!O23)</f>
        <v>A017-COG-X-BVM-TotR</v>
      </c>
      <c r="P23">
        <f>P3+P5+P7</f>
        <v>32</v>
      </c>
      <c r="Q23" t="str">
        <f>IF(master_raw!Q23="","",master_raw!Q23)</f>
        <v>A018-COG-X-BVM-TotR</v>
      </c>
      <c r="R23">
        <f>R3+R5+R7</f>
        <v>33</v>
      </c>
      <c r="S23" t="str">
        <f>IF(master_raw!S23="","",master_raw!S23)</f>
        <v>A019-COG-X-BVM-TotR</v>
      </c>
      <c r="T23">
        <f>T3+T5+T7</f>
        <v>30</v>
      </c>
      <c r="U23" t="str">
        <f>IF(master_raw!U23="","",master_raw!U23)</f>
        <v>A020-COG-X-BVM-TotR</v>
      </c>
      <c r="V23">
        <f>V3+V5+V7</f>
        <v>31</v>
      </c>
      <c r="W23" t="str">
        <f>IF(master_raw!W23="","",master_raw!W23)</f>
        <v>A021-COG-X-BVM-TotR</v>
      </c>
      <c r="X23">
        <f>X3+X5+X7</f>
        <v>33</v>
      </c>
      <c r="Y23" t="str">
        <f>IF(master_raw!Y23="","",master_raw!Y23)</f>
        <v>A022-COG-X-BVM-TotR</v>
      </c>
      <c r="Z23">
        <f>Z3+Z5+Z7</f>
        <v>27</v>
      </c>
      <c r="AA23" t="str">
        <f>IF(master_raw!AA23="","",master_raw!AA23)</f>
        <v>A023-COG-X-BVM-TotR</v>
      </c>
      <c r="AB23">
        <f>AB3+AB5+AB7</f>
        <v>24</v>
      </c>
      <c r="AC23" t="str">
        <f>IF(master_raw!AC23="","",master_raw!AC23)</f>
        <v>A024-COG-X-BVM-TotR</v>
      </c>
      <c r="AD23">
        <f>AD3+AD5+AD7</f>
        <v>28</v>
      </c>
      <c r="AE23" t="str">
        <f>IF(master_raw!AE23="","",master_raw!AE23)</f>
        <v>A025-COG-X-BVM-TotR</v>
      </c>
      <c r="AF23">
        <f>AF3+AF5+AF7</f>
        <v>33</v>
      </c>
      <c r="AG23" t="str">
        <f>IF(master_raw!AG23="","",master_raw!AG23)</f>
        <v>A026-COG-X-BVM-TotR</v>
      </c>
      <c r="AH23">
        <f>AH3+AH5+AH7</f>
        <v>31</v>
      </c>
      <c r="AI23" t="str">
        <f>IF(master_raw!AI23="","",master_raw!AI23)</f>
        <v>A027-COG-X-BVM-TotR</v>
      </c>
      <c r="AJ23">
        <f>AJ3+AJ5+AJ7</f>
        <v>36</v>
      </c>
      <c r="AK23" t="str">
        <f>IF(master_raw!AK23="","",master_raw!AK23)</f>
        <v>A028-COG-X-BVM-TotR</v>
      </c>
      <c r="AL23">
        <f>AL3+AL5+AL7</f>
        <v>34</v>
      </c>
      <c r="AM23" t="str">
        <f>IF(master_raw!AM23="","",master_raw!AM23)</f>
        <v>A029-COG-X-BVM-TotR</v>
      </c>
      <c r="AN23">
        <f>AN3+AN5+AN7</f>
        <v>35</v>
      </c>
      <c r="AO23" t="str">
        <f>IF(master_raw!AO23="","",master_raw!AO23)</f>
        <v>A030-COG-X-BVM-TotR</v>
      </c>
      <c r="AP23">
        <f>AP3+AP5+AP7</f>
        <v>33</v>
      </c>
      <c r="AQ23" t="str">
        <f>IF(master_raw!AQ23="","",master_raw!AQ23)</f>
        <v>A031-COG-X-BVM-TotR</v>
      </c>
      <c r="AR23">
        <f>AR3+AR5+AR7</f>
        <v>30</v>
      </c>
      <c r="AS23" t="str">
        <f>IF(master_raw!AS23="","",master_raw!AS23)</f>
        <v>A032-COG-X-BVM-TotR</v>
      </c>
      <c r="AT23">
        <f>AT3+AT5+AT7</f>
        <v>31</v>
      </c>
      <c r="AU23" t="str">
        <f>IF(master_raw!AU23="","",master_raw!AU23)</f>
        <v>A033-COG-X-BVM-TotR</v>
      </c>
      <c r="AV23">
        <f>AV3+AV5+AV7</f>
        <v>26</v>
      </c>
      <c r="AW23" t="str">
        <f>IF(master_raw!AW23="","",master_raw!AW23)</f>
        <v>A034-COG-X-BVM-TotR</v>
      </c>
      <c r="AX23">
        <f>AX3+AX5+AX7</f>
        <v>34</v>
      </c>
      <c r="AY23" t="str">
        <f>IF(master_raw!AY23="","",master_raw!AY23)</f>
        <v>A035-COG-X-BVM-TotR</v>
      </c>
      <c r="AZ23">
        <f>AZ3+AZ5+AZ7</f>
        <v>34</v>
      </c>
      <c r="BA23" t="str">
        <f>IF(master_raw!BA23="","",master_raw!BA23)</f>
        <v>A036-COG-X-BVM-TotR</v>
      </c>
      <c r="BB23">
        <f>BB3+BB5+BB7</f>
        <v>28</v>
      </c>
      <c r="BC23" t="str">
        <f>IF(master_raw!BC23="","",master_raw!BC23)</f>
        <v>A037-COG-X-BVM-TotR</v>
      </c>
      <c r="BD23">
        <f>BD3+BD5+BD7</f>
        <v>36</v>
      </c>
      <c r="BE23" t="str">
        <f>IF(master_raw!BE23="","",master_raw!BE23)</f>
        <v>A038-COG-X-BVM-TotR</v>
      </c>
      <c r="BF23">
        <f>BF3+BF5+BF7</f>
        <v>27</v>
      </c>
      <c r="BG23" t="str">
        <f>IF(master_raw!BG23="","",master_raw!BG23)</f>
        <v>A039-COG-X-BVM-TotR</v>
      </c>
      <c r="BH23">
        <f>BH3+BH5+BH7</f>
        <v>31</v>
      </c>
      <c r="BI23" t="str">
        <f>IF(master_raw!BI23="","",master_raw!BI23)</f>
        <v>A040-COG-X-BVM-TotR</v>
      </c>
      <c r="BJ23">
        <f>BJ3+BJ5+BJ7</f>
        <v>24</v>
      </c>
      <c r="BK23" t="str">
        <f>IF(master_raw!BK23="","",master_raw!BK23)</f>
        <v>A041-COG-X-BVM-TotR</v>
      </c>
      <c r="BL23">
        <f>BL3+BL5+BL7</f>
        <v>32</v>
      </c>
      <c r="BM23" t="str">
        <f>IF(master_raw!BM23="","",master_raw!BM23)</f>
        <v>A042-COG-X-BVM-TotR</v>
      </c>
      <c r="BN23">
        <f>BN3+BN5+BN7</f>
        <v>26</v>
      </c>
      <c r="BO23" t="str">
        <f>IF(master_raw!BO23="","",master_raw!BO23)</f>
        <v>A043-COG-X-BVM-TotR</v>
      </c>
      <c r="BP23">
        <f>BP3+BP5+BP7</f>
        <v>31</v>
      </c>
      <c r="BQ23" t="str">
        <f>IF(master_raw!BQ23="","",master_raw!BQ23)</f>
        <v>A044-COG-X-BVM-TotR</v>
      </c>
      <c r="BR23">
        <f>BR3+BR5+BR7</f>
        <v>31</v>
      </c>
      <c r="BS23" t="str">
        <f>IF(master_raw!BS23="","",master_raw!BS23)</f>
        <v>A045-COG-X-BVM-TotR</v>
      </c>
      <c r="BT23">
        <f>BT3+BT5+BT7</f>
        <v>29</v>
      </c>
      <c r="BU23" t="str">
        <f>IF(master_raw!BU23="","",master_raw!BU23)</f>
        <v>A046-COG-X-BVM-TotR</v>
      </c>
      <c r="BV23">
        <f>BV3+BV5+BV7</f>
        <v>32</v>
      </c>
      <c r="BW23" t="str">
        <f>IF(master_raw!BW23="","",master_raw!BW23)</f>
        <v>A047-COG-X-BVM-TotR</v>
      </c>
      <c r="BX23">
        <f>BX3+BX5+BX7</f>
        <v>22</v>
      </c>
      <c r="BY23" t="str">
        <f>IF(master_raw!BY23="","",master_raw!BY23)</f>
        <v>A048-COG-X-BVM-TotR</v>
      </c>
      <c r="BZ23">
        <f>BZ3+BZ5+BZ7</f>
        <v>32</v>
      </c>
      <c r="CA23" t="str">
        <f>IF(master_raw!CA23="","",master_raw!CA23)</f>
        <v>A049-COG-X-BVM-TotR</v>
      </c>
      <c r="CB23">
        <f>CB3+CB5+CB7</f>
        <v>29</v>
      </c>
      <c r="CC23" t="str">
        <f>IF(master_raw!CC23="","",master_raw!CC23)</f>
        <v>A050-COG-X-BVM-TotR</v>
      </c>
      <c r="CD23">
        <f>CD3+CD5+CD7</f>
        <v>32</v>
      </c>
      <c r="CE23" t="str">
        <f>IF(master_raw!CE23="","",master_raw!CE23)</f>
        <v>A051-COG-X-BVM-TotR</v>
      </c>
      <c r="CF23">
        <f>CF3+CF5+CF7</f>
        <v>22</v>
      </c>
      <c r="CG23" t="str">
        <f>IF(master_raw!CG23="","",master_raw!CG23)</f>
        <v>A052-COG-X-BVM-TotR</v>
      </c>
      <c r="CH23">
        <f>CH3+CH5+CH7</f>
        <v>31</v>
      </c>
      <c r="CI23" t="str">
        <f>IF(master_raw!CI23="","",master_raw!CI23)</f>
        <v>A053-COG-X-BVM-TotR</v>
      </c>
      <c r="CJ23">
        <f>CJ3+CJ5+CJ7</f>
        <v>30</v>
      </c>
      <c r="CK23" t="str">
        <f>IF(master_raw!CK23="","",master_raw!CK23)</f>
        <v>A054-COG-X-BVM-TotR</v>
      </c>
      <c r="CL23">
        <f>CL3+CL5+CL7</f>
        <v>35</v>
      </c>
      <c r="CM23" t="str">
        <f>IF(master_raw!CM23="","",master_raw!CM23)</f>
        <v>A055-COG-X-BVM-TotR</v>
      </c>
      <c r="CN23">
        <f>CN3+CN5+CN7</f>
        <v>23</v>
      </c>
      <c r="CO23" t="str">
        <f>IF(master_raw!CO23="","",master_raw!CO23)</f>
        <v>A056-COG-X-BVM-TotR</v>
      </c>
      <c r="CP23">
        <f>CP3+CP5+CP7</f>
        <v>30</v>
      </c>
      <c r="CQ23" t="str">
        <f>IF(master_raw!CQ23="","",master_raw!CQ23)</f>
        <v>A057-COG-X-BVM-TotR</v>
      </c>
      <c r="CR23">
        <f>CR3+CR5+CR7</f>
        <v>32</v>
      </c>
      <c r="CS23" t="str">
        <f>IF(master_raw!CS23="","",master_raw!CS23)</f>
        <v>A058-COG-X-BVM-TotR</v>
      </c>
      <c r="CT23">
        <f>CT3+CT5+CT7</f>
        <v>28</v>
      </c>
      <c r="CU23" t="str">
        <f>IF(master_raw!CU23="","",master_raw!CU23)</f>
        <v>A059-COG-X-BVM-TotR</v>
      </c>
      <c r="CV23">
        <f>CV3+CV5+CV7</f>
        <v>33</v>
      </c>
      <c r="CW23" t="str">
        <f>IF(master_raw!CW23="","",master_raw!CW23)</f>
        <v>A060-COG-X-BVM-TotR</v>
      </c>
      <c r="CX23">
        <f>CX3+CX5+CX7</f>
        <v>31</v>
      </c>
      <c r="CY23" t="str">
        <f>IF(master_raw!CY23="","",master_raw!CY23)</f>
        <v>A061-COG-X-BVM-TotR</v>
      </c>
      <c r="CZ23">
        <f>CZ3+CZ5+CZ7</f>
        <v>26</v>
      </c>
      <c r="DA23" t="str">
        <f>IF(master_raw!DA23="","",master_raw!DA23)</f>
        <v>A062-COG-X-BVM-TotR</v>
      </c>
      <c r="DB23">
        <f>DB3+DB5+DB7</f>
        <v>30</v>
      </c>
      <c r="DC23" t="str">
        <f>IF(master_raw!DC23="","",master_raw!DC23)</f>
        <v>A063-COG-X-BVM-TotR</v>
      </c>
      <c r="DD23">
        <f>DD3+DD5+DD7</f>
        <v>28</v>
      </c>
      <c r="DE23" t="str">
        <f>IF(master_raw!DE23="","",master_raw!DE23)</f>
        <v>A064-COG-X-BVM-TotR</v>
      </c>
      <c r="DF23">
        <f>DF3+DF5+DF7</f>
        <v>32</v>
      </c>
      <c r="DG23" t="str">
        <f>IF(master_raw!DG23="","",master_raw!DG23)</f>
        <v>A065-COG-X-BVM-TotR</v>
      </c>
      <c r="DH23">
        <f>DH3+DH5+DH7</f>
        <v>20</v>
      </c>
      <c r="DI23" t="str">
        <f>IF(master_raw!DI23="","",master_raw!DI23)</f>
        <v>A066-COG-X-BVM-TotR</v>
      </c>
      <c r="DJ23">
        <f>DJ3+DJ5+DJ7</f>
        <v>20</v>
      </c>
      <c r="DK23" t="str">
        <f>IF(master_raw!DK23="","",master_raw!DK23)</f>
        <v>A067-COG-X-BVM-TotR</v>
      </c>
      <c r="DL23">
        <f>DL3+DL5+DL7</f>
        <v>24</v>
      </c>
      <c r="DM23" t="str">
        <f>IF(master_raw!DM23="","",master_raw!DM23)</f>
        <v>A068-COG-X-BVM-TotR</v>
      </c>
      <c r="DN23">
        <f>DN3+DN5+DN7</f>
        <v>31</v>
      </c>
      <c r="DO23" t="str">
        <f>IF(master_raw!DO23="","",master_raw!DO23)</f>
        <v>A069-COG-X-BVM-TotR</v>
      </c>
      <c r="DP23">
        <f>DP3+DP5+DP7</f>
        <v>27</v>
      </c>
      <c r="DQ23" t="str">
        <f>IF(master_raw!DQ23="","",master_raw!DQ23)</f>
        <v>A070-COG-X-BVM-TotR</v>
      </c>
      <c r="DR23">
        <f>DR3+DR5+DR7</f>
        <v>31</v>
      </c>
      <c r="DS23" t="str">
        <f>IF(master_raw!DS23="","",master_raw!DS23)</f>
        <v>A071-COG-X-BVM-TotR</v>
      </c>
      <c r="DT23">
        <f>DT3+DT5+DT7</f>
        <v>30</v>
      </c>
      <c r="DU23" t="str">
        <f>IF(master_raw!DU23="","",master_raw!DU23)</f>
        <v>A072-COG-X-BVM-TotR</v>
      </c>
      <c r="DV23">
        <f>DV3+DV5+DV7</f>
        <v>33</v>
      </c>
      <c r="DW23" t="str">
        <f>IF(master_raw!DW23="","",master_raw!DW23)</f>
        <v>A073-COG-X-BVM-TotR</v>
      </c>
      <c r="DX23">
        <f>DX3+DX5+DX7</f>
        <v>25</v>
      </c>
      <c r="DY23" t="str">
        <f>IF(master_raw!DY23="","",master_raw!DY23)</f>
        <v>A074-COG-X-BVM-TotR</v>
      </c>
      <c r="DZ23">
        <f>DZ3+DZ5+DZ7</f>
        <v>30</v>
      </c>
      <c r="EA23" t="str">
        <f>IF(master_raw!EA23="","",master_raw!EA23)</f>
        <v>A075-COG-X-BVM-TotR</v>
      </c>
      <c r="EB23">
        <f>EB3+EB5+EB7</f>
        <v>27</v>
      </c>
      <c r="EC23" t="str">
        <f>IF(master_raw!EC23="","",master_raw!EC23)</f>
        <v>A076-COG-X-BVM-TotR</v>
      </c>
      <c r="ED23">
        <f>ED3+ED5+ED7</f>
        <v>19</v>
      </c>
      <c r="EE23" t="str">
        <f>IF(master_raw!EE23="","",master_raw!EE23)</f>
        <v>A077-COG-X-BVM-TotR</v>
      </c>
      <c r="EF23">
        <f>EF3+EF5+EF7</f>
        <v>32</v>
      </c>
      <c r="EG23" t="str">
        <f>IF(master_raw!EG23="","",master_raw!EG23)</f>
        <v>A078-COG-X-BVM-TotR</v>
      </c>
      <c r="EH23">
        <f>EH3+EH5+EH7</f>
        <v>21</v>
      </c>
      <c r="EI23" t="str">
        <f>IF(master_raw!EI23="","",master_raw!EI23)</f>
        <v>A079-COG-X-BVM-TotR</v>
      </c>
      <c r="EJ23">
        <f>EJ3+EJ5+EJ7</f>
        <v>34</v>
      </c>
      <c r="EK23" t="str">
        <f>IF(master_raw!EK23="","",master_raw!EK23)</f>
        <v>A080-COG-X-BVM-TotR</v>
      </c>
      <c r="EL23">
        <f>EL3+EL5+EL7</f>
        <v>27</v>
      </c>
      <c r="EM23" t="str">
        <f>IF(master_raw!EM23="","",master_raw!EM23)</f>
        <v>A081-COG-X-BVM-TotR</v>
      </c>
      <c r="EN23">
        <f>EN3+EN5+EN7</f>
        <v>30</v>
      </c>
      <c r="EO23" t="str">
        <f>IF(master_raw!EO23="","",master_raw!EO23)</f>
        <v>A082-COG-X-BVM-TotR</v>
      </c>
      <c r="EP23">
        <f>EP3+EP5+EP7</f>
        <v>32</v>
      </c>
      <c r="EQ23" t="str">
        <f>IF(master_raw!EQ23="","",master_raw!EQ23)</f>
        <v>A083-COG-X-BVM-TotR</v>
      </c>
      <c r="ER23">
        <f>ER3+ER5+ER7</f>
        <v>24</v>
      </c>
      <c r="ES23" t="str">
        <f>IF(master_raw!ES23="","",master_raw!ES23)</f>
        <v>A084-COG-X-BVM-TotR</v>
      </c>
      <c r="ET23">
        <f>ET3+ET5+ET7</f>
        <v>20</v>
      </c>
      <c r="EU23" t="str">
        <f>IF(master_raw!EU23="","",master_raw!EU23)</f>
        <v>A085-COG-X-BVM-TotR</v>
      </c>
      <c r="EV23">
        <f>EV3+EV5+EV7</f>
        <v>26</v>
      </c>
      <c r="EW23" t="str">
        <f>IF(master_raw!EW23="","",master_raw!EW23)</f>
        <v>A086-COG-X-BVM-TotR</v>
      </c>
      <c r="EX23">
        <f>EX3+EX5+EX7</f>
        <v>28</v>
      </c>
      <c r="EY23" t="str">
        <f>IF(master_raw!EY23="","",master_raw!EY23)</f>
        <v>A087-COG-X-BVM-TotR</v>
      </c>
      <c r="EZ23">
        <f>EZ3+EZ5+EZ7</f>
        <v>32</v>
      </c>
      <c r="FA23" t="str">
        <f>IF(master_raw!FA23="","",master_raw!FA23)</f>
        <v>A088-COG-X-BVM-TotR</v>
      </c>
      <c r="FB23">
        <f>FB3+FB5+FB7</f>
        <v>24</v>
      </c>
      <c r="FC23" t="str">
        <f>IF(master_raw!FC23="","",master_raw!FC23)</f>
        <v>A089-COG-X-BVM-TotR</v>
      </c>
      <c r="FD23">
        <f>FD3+FD5+FD7</f>
        <v>28</v>
      </c>
      <c r="FE23" t="str">
        <f>IF(master_raw!FE23="","",master_raw!FE23)</f>
        <v>A090-COG-X-BVM-TotR</v>
      </c>
      <c r="FF23">
        <f>FF3+FF5+FF7</f>
        <v>23</v>
      </c>
      <c r="FG23" t="str">
        <f>IF(master_raw!FG23="","",master_raw!FG23)</f>
        <v>A091-COG-X-BVM-TotR</v>
      </c>
      <c r="FH23">
        <f>FH3+FH5+FH7</f>
        <v>24</v>
      </c>
      <c r="FI23" t="str">
        <f>IF(master_raw!FI23="","",master_raw!FI23)</f>
        <v>A092-COG-X-BVM-TotR</v>
      </c>
      <c r="FJ23">
        <f>FJ3+FJ5+FJ7</f>
        <v>27</v>
      </c>
      <c r="FK23" t="str">
        <f>IF(master_raw!FK23="","",master_raw!FK23)</f>
        <v>A093-COG-X-BVM-TotR</v>
      </c>
      <c r="FL23">
        <f>FL3+FL5+FL7</f>
        <v>29</v>
      </c>
      <c r="FM23" t="str">
        <f>IF(master_raw!FM23="","",master_raw!FM23)</f>
        <v>A094-COG-X-BVM-TotR</v>
      </c>
      <c r="FN23">
        <f>FN3+FN5+FN7</f>
        <v>22</v>
      </c>
      <c r="FO23" t="str">
        <f>IF(master_raw!FO23="","",master_raw!FO23)</f>
        <v>A095-COG-X-BVM-TotR</v>
      </c>
      <c r="FP23">
        <f>FP3+FP5+FP7</f>
        <v>28</v>
      </c>
      <c r="FQ23" t="str">
        <f>IF(master_raw!FQ23="","",master_raw!FQ23)</f>
        <v>A096-COG-X-BVM-TotR</v>
      </c>
      <c r="FR23">
        <f>FR3+FR5+FR7</f>
        <v>25</v>
      </c>
      <c r="FS23" t="str">
        <f>IF(master_raw!FS23="","",master_raw!FS23)</f>
        <v>A097-COG-X-BVM-TotR</v>
      </c>
      <c r="FT23">
        <f>FT3+FT5+FT7</f>
        <v>17</v>
      </c>
      <c r="FU23" t="str">
        <f>IF(master_raw!FU23="","",master_raw!FU23)</f>
        <v>A098-COG-X-BVM-TotR</v>
      </c>
      <c r="FV23">
        <f>FV3+FV5+FV7</f>
        <v>25</v>
      </c>
      <c r="FW23" t="str">
        <f>IF(master_raw!FW23="","",master_raw!FW23)</f>
        <v>A099-COG-X-BVM-TotR</v>
      </c>
      <c r="FX23">
        <f>FX3+FX5+FX7</f>
        <v>25</v>
      </c>
      <c r="FY23" t="str">
        <f>IF(master_raw!FY23="","",master_raw!FY23)</f>
        <v>A100-COG-X-BVM-TotR</v>
      </c>
      <c r="FZ23">
        <f>FZ3+FZ5+FZ7</f>
        <v>12</v>
      </c>
      <c r="GA23" t="str">
        <f>IF(master_raw!GA23="","",master_raw!GA23)</f>
        <v>A101-COG-X-BVM-TotR</v>
      </c>
      <c r="GB23">
        <f>GB3+GB5+GB7</f>
        <v>26</v>
      </c>
      <c r="GC23" t="str">
        <f>IF(master_raw!GC23="","",master_raw!GC23)</f>
        <v>A102-COG-X-BVM-TotR</v>
      </c>
      <c r="GD23">
        <f>GD3+GD5+GD7</f>
        <v>33</v>
      </c>
      <c r="GE23" t="str">
        <f>IF(master_raw!GE23="","",master_raw!GE23)</f>
        <v>A103-COG-X-BVM-TotR</v>
      </c>
      <c r="GF23">
        <f>GF3+GF5+GF7</f>
        <v>26</v>
      </c>
      <c r="GG23" t="str">
        <f>IF(master_raw!GG23="","",master_raw!GG23)</f>
        <v>A104-COG-X-BVM-TotR</v>
      </c>
      <c r="GH23">
        <f>GH3+GH5+GH7</f>
        <v>27</v>
      </c>
      <c r="GI23" t="str">
        <f>IF(master_raw!GI23="","",master_raw!GI23)</f>
        <v>A105-COG-X-BVM-TotR</v>
      </c>
      <c r="GJ23">
        <f>GJ3+GJ5+GJ7</f>
        <v>15</v>
      </c>
      <c r="GK23" t="str">
        <f>IF(master_raw!GK23="","",master_raw!GK23)</f>
        <v>A106-COG-X-BVM-TotR</v>
      </c>
      <c r="GL23">
        <f>GL3+GL5+GL7</f>
        <v>31</v>
      </c>
      <c r="GM23" t="str">
        <f>IF(master_raw!GM23="","",master_raw!GM23)</f>
        <v>A107-COG-X-BVM-TotR</v>
      </c>
      <c r="GN23">
        <f>GN3+GN5+GN7</f>
        <v>17</v>
      </c>
      <c r="GO23" t="str">
        <f>IF(master_raw!GO23="","",master_raw!GO23)</f>
        <v>A108-COG-X-BVM-TotR</v>
      </c>
      <c r="GP23">
        <f>GP3+GP5+GP7</f>
        <v>26</v>
      </c>
      <c r="GQ23" t="str">
        <f>IF(master_raw!GQ23="","",master_raw!GQ23)</f>
        <v>A109-COG-X-BVM-TotR</v>
      </c>
      <c r="GR23">
        <f>GR3+GR5+GR7</f>
        <v>14</v>
      </c>
    </row>
    <row r="24" spans="1:256" x14ac:dyDescent="0.25">
      <c r="A24" t="str">
        <f>IF(master_raw!A24="","",master_raw!A24)</f>
        <v>A010-COG-X-BVM-Lear</v>
      </c>
      <c r="B24">
        <f>MAX(B5,B7)-B3</f>
        <v>1</v>
      </c>
      <c r="C24" t="str">
        <f>IF(master_raw!C24="","",master_raw!C24)</f>
        <v>A011-COG-X-BVM-Lear</v>
      </c>
      <c r="D24">
        <f>MAX(D5,D7)-D3</f>
        <v>2</v>
      </c>
      <c r="E24" t="str">
        <f>IF(master_raw!E24="","",master_raw!E24)</f>
        <v>A012-COG-X-BVM-Lear</v>
      </c>
      <c r="F24">
        <f>MAX(F5,F7)-F3</f>
        <v>4</v>
      </c>
      <c r="G24" t="str">
        <f>IF(master_raw!G24="","",master_raw!G24)</f>
        <v>A013-COG-X-BVM-Lear</v>
      </c>
      <c r="H24">
        <f>MAX(H5,H7)-H3</f>
        <v>4</v>
      </c>
      <c r="I24" t="str">
        <f>IF(master_raw!I24="","",master_raw!I24)</f>
        <v>A014-COG-X-BVM-Lear</v>
      </c>
      <c r="J24">
        <f>MAX(J5,J7)-J3</f>
        <v>1</v>
      </c>
      <c r="K24" t="str">
        <f>IF(master_raw!K24="","",master_raw!K24)</f>
        <v>A015-COG-X-BVM-Lear</v>
      </c>
      <c r="L24">
        <f>MAX(L5,L7)-L3</f>
        <v>5</v>
      </c>
      <c r="M24" t="str">
        <f>IF(master_raw!M24="","",master_raw!M24)</f>
        <v>A016-COG-X-BVM-Lear</v>
      </c>
      <c r="N24">
        <f>MAX(N5,N7)-N3</f>
        <v>1</v>
      </c>
      <c r="O24" t="str">
        <f>IF(master_raw!O24="","",master_raw!O24)</f>
        <v>A017-COG-X-BVM-Lear</v>
      </c>
      <c r="P24">
        <f>MAX(P5,P7)-P3</f>
        <v>3</v>
      </c>
      <c r="Q24" t="str">
        <f>IF(master_raw!Q24="","",master_raw!Q24)</f>
        <v>A018-COG-X-BVM-Lear</v>
      </c>
      <c r="R24">
        <f>MAX(R5,R7)-R3</f>
        <v>3</v>
      </c>
      <c r="S24" t="str">
        <f>IF(master_raw!S24="","",master_raw!S24)</f>
        <v>A019-COG-X-BVM-Lear</v>
      </c>
      <c r="T24">
        <f>MAX(T5,T7)-T3</f>
        <v>3</v>
      </c>
      <c r="U24" t="str">
        <f>IF(master_raw!U24="","",master_raw!U24)</f>
        <v>A020-COG-X-BVM-Lear</v>
      </c>
      <c r="V24">
        <f>MAX(V5,V7)-V3</f>
        <v>4</v>
      </c>
      <c r="W24" t="str">
        <f>IF(master_raw!W24="","",master_raw!W24)</f>
        <v>A021-COG-X-BVM-Lear</v>
      </c>
      <c r="X24">
        <f>MAX(X5,X7)-X3</f>
        <v>2</v>
      </c>
      <c r="Y24" t="str">
        <f>IF(master_raw!Y24="","",master_raw!Y24)</f>
        <v>A022-COG-X-BVM-Lear</v>
      </c>
      <c r="Z24">
        <f>MAX(Z5,Z7)-Z3</f>
        <v>6</v>
      </c>
      <c r="AA24" t="str">
        <f>IF(master_raw!AA24="","",master_raw!AA24)</f>
        <v>A023-COG-X-BVM-Lear</v>
      </c>
      <c r="AB24">
        <f>MAX(AB5,AB7)-AB3</f>
        <v>5</v>
      </c>
      <c r="AC24" t="str">
        <f>IF(master_raw!AC24="","",master_raw!AC24)</f>
        <v>A024-COG-X-BVM-Lear</v>
      </c>
      <c r="AD24">
        <f>MAX(AD5,AD7)-AD3</f>
        <v>7</v>
      </c>
      <c r="AE24" t="str">
        <f>IF(master_raw!AE24="","",master_raw!AE24)</f>
        <v>A025-COG-X-BVM-Lear</v>
      </c>
      <c r="AF24">
        <f>MAX(AF5,AF7)-AF3</f>
        <v>3</v>
      </c>
      <c r="AG24" t="str">
        <f>IF(master_raw!AG24="","",master_raw!AG24)</f>
        <v>A026-COG-X-BVM-Lear</v>
      </c>
      <c r="AH24">
        <f>MAX(AH5,AH7)-AH3</f>
        <v>3</v>
      </c>
      <c r="AI24" t="str">
        <f>IF(master_raw!AI24="","",master_raw!AI24)</f>
        <v>A027-COG-X-BVM-Lear</v>
      </c>
      <c r="AJ24">
        <f>MAX(AJ5,AJ7)-AJ3</f>
        <v>0</v>
      </c>
      <c r="AK24" t="str">
        <f>IF(master_raw!AK24="","",master_raw!AK24)</f>
        <v>A028-COG-X-BVM-Lear</v>
      </c>
      <c r="AL24">
        <f>MAX(AL5,AL7)-AL3</f>
        <v>2</v>
      </c>
      <c r="AM24" t="str">
        <f>IF(master_raw!AM24="","",master_raw!AM24)</f>
        <v>A029-COG-X-BVM-Lear</v>
      </c>
      <c r="AN24">
        <f>MAX(AN5,AN7)-AN3</f>
        <v>1</v>
      </c>
      <c r="AO24" t="str">
        <f>IF(master_raw!AO24="","",master_raw!AO24)</f>
        <v>A030-COG-X-BVM-Lear</v>
      </c>
      <c r="AP24">
        <f>MAX(AP5,AP7)-AP3</f>
        <v>3</v>
      </c>
      <c r="AQ24" t="str">
        <f>IF(master_raw!AQ24="","",master_raw!AQ24)</f>
        <v>A031-COG-X-BVM-Lear</v>
      </c>
      <c r="AR24">
        <f>MAX(AR5,AR7)-AR3</f>
        <v>6</v>
      </c>
      <c r="AS24" t="str">
        <f>IF(master_raw!AS24="","",master_raw!AS24)</f>
        <v>A032-COG-X-BVM-Lear</v>
      </c>
      <c r="AT24">
        <f>MAX(AT5,AT7)-AT3</f>
        <v>5</v>
      </c>
      <c r="AU24" t="str">
        <f>IF(master_raw!AU24="","",master_raw!AU24)</f>
        <v>A033-COG-X-BVM-Lear</v>
      </c>
      <c r="AV24">
        <f>MAX(AV5,AV7)-AV3</f>
        <v>7</v>
      </c>
      <c r="AW24" t="str">
        <f>IF(master_raw!AW24="","",master_raw!AW24)</f>
        <v>A034-COG-X-BVM-Lear</v>
      </c>
      <c r="AX24">
        <f>MAX(AX5,AX7)-AX3</f>
        <v>2</v>
      </c>
      <c r="AY24" t="str">
        <f>IF(master_raw!AY24="","",master_raw!AY24)</f>
        <v>A035-COG-X-BVM-Lear</v>
      </c>
      <c r="AZ24">
        <f>MAX(AZ5,AZ7)-AZ3</f>
        <v>2</v>
      </c>
      <c r="BA24" t="str">
        <f>IF(master_raw!BA24="","",master_raw!BA24)</f>
        <v>A036-COG-X-BVM-Lear</v>
      </c>
      <c r="BB24">
        <f>MAX(BB5,BB7)-BB3</f>
        <v>4</v>
      </c>
      <c r="BC24" t="str">
        <f>IF(master_raw!BC24="","",master_raw!BC24)</f>
        <v>A037-COG-X-BVM-Lear</v>
      </c>
      <c r="BD24">
        <f>MAX(BD5,BD7)-BD3</f>
        <v>0</v>
      </c>
      <c r="BE24" t="str">
        <f>IF(master_raw!BE24="","",master_raw!BE24)</f>
        <v>A038-COG-X-BVM-Lear</v>
      </c>
      <c r="BF24">
        <f>MAX(BF5,BF7)-BF3</f>
        <v>4</v>
      </c>
      <c r="BG24" t="str">
        <f>IF(master_raw!BG24="","",master_raw!BG24)</f>
        <v>A039-COG-X-BVM-Lear</v>
      </c>
      <c r="BH24">
        <f>MAX(BH5,BH7)-BH3</f>
        <v>4</v>
      </c>
      <c r="BI24" t="str">
        <f>IF(master_raw!BI24="","",master_raw!BI24)</f>
        <v>A040-COG-X-BVM-Lear</v>
      </c>
      <c r="BJ24">
        <f>MAX(BJ5,BJ7)-BJ3</f>
        <v>2</v>
      </c>
      <c r="BK24" t="str">
        <f>IF(master_raw!BK24="","",master_raw!BK24)</f>
        <v>A041-COG-X-BVM-Lear</v>
      </c>
      <c r="BL24">
        <f>MAX(BL5,BL7)-BL3</f>
        <v>4</v>
      </c>
      <c r="BM24" t="str">
        <f>IF(master_raw!BM24="","",master_raw!BM24)</f>
        <v>A042-COG-X-BVM-Lear</v>
      </c>
      <c r="BN24">
        <f>MAX(BN5,BN7)-BN3</f>
        <v>6</v>
      </c>
      <c r="BO24" t="str">
        <f>IF(master_raw!BO24="","",master_raw!BO24)</f>
        <v>A043-COG-X-BVM-Lear</v>
      </c>
      <c r="BP24">
        <f>MAX(BP5,BP7)-BP3</f>
        <v>5</v>
      </c>
      <c r="BQ24" t="str">
        <f>IF(master_raw!BQ24="","",master_raw!BQ24)</f>
        <v>A044-COG-X-BVM-Lear</v>
      </c>
      <c r="BR24">
        <f>MAX(BR5,BR7)-BR3</f>
        <v>3</v>
      </c>
      <c r="BS24" t="str">
        <f>IF(master_raw!BS24="","",master_raw!BS24)</f>
        <v>A045-COG-X-BVM-Lear</v>
      </c>
      <c r="BT24">
        <f>MAX(BT5,BT7)-BT3</f>
        <v>4</v>
      </c>
      <c r="BU24" t="str">
        <f>IF(master_raw!BU24="","",master_raw!BU24)</f>
        <v>A046-COG-X-BVM-Lear</v>
      </c>
      <c r="BV24">
        <f>MAX(BV5,BV7)-BV3</f>
        <v>3</v>
      </c>
      <c r="BW24" t="str">
        <f>IF(master_raw!BW24="","",master_raw!BW24)</f>
        <v>A047-COG-X-BVM-Lear</v>
      </c>
      <c r="BX24">
        <f>MAX(BX5,BX7)-BX3</f>
        <v>1</v>
      </c>
      <c r="BY24" t="str">
        <f>IF(master_raw!BY24="","",master_raw!BY24)</f>
        <v>A048-COG-X-BVM-Lear</v>
      </c>
      <c r="BZ24">
        <f>MAX(BZ5,BZ7)-BZ3</f>
        <v>3</v>
      </c>
      <c r="CA24" t="str">
        <f>IF(master_raw!CA24="","",master_raw!CA24)</f>
        <v>A049-COG-X-BVM-Lear</v>
      </c>
      <c r="CB24">
        <f>MAX(CB5,CB7)-CB3</f>
        <v>7</v>
      </c>
      <c r="CC24" t="str">
        <f>IF(master_raw!CC24="","",master_raw!CC24)</f>
        <v>A050-COG-X-BVM-Lear</v>
      </c>
      <c r="CD24">
        <f>MAX(CD5,CD7)-CD3</f>
        <v>4</v>
      </c>
      <c r="CE24" t="str">
        <f>IF(master_raw!CE24="","",master_raw!CE24)</f>
        <v>A051-COG-X-BVM-Lear</v>
      </c>
      <c r="CF24">
        <f>MAX(CF5,CF7)-CF3</f>
        <v>7</v>
      </c>
      <c r="CG24" t="str">
        <f>IF(master_raw!CG24="","",master_raw!CG24)</f>
        <v>A052-COG-X-BVM-Lear</v>
      </c>
      <c r="CH24">
        <f>MAX(CH5,CH7)-CH3</f>
        <v>4</v>
      </c>
      <c r="CI24" t="str">
        <f>IF(master_raw!CI24="","",master_raw!CI24)</f>
        <v>A053-COG-X-BVM-Lear</v>
      </c>
      <c r="CJ24">
        <f>MAX(CJ5,CJ7)-CJ3</f>
        <v>3</v>
      </c>
      <c r="CK24" t="str">
        <f>IF(master_raw!CK24="","",master_raw!CK24)</f>
        <v>A054-COG-X-BVM-Lear</v>
      </c>
      <c r="CL24">
        <f>MAX(CL5,CL7)-CL3</f>
        <v>1</v>
      </c>
      <c r="CM24" t="str">
        <f>IF(master_raw!CM24="","",master_raw!CM24)</f>
        <v>A055-COG-X-BVM-Lear</v>
      </c>
      <c r="CN24">
        <f>MAX(CN5,CN7)-CN3</f>
        <v>6</v>
      </c>
      <c r="CO24" t="str">
        <f>IF(master_raw!CO24="","",master_raw!CO24)</f>
        <v>A056-COG-X-BVM-Lear</v>
      </c>
      <c r="CP24">
        <f>MAX(CP5,CP7)-CP3</f>
        <v>5</v>
      </c>
      <c r="CQ24" t="str">
        <f>IF(master_raw!CQ24="","",master_raw!CQ24)</f>
        <v>A057-COG-X-BVM-Lear</v>
      </c>
      <c r="CR24">
        <f>MAX(CR5,CR7)-CR3</f>
        <v>4</v>
      </c>
      <c r="CS24" t="str">
        <f>IF(master_raw!CS24="","",master_raw!CS24)</f>
        <v>A058-COG-X-BVM-Lear</v>
      </c>
      <c r="CT24">
        <f>MAX(CT5,CT7)-CT3</f>
        <v>6</v>
      </c>
      <c r="CU24" t="str">
        <f>IF(master_raw!CU24="","",master_raw!CU24)</f>
        <v>A059-COG-X-BVM-Lear</v>
      </c>
      <c r="CV24">
        <f>MAX(CV5,CV7)-CV3</f>
        <v>3</v>
      </c>
      <c r="CW24" t="str">
        <f>IF(master_raw!CW24="","",master_raw!CW24)</f>
        <v>A060-COG-X-BVM-Lear</v>
      </c>
      <c r="CX24">
        <f>MAX(CX5,CX7)-CX3</f>
        <v>2</v>
      </c>
      <c r="CY24" t="str">
        <f>IF(master_raw!CY24="","",master_raw!CY24)</f>
        <v>A061-COG-X-BVM-Lear</v>
      </c>
      <c r="CZ24">
        <f>MAX(CZ5,CZ7)-CZ3</f>
        <v>7</v>
      </c>
      <c r="DA24" t="str">
        <f>IF(master_raw!DA24="","",master_raw!DA24)</f>
        <v>A062-COG-X-BVM-Lear</v>
      </c>
      <c r="DB24">
        <f>MAX(DB5,DB7)-DB3</f>
        <v>5</v>
      </c>
      <c r="DC24" t="str">
        <f>IF(master_raw!DC24="","",master_raw!DC24)</f>
        <v>A063-COG-X-BVM-Lear</v>
      </c>
      <c r="DD24">
        <f>MAX(DD5,DD7)-DD3</f>
        <v>5</v>
      </c>
      <c r="DE24" t="str">
        <f>IF(master_raw!DE24="","",master_raw!DE24)</f>
        <v>A064-COG-X-BVM-Lear</v>
      </c>
      <c r="DF24">
        <f>MAX(DF5,DF7)-DF3</f>
        <v>4</v>
      </c>
      <c r="DG24" t="str">
        <f>IF(master_raw!DG24="","",master_raw!DG24)</f>
        <v>A065-COG-X-BVM-Lear</v>
      </c>
      <c r="DH24">
        <f>MAX(DH5,DH7)-DH3</f>
        <v>3</v>
      </c>
      <c r="DI24" t="str">
        <f>IF(master_raw!DI24="","",master_raw!DI24)</f>
        <v>A066-COG-X-BVM-Lear</v>
      </c>
      <c r="DJ24">
        <f>MAX(DJ5,DJ7)-DJ3</f>
        <v>6</v>
      </c>
      <c r="DK24" t="str">
        <f>IF(master_raw!DK24="","",master_raw!DK24)</f>
        <v>A067-COG-X-BVM-Lear</v>
      </c>
      <c r="DL24">
        <f>MAX(DL5,DL7)-DL3</f>
        <v>5</v>
      </c>
      <c r="DM24" t="str">
        <f>IF(master_raw!DM24="","",master_raw!DM24)</f>
        <v>A068-COG-X-BVM-Lear</v>
      </c>
      <c r="DN24">
        <f>MAX(DN5,DN7)-DN3</f>
        <v>4</v>
      </c>
      <c r="DO24" t="str">
        <f>IF(master_raw!DO24="","",master_raw!DO24)</f>
        <v>A069-COG-X-BVM-Lear</v>
      </c>
      <c r="DP24">
        <f>MAX(DP5,DP7)-DP3</f>
        <v>6</v>
      </c>
      <c r="DQ24" t="str">
        <f>IF(master_raw!DQ24="","",master_raw!DQ24)</f>
        <v>A070-COG-X-BVM-Lear</v>
      </c>
      <c r="DR24">
        <f>MAX(DR5,DR7)-DR3</f>
        <v>2</v>
      </c>
      <c r="DS24" t="str">
        <f>IF(master_raw!DS24="","",master_raw!DS24)</f>
        <v>A071-COG-X-BVM-Lear</v>
      </c>
      <c r="DT24">
        <f>MAX(DT5,DT7)-DT3</f>
        <v>5</v>
      </c>
      <c r="DU24" t="str">
        <f>IF(master_raw!DU24="","",master_raw!DU24)</f>
        <v>A072-COG-X-BVM-Lear</v>
      </c>
      <c r="DV24">
        <f>MAX(DV5,DV7)-DV3</f>
        <v>3</v>
      </c>
      <c r="DW24" t="str">
        <f>IF(master_raw!DW24="","",master_raw!DW24)</f>
        <v>A073-COG-X-BVM-Lear</v>
      </c>
      <c r="DX24">
        <f>MAX(DX5,DX7)-DX3</f>
        <v>6</v>
      </c>
      <c r="DY24" t="str">
        <f>IF(master_raw!DY24="","",master_raw!DY24)</f>
        <v>A074-COG-X-BVM-Lear</v>
      </c>
      <c r="DZ24">
        <f>MAX(DZ5,DZ7)-DZ3</f>
        <v>4</v>
      </c>
      <c r="EA24" t="str">
        <f>IF(master_raw!EA24="","",master_raw!EA24)</f>
        <v>A075-COG-X-BVM-Lear</v>
      </c>
      <c r="EB24">
        <f>MAX(EB5,EB7)-EB3</f>
        <v>4</v>
      </c>
      <c r="EC24" t="str">
        <f>IF(master_raw!EC24="","",master_raw!EC24)</f>
        <v>A076-COG-X-BVM-Lear</v>
      </c>
      <c r="ED24">
        <f>MAX(ED5,ED7)-ED3</f>
        <v>6</v>
      </c>
      <c r="EE24" t="str">
        <f>IF(master_raw!EE24="","",master_raw!EE24)</f>
        <v>A077-COG-X-BVM-Lear</v>
      </c>
      <c r="EF24">
        <f>MAX(EF5,EF7)-EF3</f>
        <v>4</v>
      </c>
      <c r="EG24" t="str">
        <f>IF(master_raw!EG24="","",master_raw!EG24)</f>
        <v>A078-COG-X-BVM-Lear</v>
      </c>
      <c r="EH24">
        <f>MAX(EH5,EH7)-EH3</f>
        <v>7</v>
      </c>
      <c r="EI24" t="str">
        <f>IF(master_raw!EI24="","",master_raw!EI24)</f>
        <v>A079-COG-X-BVM-Lear</v>
      </c>
      <c r="EJ24">
        <f>MAX(EJ5,EJ7)-EJ3</f>
        <v>1</v>
      </c>
      <c r="EK24" t="str">
        <f>IF(master_raw!EK24="","",master_raw!EK24)</f>
        <v>A080-COG-X-BVM-Lear</v>
      </c>
      <c r="EL24">
        <f>MAX(EL5,EL7)-EL3</f>
        <v>6</v>
      </c>
      <c r="EM24" t="str">
        <f>IF(master_raw!EM24="","",master_raw!EM24)</f>
        <v>A081-COG-X-BVM-Lear</v>
      </c>
      <c r="EN24">
        <f>MAX(EN5,EN7)-EN3</f>
        <v>4</v>
      </c>
      <c r="EO24" t="str">
        <f>IF(master_raw!EO24="","",master_raw!EO24)</f>
        <v>A082-COG-X-BVM-Lear</v>
      </c>
      <c r="EP24">
        <f>MAX(EP5,EP7)-EP3</f>
        <v>3</v>
      </c>
      <c r="EQ24" t="str">
        <f>IF(master_raw!EQ24="","",master_raw!EQ24)</f>
        <v>A083-COG-X-BVM-Lear</v>
      </c>
      <c r="ER24">
        <f>MAX(ER5,ER7)-ER3</f>
        <v>5</v>
      </c>
      <c r="ES24" t="str">
        <f>IF(master_raw!ES24="","",master_raw!ES24)</f>
        <v>A084-COG-X-BVM-Lear</v>
      </c>
      <c r="ET24">
        <f>MAX(ET5,ET7)-ET3</f>
        <v>2</v>
      </c>
      <c r="EU24" t="str">
        <f>IF(master_raw!EU24="","",master_raw!EU24)</f>
        <v>A085-COG-X-BVM-Lear</v>
      </c>
      <c r="EV24">
        <f>MAX(EV5,EV7)-EV3</f>
        <v>7</v>
      </c>
      <c r="EW24" t="str">
        <f>IF(master_raw!EW24="","",master_raw!EW24)</f>
        <v>A086-COG-X-BVM-Lear</v>
      </c>
      <c r="EX24">
        <f>MAX(EX5,EX7)-EX3</f>
        <v>7</v>
      </c>
      <c r="EY24" t="str">
        <f>IF(master_raw!EY24="","",master_raw!EY24)</f>
        <v>A087-COG-X-BVM-Lear</v>
      </c>
      <c r="EZ24">
        <f>MAX(EZ5,EZ7)-EZ3</f>
        <v>3</v>
      </c>
      <c r="FA24" t="str">
        <f>IF(master_raw!FA24="","",master_raw!FA24)</f>
        <v>A088-COG-X-BVM-Lear</v>
      </c>
      <c r="FB24">
        <f>MAX(FB5,FB7)-FB3</f>
        <v>10</v>
      </c>
      <c r="FC24" t="str">
        <f>IF(master_raw!FC24="","",master_raw!FC24)</f>
        <v>A089-COG-X-BVM-Lear</v>
      </c>
      <c r="FD24">
        <f>MAX(FD5,FD7)-FD3</f>
        <v>6</v>
      </c>
      <c r="FE24" t="str">
        <f>IF(master_raw!FE24="","",master_raw!FE24)</f>
        <v>A090-COG-X-BVM-Lear</v>
      </c>
      <c r="FF24">
        <f>MAX(FF5,FF7)-FF3</f>
        <v>9</v>
      </c>
      <c r="FG24" t="str">
        <f>IF(master_raw!FG24="","",master_raw!FG24)</f>
        <v>A091-COG-X-BVM-Lear</v>
      </c>
      <c r="FH24">
        <f>MAX(FH5,FH7)-FH3</f>
        <v>6</v>
      </c>
      <c r="FI24" t="str">
        <f>IF(master_raw!FI24="","",master_raw!FI24)</f>
        <v>A092-COG-X-BVM-Lear</v>
      </c>
      <c r="FJ24">
        <f>MAX(FJ5,FJ7)-FJ3</f>
        <v>6</v>
      </c>
      <c r="FK24" t="str">
        <f>IF(master_raw!FK24="","",master_raw!FK24)</f>
        <v>A093-COG-X-BVM-Lear</v>
      </c>
      <c r="FL24">
        <f>MAX(FL5,FL7)-FL3</f>
        <v>4</v>
      </c>
      <c r="FM24" t="str">
        <f>IF(master_raw!FM24="","",master_raw!FM24)</f>
        <v>A094-COG-X-BVM-Lear</v>
      </c>
      <c r="FN24">
        <f>MAX(FN5,FN7)-FN3</f>
        <v>6</v>
      </c>
      <c r="FO24" t="str">
        <f>IF(master_raw!FO24="","",master_raw!FO24)</f>
        <v>A095-COG-X-BVM-Lear</v>
      </c>
      <c r="FP24">
        <f>MAX(FP5,FP7)-FP3</f>
        <v>5</v>
      </c>
      <c r="FQ24" t="str">
        <f>IF(master_raw!FQ24="","",master_raw!FQ24)</f>
        <v>A096-COG-X-BVM-Lear</v>
      </c>
      <c r="FR24">
        <f>MAX(FR5,FR7)-FR3</f>
        <v>6</v>
      </c>
      <c r="FS24" t="str">
        <f>IF(master_raw!FS24="","",master_raw!FS24)</f>
        <v>A097-COG-X-BVM-Lear</v>
      </c>
      <c r="FT24">
        <f>MAX(FT5,FT7)-FT3</f>
        <v>2</v>
      </c>
      <c r="FU24" t="str">
        <f>IF(master_raw!FU24="","",master_raw!FU24)</f>
        <v>A098-COG-X-BVM-Lear</v>
      </c>
      <c r="FV24">
        <f>MAX(FV5,FV7)-FV3</f>
        <v>6</v>
      </c>
      <c r="FW24" t="str">
        <f>IF(master_raw!FW24="","",master_raw!FW24)</f>
        <v>A099-COG-X-BVM-Lear</v>
      </c>
      <c r="FX24">
        <f>MAX(FX5,FX7)-FX3</f>
        <v>6</v>
      </c>
      <c r="FY24" t="str">
        <f>IF(master_raw!FY24="","",master_raw!FY24)</f>
        <v>A100-COG-X-BVM-Lear</v>
      </c>
      <c r="FZ24">
        <f>MAX(FZ5,FZ7)-FZ3</f>
        <v>5</v>
      </c>
      <c r="GA24" t="str">
        <f>IF(master_raw!GA24="","",master_raw!GA24)</f>
        <v>A101-COG-X-BVM-Lear</v>
      </c>
      <c r="GB24">
        <f>MAX(GB5,GB7)-GB3</f>
        <v>6</v>
      </c>
      <c r="GC24" t="str">
        <f>IF(master_raw!GC24="","",master_raw!GC24)</f>
        <v>A102-COG-X-BVM-Lear</v>
      </c>
      <c r="GD24">
        <f>MAX(GD5,GD7)-GD3</f>
        <v>2</v>
      </c>
      <c r="GE24" t="str">
        <f>IF(master_raw!GE24="","",master_raw!GE24)</f>
        <v>A103-COG-X-BVM-Lear</v>
      </c>
      <c r="GF24">
        <f>MAX(GF5,GF7)-GF3</f>
        <v>3</v>
      </c>
      <c r="GG24" t="str">
        <f>IF(master_raw!GG24="","",master_raw!GG24)</f>
        <v>A104-COG-X-BVM-Lear</v>
      </c>
      <c r="GH24">
        <f>MAX(GH5,GH7)-GH3</f>
        <v>8</v>
      </c>
      <c r="GI24" t="str">
        <f>IF(master_raw!GI24="","",master_raw!GI24)</f>
        <v>A105-COG-X-BVM-Lear</v>
      </c>
      <c r="GJ24">
        <f>MAX(GJ5,GJ7)-GJ3</f>
        <v>5</v>
      </c>
      <c r="GK24" t="str">
        <f>IF(master_raw!GK24="","",master_raw!GK24)</f>
        <v>A106-COG-X-BVM-Lear</v>
      </c>
      <c r="GL24">
        <f>MAX(GL5,GL7)-GL3</f>
        <v>4</v>
      </c>
      <c r="GM24" t="str">
        <f>IF(master_raw!GM24="","",master_raw!GM24)</f>
        <v>A107-COG-X-BVM-Lear</v>
      </c>
      <c r="GN24">
        <f>MAX(GN5,GN7)-GN3</f>
        <v>5</v>
      </c>
      <c r="GO24" t="str">
        <f>IF(master_raw!GO24="","",master_raw!GO24)</f>
        <v>A108-COG-X-BVM-Lear</v>
      </c>
      <c r="GP24">
        <f>MAX(GP5,GP7)-GP3</f>
        <v>5</v>
      </c>
      <c r="GQ24" t="str">
        <f>IF(master_raw!GQ24="","",master_raw!GQ24)</f>
        <v>A109-COG-X-BVM-Lear</v>
      </c>
      <c r="GR24">
        <f>MAX(GR5,GR7)-GR3</f>
        <v>7</v>
      </c>
    </row>
    <row r="25" spans="1:256" x14ac:dyDescent="0.25">
      <c r="A25" t="str">
        <f>IF(master_raw!A25="","",master_raw!A25)</f>
        <v>A010-COG-X-BVM-PerR</v>
      </c>
      <c r="B25">
        <f>B10/MAX(B5,B7)*100</f>
        <v>100</v>
      </c>
      <c r="C25" t="str">
        <f>IF(master_raw!C25="","",master_raw!C25)</f>
        <v>A011-COG-X-BVM-PerR</v>
      </c>
      <c r="D25">
        <f>D10/MAX(D5,D7)*100</f>
        <v>100</v>
      </c>
      <c r="E25" t="str">
        <f>IF(master_raw!E25="","",master_raw!E25)</f>
        <v>A012-COG-X-BVM-PerR</v>
      </c>
      <c r="F25">
        <f>F10/MAX(F5,F7)*100</f>
        <v>100</v>
      </c>
      <c r="G25" t="str">
        <f>IF(master_raw!G25="","",master_raw!G25)</f>
        <v>A013-COG-X-BVM-PerR</v>
      </c>
      <c r="H25">
        <f>H10/MAX(H5,H7)*100</f>
        <v>100</v>
      </c>
      <c r="I25" t="str">
        <f>IF(master_raw!I25="","",master_raw!I25)</f>
        <v>A014-COG-X-BVM-PerR</v>
      </c>
      <c r="J25">
        <f>J10/MAX(J5,J7)*100</f>
        <v>100</v>
      </c>
      <c r="K25" t="str">
        <f>IF(master_raw!K25="","",master_raw!K25)</f>
        <v>A015-COG-X-BVM-PerR</v>
      </c>
      <c r="L25">
        <f>L10/MAX(L5,L7)*100</f>
        <v>100</v>
      </c>
      <c r="M25" t="str">
        <f>IF(master_raw!M25="","",master_raw!M25)</f>
        <v>A016-COG-X-BVM-PerR</v>
      </c>
      <c r="N25">
        <f>N10/MAX(N5,N7)*100</f>
        <v>100</v>
      </c>
      <c r="O25" t="str">
        <f>IF(master_raw!O25="","",master_raw!O25)</f>
        <v>A017-COG-X-BVM-PerR</v>
      </c>
      <c r="P25">
        <f>P10/MAX(P5,P7)*100</f>
        <v>100</v>
      </c>
      <c r="Q25" t="str">
        <f>IF(master_raw!Q25="","",master_raw!Q25)</f>
        <v>A018-COG-X-BVM-PerR</v>
      </c>
      <c r="R25">
        <f>R10/MAX(R5,R7)*100</f>
        <v>66.666666666666657</v>
      </c>
      <c r="S25" t="str">
        <f>IF(master_raw!S25="","",master_raw!S25)</f>
        <v>A019-COG-X-BVM-PerR</v>
      </c>
      <c r="T25">
        <f>T10/MAX(T5,T7)*100</f>
        <v>100</v>
      </c>
      <c r="U25" t="str">
        <f>IF(master_raw!U25="","",master_raw!U25)</f>
        <v>A020-COG-X-BVM-PerR</v>
      </c>
      <c r="V25">
        <f>V10/MAX(V5,V7)*100</f>
        <v>100</v>
      </c>
      <c r="W25" t="str">
        <f>IF(master_raw!W25="","",master_raw!W25)</f>
        <v>A021-COG-X-BVM-PerR</v>
      </c>
      <c r="X25">
        <f>X10/MAX(X5,X7)*100</f>
        <v>100</v>
      </c>
      <c r="Y25" t="str">
        <f>IF(master_raw!Y25="","",master_raw!Y25)</f>
        <v>A022-COG-X-BVM-PerR</v>
      </c>
      <c r="Z25">
        <f>Z10/MAX(Z5,Z7)*100</f>
        <v>100</v>
      </c>
      <c r="AA25" t="str">
        <f>IF(master_raw!AA25="","",master_raw!AA25)</f>
        <v>A023-COG-X-BVM-PerR</v>
      </c>
      <c r="AB25">
        <f>AB10/MAX(AB5,AB7)*100</f>
        <v>100</v>
      </c>
      <c r="AC25" t="str">
        <f>IF(master_raw!AC25="","",master_raw!AC25)</f>
        <v>A024-COG-X-BVM-PerR</v>
      </c>
      <c r="AD25">
        <f>AD10/MAX(AD5,AD7)*100</f>
        <v>91.666666666666657</v>
      </c>
      <c r="AE25" t="str">
        <f>IF(master_raw!AE25="","",master_raw!AE25)</f>
        <v>A025-COG-X-BVM-PerR</v>
      </c>
      <c r="AF25">
        <f>AF10/MAX(AF5,AF7)*100</f>
        <v>100</v>
      </c>
      <c r="AG25" t="str">
        <f>IF(master_raw!AG25="","",master_raw!AG25)</f>
        <v>A026-COG-X-BVM-PerR</v>
      </c>
      <c r="AH25">
        <f>AH10/MAX(AH5,AH7)*100</f>
        <v>100</v>
      </c>
      <c r="AI25" t="str">
        <f>IF(master_raw!AI25="","",master_raw!AI25)</f>
        <v>A027-COG-X-BVM-PerR</v>
      </c>
      <c r="AJ25">
        <f>AJ10/MAX(AJ5,AJ7)*100</f>
        <v>91.666666666666657</v>
      </c>
      <c r="AK25" t="str">
        <f>IF(master_raw!AK25="","",master_raw!AK25)</f>
        <v>A028-COG-X-BVM-PerR</v>
      </c>
      <c r="AL25">
        <f>AL10/MAX(AL5,AL7)*100</f>
        <v>91.666666666666657</v>
      </c>
      <c r="AM25" t="str">
        <f>IF(master_raw!AM25="","",master_raw!AM25)</f>
        <v>A029-COG-X-BVM-PerR</v>
      </c>
      <c r="AN25">
        <f>AN10/MAX(AN5,AN7)*100</f>
        <v>100</v>
      </c>
      <c r="AO25" t="str">
        <f>IF(master_raw!AO25="","",master_raw!AO25)</f>
        <v>A030-COG-X-BVM-PerR</v>
      </c>
      <c r="AP25">
        <f>AP10/MAX(AP5,AP7)*100</f>
        <v>100</v>
      </c>
      <c r="AQ25" t="str">
        <f>IF(master_raw!AQ25="","",master_raw!AQ25)</f>
        <v>A031-COG-X-BVM-PerR</v>
      </c>
      <c r="AR25">
        <f>AR10/MAX(AR5,AR7)*100</f>
        <v>100</v>
      </c>
      <c r="AS25" t="str">
        <f>IF(master_raw!AS25="","",master_raw!AS25)</f>
        <v>A032-COG-X-BVM-PerR</v>
      </c>
      <c r="AT25">
        <f>AT10/MAX(AT5,AT7)*100</f>
        <v>100</v>
      </c>
      <c r="AU25" t="str">
        <f>IF(master_raw!AU25="","",master_raw!AU25)</f>
        <v>A033-COG-X-BVM-PerR</v>
      </c>
      <c r="AV25">
        <f>AV10/MAX(AV5,AV7)*100</f>
        <v>100</v>
      </c>
      <c r="AW25" t="str">
        <f>IF(master_raw!AW25="","",master_raw!AW25)</f>
        <v>A034-COG-X-BVM-PerR</v>
      </c>
      <c r="AX25">
        <f>AX10/MAX(AX5,AX7)*100</f>
        <v>100</v>
      </c>
      <c r="AY25" t="str">
        <f>IF(master_raw!AY25="","",master_raw!AY25)</f>
        <v>A035-COG-X-BVM-PerR</v>
      </c>
      <c r="AZ25">
        <f>AZ10/MAX(AZ5,AZ7)*100</f>
        <v>100</v>
      </c>
      <c r="BA25" t="str">
        <f>IF(master_raw!BA25="","",master_raw!BA25)</f>
        <v>A036-COG-X-BVM-PerR</v>
      </c>
      <c r="BB25">
        <f>BB10/MAX(BB5,BB7)*100</f>
        <v>100</v>
      </c>
      <c r="BC25" t="str">
        <f>IF(master_raw!BC25="","",master_raw!BC25)</f>
        <v>A037-COG-X-BVM-PerR</v>
      </c>
      <c r="BD25">
        <f>BD10/MAX(BD5,BD7)*100</f>
        <v>100</v>
      </c>
      <c r="BE25" t="str">
        <f>IF(master_raw!BE25="","",master_raw!BE25)</f>
        <v>A038-COG-X-BVM-PerR</v>
      </c>
      <c r="BF25">
        <f>BF10/MAX(BF5,BF7)*100</f>
        <v>90.909090909090907</v>
      </c>
      <c r="BG25" t="str">
        <f>IF(master_raw!BG25="","",master_raw!BG25)</f>
        <v>A039-COG-X-BVM-PerR</v>
      </c>
      <c r="BH25">
        <f>BH10/MAX(BH5,BH7)*100</f>
        <v>100</v>
      </c>
      <c r="BI25" t="str">
        <f>IF(master_raw!BI25="","",master_raw!BI25)</f>
        <v>A040-COG-X-BVM-PerR</v>
      </c>
      <c r="BJ25">
        <f>BJ10/MAX(BJ5,BJ7)*100</f>
        <v>100</v>
      </c>
      <c r="BK25" t="str">
        <f>IF(master_raw!BK25="","",master_raw!BK25)</f>
        <v>A041-COG-X-BVM-PerR</v>
      </c>
      <c r="BL25">
        <f>BL10/MAX(BL5,BL7)*100</f>
        <v>100</v>
      </c>
      <c r="BM25" t="str">
        <f>IF(master_raw!BM25="","",master_raw!BM25)</f>
        <v>A042-COG-X-BVM-PerR</v>
      </c>
      <c r="BN25">
        <f>BN10/MAX(BN5,BN7)*100</f>
        <v>109.09090909090908</v>
      </c>
      <c r="BO25" t="str">
        <f>IF(master_raw!BO25="","",master_raw!BO25)</f>
        <v>A043-COG-X-BVM-PerR</v>
      </c>
      <c r="BP25">
        <f>BP10/MAX(BP5,BP7)*100</f>
        <v>100</v>
      </c>
      <c r="BQ25" t="str">
        <f>IF(master_raw!BQ25="","",master_raw!BQ25)</f>
        <v>A044-COG-X-BVM-PerR</v>
      </c>
      <c r="BR25">
        <f>BR10/MAX(BR5,BR7)*100</f>
        <v>100</v>
      </c>
      <c r="BS25" t="str">
        <f>IF(master_raw!BS25="","",master_raw!BS25)</f>
        <v>A045-COG-X-BVM-PerR</v>
      </c>
      <c r="BT25">
        <f>BT10/MAX(BT5,BT7)*100</f>
        <v>100</v>
      </c>
      <c r="BU25" t="str">
        <f>IF(master_raw!BU25="","",master_raw!BU25)</f>
        <v>A046-COG-X-BVM-PerR</v>
      </c>
      <c r="BV25">
        <f>BV10/MAX(BV5,BV7)*100</f>
        <v>100</v>
      </c>
      <c r="BW25" t="str">
        <f>IF(master_raw!BW25="","",master_raw!BW25)</f>
        <v>A047-COG-X-BVM-PerR</v>
      </c>
      <c r="BX25">
        <f>BX10/MAX(BX5,BX7)*100</f>
        <v>87.5</v>
      </c>
      <c r="BY25" t="str">
        <f>IF(master_raw!BY25="","",master_raw!BY25)</f>
        <v>A048-COG-X-BVM-PerR</v>
      </c>
      <c r="BZ25">
        <f>BZ10/MAX(BZ5,BZ7)*100</f>
        <v>100</v>
      </c>
      <c r="CA25" t="str">
        <f>IF(master_raw!CA25="","",master_raw!CA25)</f>
        <v>A049-COG-X-BVM-PerR</v>
      </c>
      <c r="CB25">
        <f>CB10/MAX(CB5,CB7)*100</f>
        <v>100</v>
      </c>
      <c r="CC25" t="str">
        <f>IF(master_raw!CC25="","",master_raw!CC25)</f>
        <v>A050-COG-X-BVM-PerR</v>
      </c>
      <c r="CD25">
        <f>CD10/MAX(CD5,CD7)*100</f>
        <v>100</v>
      </c>
      <c r="CE25" t="str">
        <f>IF(master_raw!CE25="","",master_raw!CE25)</f>
        <v>A051-COG-X-BVM-PerR</v>
      </c>
      <c r="CF25">
        <f>CF10/MAX(CF5,CF7)*100</f>
        <v>100</v>
      </c>
      <c r="CG25" t="str">
        <f>IF(master_raw!CG25="","",master_raw!CG25)</f>
        <v>A052-COG-X-BVM-PerR</v>
      </c>
      <c r="CH25">
        <f>CH10/MAX(CH5,CH7)*100</f>
        <v>100</v>
      </c>
      <c r="CI25" t="str">
        <f>IF(master_raw!CI25="","",master_raw!CI25)</f>
        <v>A053-COG-X-BVM-PerR</v>
      </c>
      <c r="CJ25">
        <f>CJ10/MAX(CJ5,CJ7)*100</f>
        <v>100</v>
      </c>
      <c r="CK25" t="str">
        <f>IF(master_raw!CK25="","",master_raw!CK25)</f>
        <v>A054-COG-X-BVM-PerR</v>
      </c>
      <c r="CL25">
        <f>CL10/MAX(CL5,CL7)*100</f>
        <v>100</v>
      </c>
      <c r="CM25" t="str">
        <f>IF(master_raw!CM25="","",master_raw!CM25)</f>
        <v>A055-COG-X-BVM-PerR</v>
      </c>
      <c r="CN25">
        <f>CN10/MAX(CN5,CN7)*100</f>
        <v>100</v>
      </c>
      <c r="CO25" t="str">
        <f>IF(master_raw!CO25="","",master_raw!CO25)</f>
        <v>A056-COG-X-BVM-PerR</v>
      </c>
      <c r="CP25">
        <f>CP10/MAX(CP5,CP7)*100</f>
        <v>100</v>
      </c>
      <c r="CQ25" t="str">
        <f>IF(master_raw!CQ25="","",master_raw!CQ25)</f>
        <v>A057-COG-X-BVM-PerR</v>
      </c>
      <c r="CR25">
        <f>CR10/MAX(CR5,CR7)*100</f>
        <v>100</v>
      </c>
      <c r="CS25" t="str">
        <f>IF(master_raw!CS25="","",master_raw!CS25)</f>
        <v>A058-COG-X-BVM-PerR</v>
      </c>
      <c r="CT25">
        <f>CT10/MAX(CT5,CT7)*100</f>
        <v>100</v>
      </c>
      <c r="CU25" t="str">
        <f>IF(master_raw!CU25="","",master_raw!CU25)</f>
        <v>A059-COG-X-BVM-PerR</v>
      </c>
      <c r="CV25">
        <f>CV10/MAX(CV5,CV7)*100</f>
        <v>100</v>
      </c>
      <c r="CW25" t="str">
        <f>IF(master_raw!CW25="","",master_raw!CW25)</f>
        <v>A060-COG-X-BVM-PerR</v>
      </c>
      <c r="CX25">
        <f>CX10/MAX(CX5,CX7)*100</f>
        <v>100</v>
      </c>
      <c r="CY25" t="str">
        <f>IF(master_raw!CY25="","",master_raw!CY25)</f>
        <v>A061-COG-X-BVM-PerR</v>
      </c>
      <c r="CZ25">
        <f>CZ10/MAX(CZ5,CZ7)*100</f>
        <v>100</v>
      </c>
      <c r="DA25" t="str">
        <f>IF(master_raw!DA25="","",master_raw!DA25)</f>
        <v>A062-COG-X-BVM-PerR</v>
      </c>
      <c r="DB25">
        <f>DB10/MAX(DB5,DB7)*100</f>
        <v>100</v>
      </c>
      <c r="DC25" t="str">
        <f>IF(master_raw!DC25="","",master_raw!DC25)</f>
        <v>A063-COG-X-BVM-PerR</v>
      </c>
      <c r="DD25">
        <f>DD10/MAX(DD5,DD7)*100</f>
        <v>100</v>
      </c>
      <c r="DE25" t="str">
        <f>IF(master_raw!DE25="","",master_raw!DE25)</f>
        <v>A064-COG-X-BVM-PerR</v>
      </c>
      <c r="DF25">
        <f>DF10/MAX(DF5,DF7)*100</f>
        <v>100</v>
      </c>
      <c r="DG25" t="str">
        <f>IF(master_raw!DG25="","",master_raw!DG25)</f>
        <v>A065-COG-X-BVM-PerR</v>
      </c>
      <c r="DH25">
        <f>DH10/MAX(DH5,DH7)*100</f>
        <v>100</v>
      </c>
      <c r="DI25" t="str">
        <f>IF(master_raw!DI25="","",master_raw!DI25)</f>
        <v>A066-COG-X-BVM-PerR</v>
      </c>
      <c r="DJ25">
        <f>DJ10/MAX(DJ5,DJ7)*100</f>
        <v>100</v>
      </c>
      <c r="DK25" t="str">
        <f>IF(master_raw!DK25="","",master_raw!DK25)</f>
        <v>A067-COG-X-BVM-PerR</v>
      </c>
      <c r="DL25">
        <f>DL10/MAX(DL5,DL7)*100</f>
        <v>100</v>
      </c>
      <c r="DM25" t="str">
        <f>IF(master_raw!DM25="","",master_raw!DM25)</f>
        <v>A068-COG-X-BVM-PerR</v>
      </c>
      <c r="DN25">
        <f>DN10/MAX(DN5,DN7)*100</f>
        <v>100</v>
      </c>
      <c r="DO25" t="str">
        <f>IF(master_raw!DO25="","",master_raw!DO25)</f>
        <v>A069-COG-X-BVM-PerR</v>
      </c>
      <c r="DP25">
        <f>DP10/MAX(DP5,DP7)*100</f>
        <v>100</v>
      </c>
      <c r="DQ25" t="str">
        <f>IF(master_raw!DQ25="","",master_raw!DQ25)</f>
        <v>A070-COG-X-BVM-PerR</v>
      </c>
      <c r="DR25">
        <f>DR10/MAX(DR5,DR7)*100</f>
        <v>100</v>
      </c>
      <c r="DS25" t="str">
        <f>IF(master_raw!DS25="","",master_raw!DS25)</f>
        <v>A071-COG-X-BVM-PerR</v>
      </c>
      <c r="DT25">
        <f>DT10/MAX(DT5,DT7)*100</f>
        <v>100</v>
      </c>
      <c r="DU25" t="str">
        <f>IF(master_raw!DU25="","",master_raw!DU25)</f>
        <v>A072-COG-X-BVM-PerR</v>
      </c>
      <c r="DV25">
        <f>DV10/MAX(DV5,DV7)*100</f>
        <v>100</v>
      </c>
      <c r="DW25" t="str">
        <f>IF(master_raw!DW25="","",master_raw!DW25)</f>
        <v>A073-COG-X-BVM-PerR</v>
      </c>
      <c r="DX25">
        <f>DX10/MAX(DX5,DX7)*100</f>
        <v>90.909090909090907</v>
      </c>
      <c r="DY25" t="str">
        <f>IF(master_raw!DY25="","",master_raw!DY25)</f>
        <v>A074-COG-X-BVM-PerR</v>
      </c>
      <c r="DZ25">
        <f>DZ10/MAX(DZ5,DZ7)*100</f>
        <v>100</v>
      </c>
      <c r="EA25" t="str">
        <f>IF(master_raw!EA25="","",master_raw!EA25)</f>
        <v>A075-COG-X-BVM-PerR</v>
      </c>
      <c r="EB25">
        <f>EB10/MAX(EB5,EB7)*100</f>
        <v>100</v>
      </c>
      <c r="EC25" t="str">
        <f>IF(master_raw!EC25="","",master_raw!EC25)</f>
        <v>A076-COG-X-BVM-PerR</v>
      </c>
      <c r="ED25">
        <f>ED10/MAX(ED5,ED7)*100</f>
        <v>77.777777777777786</v>
      </c>
      <c r="EE25" t="str">
        <f>IF(master_raw!EE25="","",master_raw!EE25)</f>
        <v>A077-COG-X-BVM-PerR</v>
      </c>
      <c r="EF25">
        <f>EF10/MAX(EF5,EF7)*100</f>
        <v>100</v>
      </c>
      <c r="EG25" t="str">
        <f>IF(master_raw!EG25="","",master_raw!EG25)</f>
        <v>A078-COG-X-BVM-PerR</v>
      </c>
      <c r="EH25">
        <f>EH10/MAX(EH5,EH7)*100</f>
        <v>100</v>
      </c>
      <c r="EI25" t="str">
        <f>IF(master_raw!EI25="","",master_raw!EI25)</f>
        <v>A079-COG-X-BVM-PerR</v>
      </c>
      <c r="EJ25">
        <f>EJ10/MAX(EJ5,EJ7)*100</f>
        <v>66.666666666666657</v>
      </c>
      <c r="EK25" t="str">
        <f>IF(master_raw!EK25="","",master_raw!EK25)</f>
        <v>A080-COG-X-BVM-PerR</v>
      </c>
      <c r="EL25">
        <f>EL10/MAX(EL5,EL7)*100</f>
        <v>100</v>
      </c>
      <c r="EM25" t="str">
        <f>IF(master_raw!EM25="","",master_raw!EM25)</f>
        <v>A081-COG-X-BVM-PerR</v>
      </c>
      <c r="EN25">
        <f>EN10/MAX(EN5,EN7)*100</f>
        <v>100</v>
      </c>
      <c r="EO25" t="str">
        <f>IF(master_raw!EO25="","",master_raw!EO25)</f>
        <v>A082-COG-X-BVM-PerR</v>
      </c>
      <c r="EP25">
        <f>EP10/MAX(EP5,EP7)*100</f>
        <v>91.666666666666657</v>
      </c>
      <c r="EQ25" t="str">
        <f>IF(master_raw!EQ25="","",master_raw!EQ25)</f>
        <v>A083-COG-X-BVM-PerR</v>
      </c>
      <c r="ER25">
        <f>ER10/MAX(ER5,ER7)*100</f>
        <v>100</v>
      </c>
      <c r="ES25" t="str">
        <f>IF(master_raw!ES25="","",master_raw!ES25)</f>
        <v>A084-COG-X-BVM-PerR</v>
      </c>
      <c r="ET25">
        <f>ET10/MAX(ET5,ET7)*100</f>
        <v>87.5</v>
      </c>
      <c r="EU25" t="str">
        <f>IF(master_raw!EU25="","",master_raw!EU25)</f>
        <v>A085-COG-X-BVM-PerR</v>
      </c>
      <c r="EV25">
        <f>EV10/MAX(EV5,EV7)*100</f>
        <v>100</v>
      </c>
      <c r="EW25" t="str">
        <f>IF(master_raw!EW25="","",master_raw!EW25)</f>
        <v>A086-COG-X-BVM-PerR</v>
      </c>
      <c r="EX25">
        <f>EX10/MAX(EX5,EX7)*100</f>
        <v>91.666666666666657</v>
      </c>
      <c r="EY25" t="str">
        <f>IF(master_raw!EY25="","",master_raw!EY25)</f>
        <v>A087-COG-X-BVM-PerR</v>
      </c>
      <c r="EZ25">
        <f>EZ10/MAX(EZ5,EZ7)*100</f>
        <v>91.666666666666657</v>
      </c>
      <c r="FA25" t="str">
        <f>IF(master_raw!FA25="","",master_raw!FA25)</f>
        <v>A088-COG-X-BVM-PerR</v>
      </c>
      <c r="FB25">
        <f>FB10/MAX(FB5,FB7)*100</f>
        <v>83.333333333333343</v>
      </c>
      <c r="FC25" t="str">
        <f>IF(master_raw!FC25="","",master_raw!FC25)</f>
        <v>A089-COG-X-BVM-PerR</v>
      </c>
      <c r="FD25">
        <f>FD10/MAX(FD5,FD7)*100</f>
        <v>100</v>
      </c>
      <c r="FE25" t="str">
        <f>IF(master_raw!FE25="","",master_raw!FE25)</f>
        <v>A090-COG-X-BVM-PerR</v>
      </c>
      <c r="FF25">
        <f>FF10/MAX(FF5,FF7)*100</f>
        <v>100</v>
      </c>
      <c r="FG25" t="str">
        <f>IF(master_raw!FG25="","",master_raw!FG25)</f>
        <v>A091-COG-X-BVM-PerR</v>
      </c>
      <c r="FH25">
        <f>FH10/MAX(FH5,FH7)*100</f>
        <v>100</v>
      </c>
      <c r="FI25" t="str">
        <f>IF(master_raw!FI25="","",master_raw!FI25)</f>
        <v>A092-COG-X-BVM-PerR</v>
      </c>
      <c r="FJ25">
        <f>FJ10/MAX(FJ5,FJ7)*100</f>
        <v>100</v>
      </c>
      <c r="FK25" t="str">
        <f>IF(master_raw!FK25="","",master_raw!FK25)</f>
        <v>A093-COG-X-BVM-PerR</v>
      </c>
      <c r="FL25">
        <f>FL10/MAX(FL5,FL7)*100</f>
        <v>90.909090909090907</v>
      </c>
      <c r="FM25" t="str">
        <f>IF(master_raw!FM25="","",master_raw!FM25)</f>
        <v>A094-COG-X-BVM-PerR</v>
      </c>
      <c r="FN25">
        <f>FN10/MAX(FN5,FN7)*100</f>
        <v>100</v>
      </c>
      <c r="FO25" t="str">
        <f>IF(master_raw!FO25="","",master_raw!FO25)</f>
        <v>A095-COG-X-BVM-PerR</v>
      </c>
      <c r="FP25">
        <f>FP10/MAX(FP5,FP7)*100</f>
        <v>100</v>
      </c>
      <c r="FQ25" t="str">
        <f>IF(master_raw!FQ25="","",master_raw!FQ25)</f>
        <v>A096-COG-X-BVM-PerR</v>
      </c>
      <c r="FR25">
        <f>FR10/MAX(FR5,FR7)*100</f>
        <v>63.636363636363633</v>
      </c>
      <c r="FS25" t="str">
        <f>IF(master_raw!FS25="","",master_raw!FS25)</f>
        <v>A097-COG-X-BVM-PerR</v>
      </c>
      <c r="FT25">
        <f>FT10/MAX(FT5,FT7)*100</f>
        <v>114.28571428571428</v>
      </c>
      <c r="FU25" t="str">
        <f>IF(master_raw!FU25="","",master_raw!FU25)</f>
        <v>A098-COG-X-BVM-PerR</v>
      </c>
      <c r="FV25">
        <f>FV10/MAX(FV5,FV7)*100</f>
        <v>100</v>
      </c>
      <c r="FW25" t="str">
        <f>IF(master_raw!FW25="","",master_raw!FW25)</f>
        <v>A099-COG-X-BVM-PerR</v>
      </c>
      <c r="FX25">
        <f>FX10/MAX(FX5,FX7)*100</f>
        <v>100</v>
      </c>
      <c r="FY25" t="str">
        <f>IF(master_raw!FY25="","",master_raw!FY25)</f>
        <v>A100-COG-X-BVM-PerR</v>
      </c>
      <c r="FZ25">
        <f>FZ10/MAX(FZ5,FZ7)*100</f>
        <v>71.428571428571431</v>
      </c>
      <c r="GA25" t="str">
        <f>IF(master_raw!GA25="","",master_raw!GA25)</f>
        <v>A101-COG-X-BVM-PerR</v>
      </c>
      <c r="GB25">
        <f>GB10/MAX(GB5,GB7)*100</f>
        <v>72.727272727272734</v>
      </c>
      <c r="GC25" t="str">
        <f>IF(master_raw!GC25="","",master_raw!GC25)</f>
        <v>A102-COG-X-BVM-PerR</v>
      </c>
      <c r="GD25">
        <f>GD10/MAX(GD5,GD7)*100</f>
        <v>100</v>
      </c>
      <c r="GE25" t="str">
        <f>IF(master_raw!GE25="","",master_raw!GE25)</f>
        <v>A103-COG-X-BVM-PerR</v>
      </c>
      <c r="GF25">
        <f>GF10/MAX(GF5,GF7)*100</f>
        <v>90.909090909090907</v>
      </c>
      <c r="GG25" t="str">
        <f>IF(master_raw!GG25="","",master_raw!GG25)</f>
        <v>A104-COG-X-BVM-PerR</v>
      </c>
      <c r="GH25">
        <f>GH10/MAX(GH5,GH7)*100</f>
        <v>100</v>
      </c>
      <c r="GI25" t="str">
        <f>IF(master_raw!GI25="","",master_raw!GI25)</f>
        <v>A105-COG-X-BVM-PerR</v>
      </c>
      <c r="GJ25">
        <f>GJ10/MAX(GJ5,GJ7)*100</f>
        <v>100</v>
      </c>
      <c r="GK25" t="str">
        <f>IF(master_raw!GK25="","",master_raw!GK25)</f>
        <v>A106-COG-X-BVM-PerR</v>
      </c>
      <c r="GL25">
        <f>GL10/MAX(GL5,GL7)*100</f>
        <v>100</v>
      </c>
      <c r="GM25" t="str">
        <f>IF(master_raw!GM25="","",master_raw!GM25)</f>
        <v>A107-COG-X-BVM-PerR</v>
      </c>
      <c r="GN25">
        <f>GN10/MAX(GN5,GN7)*100</f>
        <v>100</v>
      </c>
      <c r="GO25" t="str">
        <f>IF(master_raw!GO25="","",master_raw!GO25)</f>
        <v>A108-COG-X-BVM-PerR</v>
      </c>
      <c r="GP25">
        <f>GP10/MAX(GP5,GP7)*100</f>
        <v>100</v>
      </c>
      <c r="GQ25" t="str">
        <f>IF(master_raw!GQ25="","",master_raw!GQ25)</f>
        <v>A109-COG-X-BVM-PerR</v>
      </c>
      <c r="GR25">
        <f>GR10/MAX(GR5,GR7)*100</f>
        <v>55.555555555555557</v>
      </c>
    </row>
    <row r="26" spans="1:256" x14ac:dyDescent="0.25">
      <c r="A26" t="str">
        <f>IF(master_raw!A26="","",master_raw!A26)</f>
        <v>A010-COG-X-BVM-ReHi</v>
      </c>
      <c r="B26">
        <f>SUM(B31,B33,B36,B37,B39,B42)</f>
        <v>6</v>
      </c>
      <c r="C26" t="str">
        <f>IF(master_raw!C26="","",master_raw!C26)</f>
        <v>A011-COG-X-BVM-ReHi</v>
      </c>
      <c r="D26">
        <f>SUM(D31,D33,D36,D37,D39,D42)</f>
        <v>6</v>
      </c>
      <c r="E26" t="str">
        <f>IF(master_raw!E26="","",master_raw!E26)</f>
        <v>A012-COG-X-BVM-ReHi</v>
      </c>
      <c r="F26">
        <f>SUM(F31,F33,F36,F37,F39,F42)</f>
        <v>6</v>
      </c>
      <c r="G26" t="str">
        <f>IF(master_raw!G26="","",master_raw!G26)</f>
        <v>A013-COG-X-BVM-ReHi</v>
      </c>
      <c r="H26">
        <f>SUM(H31,H33,H36,H37,H39,H42)</f>
        <v>5</v>
      </c>
      <c r="I26" t="str">
        <f>IF(master_raw!I26="","",master_raw!I26)</f>
        <v>A014-COG-X-BVM-ReHi</v>
      </c>
      <c r="J26">
        <f>SUM(J31,J33,J36,J37,J39,J42)</f>
        <v>6</v>
      </c>
      <c r="K26" t="str">
        <f>IF(master_raw!K26="","",master_raw!K26)</f>
        <v>A015-COG-X-BVM-ReHi</v>
      </c>
      <c r="L26">
        <f>SUM(L31,L33,L36,L37,L39,L42)</f>
        <v>6</v>
      </c>
      <c r="M26" t="str">
        <f>IF(master_raw!M26="","",master_raw!M26)</f>
        <v>A016-COG-X-BVM-ReHi</v>
      </c>
      <c r="N26">
        <f>SUM(N31,N33,N36,N37,N39,N42)</f>
        <v>6</v>
      </c>
      <c r="O26" t="str">
        <f>IF(master_raw!O26="","",master_raw!O26)</f>
        <v>A017-COG-X-BVM-ReHi</v>
      </c>
      <c r="P26">
        <f>SUM(P31,P33,P36,P37,P39,P42)</f>
        <v>6</v>
      </c>
      <c r="Q26" t="str">
        <f>IF(master_raw!Q26="","",master_raw!Q26)</f>
        <v>A018-COG-X-BVM-ReHi</v>
      </c>
      <c r="R26">
        <f>SUM(R31,R33,R36,R37,R39,R42)</f>
        <v>6</v>
      </c>
      <c r="S26" t="str">
        <f>IF(master_raw!S26="","",master_raw!S26)</f>
        <v>A019-COG-X-BVM-ReHi</v>
      </c>
      <c r="T26">
        <f>SUM(T31,T33,T36,T37,T39,T42)</f>
        <v>5</v>
      </c>
      <c r="U26" t="str">
        <f>IF(master_raw!U26="","",master_raw!U26)</f>
        <v>A020-COG-X-BVM-ReHi</v>
      </c>
      <c r="V26">
        <f>SUM(V31,V33,V36,V37,V39,V42)</f>
        <v>6</v>
      </c>
      <c r="W26" t="str">
        <f>IF(master_raw!W26="","",master_raw!W26)</f>
        <v>A021-COG-X-BVM-ReHi</v>
      </c>
      <c r="X26">
        <f>SUM(X31,X33,X36,X37,X39,X42)</f>
        <v>6</v>
      </c>
      <c r="Y26" t="str">
        <f>IF(master_raw!Y26="","",master_raw!Y26)</f>
        <v>A022-COG-X-BVM-ReHi</v>
      </c>
      <c r="Z26">
        <f>SUM(Z31,Z33,Z36,Z37,Z39,Z42)</f>
        <v>6</v>
      </c>
      <c r="AA26" t="str">
        <f>IF(master_raw!AA26="","",master_raw!AA26)</f>
        <v>A023-COG-X-BVM-ReHi</v>
      </c>
      <c r="AB26">
        <f>SUM(AB31,AB33,AB36,AB37,AB39,AB42)</f>
        <v>6</v>
      </c>
      <c r="AC26" t="str">
        <f>IF(master_raw!AC26="","",master_raw!AC26)</f>
        <v>A024-COG-X-BVM-ReHi</v>
      </c>
      <c r="AD26">
        <f>SUM(AD31,AD33,AD36,AD37,AD39,AD42)</f>
        <v>5</v>
      </c>
      <c r="AE26" t="str">
        <f>IF(master_raw!AE26="","",master_raw!AE26)</f>
        <v>A025-COG-X-BVM-ReHi</v>
      </c>
      <c r="AF26">
        <f>SUM(AF31,AF33,AF36,AF37,AF39,AF42)</f>
        <v>6</v>
      </c>
      <c r="AG26" t="str">
        <f>IF(master_raw!AG26="","",master_raw!AG26)</f>
        <v>A026-COG-X-BVM-ReHi</v>
      </c>
      <c r="AH26">
        <f>SUM(AH31,AH33,AH36,AH37,AH39,AH42)</f>
        <v>6</v>
      </c>
      <c r="AI26" t="str">
        <f>IF(master_raw!AI26="","",master_raw!AI26)</f>
        <v>A027-COG-X-BVM-ReHi</v>
      </c>
      <c r="AJ26">
        <f>SUM(AJ31,AJ33,AJ36,AJ37,AJ39,AJ42)</f>
        <v>6</v>
      </c>
      <c r="AK26" t="str">
        <f>IF(master_raw!AK26="","",master_raw!AK26)</f>
        <v>A028-COG-X-BVM-ReHi</v>
      </c>
      <c r="AL26">
        <f>SUM(AL31,AL33,AL36,AL37,AL39,AL42)</f>
        <v>6</v>
      </c>
      <c r="AM26" t="str">
        <f>IF(master_raw!AM26="","",master_raw!AM26)</f>
        <v>A029-COG-X-BVM-ReHi</v>
      </c>
      <c r="AN26">
        <f>SUM(AN31,AN33,AN36,AN37,AN39,AN42)</f>
        <v>6</v>
      </c>
      <c r="AO26" t="str">
        <f>IF(master_raw!AO26="","",master_raw!AO26)</f>
        <v>A030-COG-X-BVM-ReHi</v>
      </c>
      <c r="AP26">
        <f>SUM(AP31,AP33,AP36,AP37,AP39,AP42)</f>
        <v>6</v>
      </c>
      <c r="AQ26" t="str">
        <f>IF(master_raw!AQ26="","",master_raw!AQ26)</f>
        <v>A031-COG-X-BVM-ReHi</v>
      </c>
      <c r="AR26">
        <f>SUM(AR31,AR33,AR36,AR37,AR39,AR42)</f>
        <v>6</v>
      </c>
      <c r="AS26" t="str">
        <f>IF(master_raw!AS26="","",master_raw!AS26)</f>
        <v>A032-COG-X-BVM-ReHi</v>
      </c>
      <c r="AT26">
        <f>SUM(AT31,AT33,AT36,AT37,AT39,AT42)</f>
        <v>6</v>
      </c>
      <c r="AU26" t="str">
        <f>IF(master_raw!AU26="","",master_raw!AU26)</f>
        <v>A033-COG-X-BVM-ReHi</v>
      </c>
      <c r="AV26">
        <f>SUM(AV31,AV33,AV36,AV37,AV39,AV42)</f>
        <v>6</v>
      </c>
      <c r="AW26" t="str">
        <f>IF(master_raw!AW26="","",master_raw!AW26)</f>
        <v>A034-COG-X-BVM-ReHi</v>
      </c>
      <c r="AX26">
        <f>SUM(AX31,AX33,AX36,AX37,AX39,AX42)</f>
        <v>6</v>
      </c>
      <c r="AY26" t="str">
        <f>IF(master_raw!AY26="","",master_raw!AY26)</f>
        <v>A035-COG-X-BVM-ReHi</v>
      </c>
      <c r="AZ26">
        <f>SUM(AZ31,AZ33,AZ36,AZ37,AZ39,AZ42)</f>
        <v>6</v>
      </c>
      <c r="BA26" t="str">
        <f>IF(master_raw!BA26="","",master_raw!BA26)</f>
        <v>A036-COG-X-BVM-ReHi</v>
      </c>
      <c r="BB26">
        <f>SUM(BB31,BB33,BB36,BB37,BB39,BB42)</f>
        <v>6</v>
      </c>
      <c r="BC26" t="str">
        <f>IF(master_raw!BC26="","",master_raw!BC26)</f>
        <v>A037-COG-X-BVM-ReHi</v>
      </c>
      <c r="BD26">
        <f>SUM(BD31,BD33,BD36,BD37,BD39,BD42)</f>
        <v>6</v>
      </c>
      <c r="BE26" t="str">
        <f>IF(master_raw!BE26="","",master_raw!BE26)</f>
        <v>A038-COG-X-BVM-ReHi</v>
      </c>
      <c r="BF26">
        <f>SUM(BF31,BF33,BF36,BF37,BF39,BF42)</f>
        <v>6</v>
      </c>
      <c r="BG26" t="str">
        <f>IF(master_raw!BG26="","",master_raw!BG26)</f>
        <v>A039-COG-X-BVM-ReHi</v>
      </c>
      <c r="BH26">
        <f>SUM(BH31,BH33,BH36,BH37,BH39,BH42)</f>
        <v>6</v>
      </c>
      <c r="BI26" t="str">
        <f>IF(master_raw!BI26="","",master_raw!BI26)</f>
        <v>A040-COG-X-BVM-ReHi</v>
      </c>
      <c r="BJ26">
        <f>SUM(BJ31,BJ33,BJ36,BJ37,BJ39,BJ42)</f>
        <v>6</v>
      </c>
      <c r="BK26" t="str">
        <f>IF(master_raw!BK26="","",master_raw!BK26)</f>
        <v>A041-COG-X-BVM-ReHi</v>
      </c>
      <c r="BL26">
        <f>SUM(BL31,BL33,BL36,BL37,BL39,BL42)</f>
        <v>6</v>
      </c>
      <c r="BM26" t="str">
        <f>IF(master_raw!BM26="","",master_raw!BM26)</f>
        <v>A042-COG-X-BVM-ReHi</v>
      </c>
      <c r="BN26">
        <f>SUM(BN31,BN33,BN36,BN37,BN39,BN42)</f>
        <v>6</v>
      </c>
      <c r="BO26" t="str">
        <f>IF(master_raw!BO26="","",master_raw!BO26)</f>
        <v>A043-COG-X-BVM-ReHi</v>
      </c>
      <c r="BP26">
        <f>SUM(BP31,BP33,BP36,BP37,BP39,BP42)</f>
        <v>6</v>
      </c>
      <c r="BQ26" t="str">
        <f>IF(master_raw!BQ26="","",master_raw!BQ26)</f>
        <v>A044-COG-X-BVM-ReHi</v>
      </c>
      <c r="BR26">
        <f>SUM(BR31,BR33,BR36,BR37,BR39,BR42)</f>
        <v>6</v>
      </c>
      <c r="BS26" t="str">
        <f>IF(master_raw!BS26="","",master_raw!BS26)</f>
        <v>A045-COG-X-BVM-ReHi</v>
      </c>
      <c r="BT26">
        <f>SUM(BT31,BT33,BT36,BT37,BT39,BT42)</f>
        <v>5</v>
      </c>
      <c r="BU26" t="str">
        <f>IF(master_raw!BU26="","",master_raw!BU26)</f>
        <v>A046-COG-X-BVM-ReHi</v>
      </c>
      <c r="BV26">
        <f>SUM(BV31,BV33,BV36,BV37,BV39,BV42)</f>
        <v>6</v>
      </c>
      <c r="BW26" t="str">
        <f>IF(master_raw!BW26="","",master_raw!BW26)</f>
        <v>A047-COG-X-BVM-ReHi</v>
      </c>
      <c r="BX26">
        <f>SUM(BX31,BX33,BX36,BX37,BX39,BX42)</f>
        <v>6</v>
      </c>
      <c r="BY26" t="str">
        <f>IF(master_raw!BY26="","",master_raw!BY26)</f>
        <v>A048-COG-X-BVM-ReHi</v>
      </c>
      <c r="BZ26">
        <f>SUM(BZ31,BZ33,BZ36,BZ37,BZ39,BZ42)</f>
        <v>6</v>
      </c>
      <c r="CA26" t="str">
        <f>IF(master_raw!CA26="","",master_raw!CA26)</f>
        <v>A049-COG-X-BVM-ReHi</v>
      </c>
      <c r="CB26">
        <f>SUM(CB31,CB33,CB36,CB37,CB39,CB42)</f>
        <v>6</v>
      </c>
      <c r="CC26" t="str">
        <f>IF(master_raw!CC26="","",master_raw!CC26)</f>
        <v>A050-COG-X-BVM-ReHi</v>
      </c>
      <c r="CD26">
        <f>SUM(CD31,CD33,CD36,CD37,CD39,CD42)</f>
        <v>6</v>
      </c>
      <c r="CE26" t="str">
        <f>IF(master_raw!CE26="","",master_raw!CE26)</f>
        <v>A051-COG-X-BVM-ReHi</v>
      </c>
      <c r="CF26">
        <f>SUM(CF31,CF33,CF36,CF37,CF39,CF42)</f>
        <v>5</v>
      </c>
      <c r="CG26" t="str">
        <f>IF(master_raw!CG26="","",master_raw!CG26)</f>
        <v>A052-COG-X-BVM-ReHi</v>
      </c>
      <c r="CH26">
        <f>SUM(CH31,CH33,CH36,CH37,CH39,CH42)</f>
        <v>6</v>
      </c>
      <c r="CI26" t="str">
        <f>IF(master_raw!CI26="","",master_raw!CI26)</f>
        <v>A053-COG-X-BVM-ReHi</v>
      </c>
      <c r="CJ26">
        <f>SUM(CJ31,CJ33,CJ36,CJ37,CJ39,CJ42)</f>
        <v>6</v>
      </c>
      <c r="CK26" t="str">
        <f>IF(master_raw!CK26="","",master_raw!CK26)</f>
        <v>A054-COG-X-BVM-ReHi</v>
      </c>
      <c r="CL26">
        <f>SUM(CL31,CL33,CL36,CL37,CL39,CL42)</f>
        <v>6</v>
      </c>
      <c r="CM26" t="str">
        <f>IF(master_raw!CM26="","",master_raw!CM26)</f>
        <v>A055-COG-X-BVM-ReHi</v>
      </c>
      <c r="CN26">
        <f>SUM(CN31,CN33,CN36,CN37,CN39,CN42)</f>
        <v>5</v>
      </c>
      <c r="CO26" t="str">
        <f>IF(master_raw!CO26="","",master_raw!CO26)</f>
        <v>A056-COG-X-BVM-ReHi</v>
      </c>
      <c r="CP26">
        <f>SUM(CP31,CP33,CP36,CP37,CP39,CP42)</f>
        <v>6</v>
      </c>
      <c r="CQ26" t="str">
        <f>IF(master_raw!CQ26="","",master_raw!CQ26)</f>
        <v>A057-COG-X-BVM-ReHi</v>
      </c>
      <c r="CR26">
        <f>SUM(CR31,CR33,CR36,CR37,CR39,CR42)</f>
        <v>6</v>
      </c>
      <c r="CS26" t="str">
        <f>IF(master_raw!CS26="","",master_raw!CS26)</f>
        <v>A058-COG-X-BVM-ReHi</v>
      </c>
      <c r="CT26">
        <f>SUM(CT31,CT33,CT36,CT37,CT39,CT42)</f>
        <v>6</v>
      </c>
      <c r="CU26" t="str">
        <f>IF(master_raw!CU26="","",master_raw!CU26)</f>
        <v>A059-COG-X-BVM-ReHi</v>
      </c>
      <c r="CV26">
        <f>SUM(CV31,CV33,CV36,CV37,CV39,CV42)</f>
        <v>6</v>
      </c>
      <c r="CW26" t="str">
        <f>IF(master_raw!CW26="","",master_raw!CW26)</f>
        <v>A060-COG-X-BVM-ReHi</v>
      </c>
      <c r="CX26">
        <f>SUM(CX31,CX33,CX36,CX37,CX39,CX42)</f>
        <v>6</v>
      </c>
      <c r="CY26" t="str">
        <f>IF(master_raw!CY26="","",master_raw!CY26)</f>
        <v>A061-COG-X-BVM-ReHi</v>
      </c>
      <c r="CZ26">
        <f>SUM(CZ31,CZ33,CZ36,CZ37,CZ39,CZ42)</f>
        <v>6</v>
      </c>
      <c r="DA26" t="str">
        <f>IF(master_raw!DA26="","",master_raw!DA26)</f>
        <v>A062-COG-X-BVM-ReHi</v>
      </c>
      <c r="DB26">
        <f>SUM(DB31,DB33,DB36,DB37,DB39,DB42)</f>
        <v>6</v>
      </c>
      <c r="DC26" t="str">
        <f>IF(master_raw!DC26="","",master_raw!DC26)</f>
        <v>A063-COG-X-BVM-ReHi</v>
      </c>
      <c r="DD26">
        <f>SUM(DD31,DD33,DD36,DD37,DD39,DD42)</f>
        <v>6</v>
      </c>
      <c r="DE26" t="str">
        <f>IF(master_raw!DE26="","",master_raw!DE26)</f>
        <v>A064-COG-X-BVM-ReHi</v>
      </c>
      <c r="DF26">
        <f>SUM(DF31,DF33,DF36,DF37,DF39,DF42)</f>
        <v>6</v>
      </c>
      <c r="DG26" t="str">
        <f>IF(master_raw!DG26="","",master_raw!DG26)</f>
        <v>A065-COG-X-BVM-ReHi</v>
      </c>
      <c r="DH26">
        <f>SUM(DH31,DH33,DH36,DH37,DH39,DH42)</f>
        <v>6</v>
      </c>
      <c r="DI26" t="str">
        <f>IF(master_raw!DI26="","",master_raw!DI26)</f>
        <v>A066-COG-X-BVM-ReHi</v>
      </c>
      <c r="DJ26">
        <f>SUM(DJ31,DJ33,DJ36,DJ37,DJ39,DJ42)</f>
        <v>6</v>
      </c>
      <c r="DK26" t="str">
        <f>IF(master_raw!DK26="","",master_raw!DK26)</f>
        <v>A067-COG-X-BVM-ReHi</v>
      </c>
      <c r="DL26">
        <f>SUM(DL31,DL33,DL36,DL37,DL39,DL42)</f>
        <v>6</v>
      </c>
      <c r="DM26" t="str">
        <f>IF(master_raw!DM26="","",master_raw!DM26)</f>
        <v>A068-COG-X-BVM-ReHi</v>
      </c>
      <c r="DN26">
        <f>SUM(DN31,DN33,DN36,DN37,DN39,DN42)</f>
        <v>6</v>
      </c>
      <c r="DO26" t="str">
        <f>IF(master_raw!DO26="","",master_raw!DO26)</f>
        <v>A069-COG-X-BVM-ReHi</v>
      </c>
      <c r="DP26">
        <f>SUM(DP31,DP33,DP36,DP37,DP39,DP42)</f>
        <v>6</v>
      </c>
      <c r="DQ26" t="str">
        <f>IF(master_raw!DQ26="","",master_raw!DQ26)</f>
        <v>A070-COG-X-BVM-ReHi</v>
      </c>
      <c r="DR26">
        <f>SUM(DR31,DR33,DR36,DR37,DR39,DR42)</f>
        <v>5</v>
      </c>
      <c r="DS26" t="str">
        <f>IF(master_raw!DS26="","",master_raw!DS26)</f>
        <v>A071-COG-X-BVM-ReHi</v>
      </c>
      <c r="DT26">
        <f>SUM(DT31,DT33,DT36,DT37,DT39,DT42)</f>
        <v>6</v>
      </c>
      <c r="DU26" t="str">
        <f>IF(master_raw!DU26="","",master_raw!DU26)</f>
        <v>A072-COG-X-BVM-ReHi</v>
      </c>
      <c r="DV26">
        <f>SUM(DV31,DV33,DV36,DV37,DV39,DV42)</f>
        <v>6</v>
      </c>
      <c r="DW26" t="str">
        <f>IF(master_raw!DW26="","",master_raw!DW26)</f>
        <v>A073-COG-X-BVM-ReHi</v>
      </c>
      <c r="DX26">
        <f>SUM(DX31,DX33,DX36,DX37,DX39,DX42)</f>
        <v>6</v>
      </c>
      <c r="DY26" t="str">
        <f>IF(master_raw!DY26="","",master_raw!DY26)</f>
        <v>A074-COG-X-BVM-ReHi</v>
      </c>
      <c r="DZ26">
        <f>SUM(DZ31,DZ33,DZ36,DZ37,DZ39,DZ42)</f>
        <v>6</v>
      </c>
      <c r="EA26" t="str">
        <f>IF(master_raw!EA26="","",master_raw!EA26)</f>
        <v>A075-COG-X-BVM-ReHi</v>
      </c>
      <c r="EB26">
        <f>SUM(EB31,EB33,EB36,EB37,EB39,EB42)</f>
        <v>6</v>
      </c>
      <c r="EC26" t="str">
        <f>IF(master_raw!EC26="","",master_raw!EC26)</f>
        <v>A076-COG-X-BVM-ReHi</v>
      </c>
      <c r="ED26">
        <f>SUM(ED31,ED33,ED36,ED37,ED39,ED42)</f>
        <v>6</v>
      </c>
      <c r="EE26" t="str">
        <f>IF(master_raw!EE26="","",master_raw!EE26)</f>
        <v>A077-COG-X-BVM-ReHi</v>
      </c>
      <c r="EF26">
        <f>SUM(EF31,EF33,EF36,EF37,EF39,EF42)</f>
        <v>6</v>
      </c>
      <c r="EG26" t="str">
        <f>IF(master_raw!EG26="","",master_raw!EG26)</f>
        <v>A078-COG-X-BVM-ReHi</v>
      </c>
      <c r="EH26">
        <f>SUM(EH31,EH33,EH36,EH37,EH39,EH42)</f>
        <v>6</v>
      </c>
      <c r="EI26" t="str">
        <f>IF(master_raw!EI26="","",master_raw!EI26)</f>
        <v>A079-COG-X-BVM-ReHi</v>
      </c>
      <c r="EJ26">
        <f>SUM(EJ31,EJ33,EJ36,EJ37,EJ39,EJ42)</f>
        <v>6</v>
      </c>
      <c r="EK26" t="str">
        <f>IF(master_raw!EK26="","",master_raw!EK26)</f>
        <v>A080-COG-X-BVM-ReHi</v>
      </c>
      <c r="EL26">
        <f>SUM(EL31,EL33,EL36,EL37,EL39,EL42)</f>
        <v>6</v>
      </c>
      <c r="EM26" t="str">
        <f>IF(master_raw!EM26="","",master_raw!EM26)</f>
        <v>A081-COG-X-BVM-ReHi</v>
      </c>
      <c r="EN26">
        <f>SUM(EN31,EN33,EN36,EN37,EN39,EN42)</f>
        <v>5</v>
      </c>
      <c r="EO26" t="str">
        <f>IF(master_raw!EO26="","",master_raw!EO26)</f>
        <v>A082-COG-X-BVM-ReHi</v>
      </c>
      <c r="EP26">
        <f>SUM(EP31,EP33,EP36,EP37,EP39,EP42)</f>
        <v>6</v>
      </c>
      <c r="EQ26" t="str">
        <f>IF(master_raw!EQ26="","",master_raw!EQ26)</f>
        <v>A083-COG-X-BVM-ReHi</v>
      </c>
      <c r="ER26">
        <f>SUM(ER31,ER33,ER36,ER37,ER39,ER42)</f>
        <v>6</v>
      </c>
      <c r="ES26" t="str">
        <f>IF(master_raw!ES26="","",master_raw!ES26)</f>
        <v>A084-COG-X-BVM-ReHi</v>
      </c>
      <c r="ET26">
        <f>SUM(ET31,ET33,ET36,ET37,ET39,ET42)</f>
        <v>6</v>
      </c>
      <c r="EU26" t="str">
        <f>IF(master_raw!EU26="","",master_raw!EU26)</f>
        <v>A085-COG-X-BVM-ReHi</v>
      </c>
      <c r="EV26">
        <f>SUM(EV31,EV33,EV36,EV37,EV39,EV42)</f>
        <v>6</v>
      </c>
      <c r="EW26" t="str">
        <f>IF(master_raw!EW26="","",master_raw!EW26)</f>
        <v>A086-COG-X-BVM-ReHi</v>
      </c>
      <c r="EX26">
        <f>SUM(EX31,EX33,EX36,EX37,EX39,EX42)</f>
        <v>6</v>
      </c>
      <c r="EY26" t="str">
        <f>IF(master_raw!EY26="","",master_raw!EY26)</f>
        <v>A087-COG-X-BVM-ReHi</v>
      </c>
      <c r="EZ26">
        <f>SUM(EZ31,EZ33,EZ36,EZ37,EZ39,EZ42)</f>
        <v>6</v>
      </c>
      <c r="FA26" t="str">
        <f>IF(master_raw!FA26="","",master_raw!FA26)</f>
        <v>A088-COG-X-BVM-ReHi</v>
      </c>
      <c r="FB26">
        <f>SUM(FB31,FB33,FB36,FB37,FB39,FB42)</f>
        <v>6</v>
      </c>
      <c r="FC26" t="str">
        <f>IF(master_raw!FC26="","",master_raw!FC26)</f>
        <v>A089-COG-X-BVM-ReHi</v>
      </c>
      <c r="FD26">
        <f>SUM(FD31,FD33,FD36,FD37,FD39,FD42)</f>
        <v>6</v>
      </c>
      <c r="FE26" t="str">
        <f>IF(master_raw!FE26="","",master_raw!FE26)</f>
        <v>A090-COG-X-BVM-ReHi</v>
      </c>
      <c r="FF26">
        <f>SUM(FF31,FF33,FF36,FF37,FF39,FF42)</f>
        <v>6</v>
      </c>
      <c r="FG26" t="str">
        <f>IF(master_raw!FG26="","",master_raw!FG26)</f>
        <v>A091-COG-X-BVM-ReHi</v>
      </c>
      <c r="FH26">
        <f>SUM(FH31,FH33,FH36,FH37,FH39,FH42)</f>
        <v>6</v>
      </c>
      <c r="FI26" t="str">
        <f>IF(master_raw!FI26="","",master_raw!FI26)</f>
        <v>A092-COG-X-BVM-ReHi</v>
      </c>
      <c r="FJ26">
        <f>SUM(FJ31,FJ33,FJ36,FJ37,FJ39,FJ42)</f>
        <v>6</v>
      </c>
      <c r="FK26" t="str">
        <f>IF(master_raw!FK26="","",master_raw!FK26)</f>
        <v>A093-COG-X-BVM-ReHi</v>
      </c>
      <c r="FL26">
        <f>SUM(FL31,FL33,FL36,FL37,FL39,FL42)</f>
        <v>6</v>
      </c>
      <c r="FM26" t="str">
        <f>IF(master_raw!FM26="","",master_raw!FM26)</f>
        <v>A094-COG-X-BVM-ReHi</v>
      </c>
      <c r="FN26">
        <f>SUM(FN31,FN33,FN36,FN37,FN39,FN42)</f>
        <v>6</v>
      </c>
      <c r="FO26" t="str">
        <f>IF(master_raw!FO26="","",master_raw!FO26)</f>
        <v>A095-COG-X-BVM-ReHi</v>
      </c>
      <c r="FP26">
        <f>SUM(FP31,FP33,FP36,FP37,FP39,FP42)</f>
        <v>5</v>
      </c>
      <c r="FQ26" t="str">
        <f>IF(master_raw!FQ26="","",master_raw!FQ26)</f>
        <v>A096-COG-X-BVM-ReHi</v>
      </c>
      <c r="FR26">
        <f>SUM(FR31,FR33,FR36,FR37,FR39,FR42)</f>
        <v>5</v>
      </c>
      <c r="FS26" t="str">
        <f>IF(master_raw!FS26="","",master_raw!FS26)</f>
        <v>A097-COG-X-BVM-ReHi</v>
      </c>
      <c r="FT26">
        <f>SUM(FT31,FT33,FT36,FT37,FT39,FT42)</f>
        <v>5</v>
      </c>
      <c r="FU26" t="str">
        <f>IF(master_raw!FU26="","",master_raw!FU26)</f>
        <v>A098-COG-X-BVM-ReHi</v>
      </c>
      <c r="FV26">
        <f>SUM(FV31,FV33,FV36,FV37,FV39,FV42)</f>
        <v>6</v>
      </c>
      <c r="FW26" t="str">
        <f>IF(master_raw!FW26="","",master_raw!FW26)</f>
        <v>A099-COG-X-BVM-ReHi</v>
      </c>
      <c r="FX26">
        <f>SUM(FX31,FX33,FX36,FX37,FX39,FX42)</f>
        <v>6</v>
      </c>
      <c r="FY26" t="str">
        <f>IF(master_raw!FY26="","",master_raw!FY26)</f>
        <v>A100-COG-X-BVM-ReHi</v>
      </c>
      <c r="FZ26">
        <f>SUM(FZ31,FZ33,FZ36,FZ37,FZ39,FZ42)</f>
        <v>6</v>
      </c>
      <c r="GA26" t="str">
        <f>IF(master_raw!GA26="","",master_raw!GA26)</f>
        <v>A101-COG-X-BVM-ReHi</v>
      </c>
      <c r="GB26">
        <f>SUM(GB31,GB33,GB36,GB37,GB39,GB42)</f>
        <v>5</v>
      </c>
      <c r="GC26" t="str">
        <f>IF(master_raw!GC26="","",master_raw!GC26)</f>
        <v>A102-COG-X-BVM-ReHi</v>
      </c>
      <c r="GD26">
        <f>SUM(GD31,GD33,GD36,GD37,GD39,GD42)</f>
        <v>6</v>
      </c>
      <c r="GE26" t="str">
        <f>IF(master_raw!GE26="","",master_raw!GE26)</f>
        <v>A103-COG-X-BVM-ReHi</v>
      </c>
      <c r="GF26">
        <f>SUM(GF31,GF33,GF36,GF37,GF39,GF42)</f>
        <v>6</v>
      </c>
      <c r="GG26" t="str">
        <f>IF(master_raw!GG26="","",master_raw!GG26)</f>
        <v>A104-COG-X-BVM-ReHi</v>
      </c>
      <c r="GH26">
        <f>SUM(GH31,GH33,GH36,GH37,GH39,GH42)</f>
        <v>6</v>
      </c>
      <c r="GI26" t="str">
        <f>IF(master_raw!GI26="","",master_raw!GI26)</f>
        <v>A105-COG-X-BVM-ReHi</v>
      </c>
      <c r="GJ26">
        <f>SUM(GJ31,GJ33,GJ36,GJ37,GJ39,GJ42)</f>
        <v>6</v>
      </c>
      <c r="GK26" t="str">
        <f>IF(master_raw!GK26="","",master_raw!GK26)</f>
        <v>A106-COG-X-BVM-ReHi</v>
      </c>
      <c r="GL26">
        <f>SUM(GL31,GL33,GL36,GL37,GL39,GL42)</f>
        <v>6</v>
      </c>
      <c r="GM26" t="str">
        <f>IF(master_raw!GM26="","",master_raw!GM26)</f>
        <v>A107-COG-X-BVM-ReHi</v>
      </c>
      <c r="GN26">
        <f>SUM(GN31,GN33,GN36,GN37,GN39,GN42)</f>
        <v>6</v>
      </c>
      <c r="GO26" t="str">
        <f>IF(master_raw!GO26="","",master_raw!GO26)</f>
        <v>A108-COG-X-BVM-ReHi</v>
      </c>
      <c r="GP26">
        <f>SUM(GP31,GP33,GP36,GP37,GP39,GP42)</f>
        <v>6</v>
      </c>
      <c r="GQ26" t="str">
        <f>IF(master_raw!GQ26="","",master_raw!GQ26)</f>
        <v>A109-COG-X-BVM-ReHi</v>
      </c>
      <c r="GR26">
        <f>SUM(GR31,GR33,GR36,GR37,GR39,GR42)</f>
        <v>6</v>
      </c>
    </row>
    <row r="27" spans="1:256" x14ac:dyDescent="0.25">
      <c r="A27" t="str">
        <f>IF(master_raw!A27="","",master_raw!A27)</f>
        <v>A010-COG-X-BVM-ReFA</v>
      </c>
      <c r="B27">
        <f>SUM(B32,B34,B35,B38,B40,B41)</f>
        <v>0</v>
      </c>
      <c r="C27" t="str">
        <f>IF(master_raw!C27="","",master_raw!C27)</f>
        <v>A011-COG-X-BVM-ReFA</v>
      </c>
      <c r="D27">
        <f>SUM(D32,D34,D35,D38,D40,D41)</f>
        <v>0</v>
      </c>
      <c r="E27" t="str">
        <f>IF(master_raw!E27="","",master_raw!E27)</f>
        <v>A012-COG-X-BVM-ReFA</v>
      </c>
      <c r="F27">
        <f>SUM(F32,F34,F35,F38,F40,F41)</f>
        <v>0</v>
      </c>
      <c r="G27" t="str">
        <f>IF(master_raw!G27="","",master_raw!G27)</f>
        <v>A013-COG-X-BVM-ReFA</v>
      </c>
      <c r="H27">
        <f>SUM(H32,H34,H35,H38,H40,H41)</f>
        <v>0</v>
      </c>
      <c r="I27" t="str">
        <f>IF(master_raw!I27="","",master_raw!I27)</f>
        <v>A014-COG-X-BVM-ReFA</v>
      </c>
      <c r="J27">
        <f>SUM(J32,J34,J35,J38,J40,J41)</f>
        <v>0</v>
      </c>
      <c r="K27" t="str">
        <f>IF(master_raw!K27="","",master_raw!K27)</f>
        <v>A015-COG-X-BVM-ReFA</v>
      </c>
      <c r="L27">
        <f>SUM(L32,L34,L35,L38,L40,L41)</f>
        <v>0</v>
      </c>
      <c r="M27" t="str">
        <f>IF(master_raw!M27="","",master_raw!M27)</f>
        <v>A016-COG-X-BVM-ReFA</v>
      </c>
      <c r="N27">
        <f>SUM(N32,N34,N35,N38,N40,N41)</f>
        <v>0</v>
      </c>
      <c r="O27" t="str">
        <f>IF(master_raw!O27="","",master_raw!O27)</f>
        <v>A017-COG-X-BVM-ReFA</v>
      </c>
      <c r="P27">
        <f>SUM(P32,P34,P35,P38,P40,P41)</f>
        <v>0</v>
      </c>
      <c r="Q27" t="str">
        <f>IF(master_raw!Q27="","",master_raw!Q27)</f>
        <v>A018-COG-X-BVM-ReFA</v>
      </c>
      <c r="R27">
        <f>SUM(R32,R34,R35,R38,R40,R41)</f>
        <v>0</v>
      </c>
      <c r="S27" t="str">
        <f>IF(master_raw!S27="","",master_raw!S27)</f>
        <v>A019-COG-X-BVM-ReFA</v>
      </c>
      <c r="T27">
        <f>SUM(T32,T34,T35,T38,T40,T41)</f>
        <v>0</v>
      </c>
      <c r="U27" t="str">
        <f>IF(master_raw!U27="","",master_raw!U27)</f>
        <v>A020-COG-X-BVM-ReFA</v>
      </c>
      <c r="V27">
        <f>SUM(V32,V34,V35,V38,V40,V41)</f>
        <v>0</v>
      </c>
      <c r="W27" t="str">
        <f>IF(master_raw!W27="","",master_raw!W27)</f>
        <v>A021-COG-X-BVM-ReFA</v>
      </c>
      <c r="X27">
        <f>SUM(X32,X34,X35,X38,X40,X41)</f>
        <v>0</v>
      </c>
      <c r="Y27" t="str">
        <f>IF(master_raw!Y27="","",master_raw!Y27)</f>
        <v>A022-COG-X-BVM-ReFA</v>
      </c>
      <c r="Z27">
        <f>SUM(Z32,Z34,Z35,Z38,Z40,Z41)</f>
        <v>0</v>
      </c>
      <c r="AA27" t="str">
        <f>IF(master_raw!AA27="","",master_raw!AA27)</f>
        <v>A023-COG-X-BVM-ReFA</v>
      </c>
      <c r="AB27">
        <f>SUM(AB32,AB34,AB35,AB38,AB40,AB41)</f>
        <v>0</v>
      </c>
      <c r="AC27" t="str">
        <f>IF(master_raw!AC27="","",master_raw!AC27)</f>
        <v>A024-COG-X-BVM-ReFA</v>
      </c>
      <c r="AD27">
        <f>SUM(AD32,AD34,AD35,AD38,AD40,AD41)</f>
        <v>0</v>
      </c>
      <c r="AE27" t="str">
        <f>IF(master_raw!AE27="","",master_raw!AE27)</f>
        <v>A025-COG-X-BVM-ReFA</v>
      </c>
      <c r="AF27">
        <f>SUM(AF32,AF34,AF35,AF38,AF40,AF41)</f>
        <v>0</v>
      </c>
      <c r="AG27" t="str">
        <f>IF(master_raw!AG27="","",master_raw!AG27)</f>
        <v>A026-COG-X-BVM-ReFA</v>
      </c>
      <c r="AH27">
        <f>SUM(AH32,AH34,AH35,AH38,AH40,AH41)</f>
        <v>0</v>
      </c>
      <c r="AI27" t="str">
        <f>IF(master_raw!AI27="","",master_raw!AI27)</f>
        <v>A027-COG-X-BVM-ReFA</v>
      </c>
      <c r="AJ27">
        <f>SUM(AJ32,AJ34,AJ35,AJ38,AJ40,AJ41)</f>
        <v>0</v>
      </c>
      <c r="AK27" t="str">
        <f>IF(master_raw!AK27="","",master_raw!AK27)</f>
        <v>A028-COG-X-BVM-ReFA</v>
      </c>
      <c r="AL27">
        <f>SUM(AL32,AL34,AL35,AL38,AL40,AL41)</f>
        <v>0</v>
      </c>
      <c r="AM27" t="str">
        <f>IF(master_raw!AM27="","",master_raw!AM27)</f>
        <v>A029-COG-X-BVM-ReFA</v>
      </c>
      <c r="AN27">
        <f>SUM(AN32,AN34,AN35,AN38,AN40,AN41)</f>
        <v>0</v>
      </c>
      <c r="AO27" t="str">
        <f>IF(master_raw!AO27="","",master_raw!AO27)</f>
        <v>A030-COG-X-BVM-ReFA</v>
      </c>
      <c r="AP27">
        <f>SUM(AP32,AP34,AP35,AP38,AP40,AP41)</f>
        <v>0</v>
      </c>
      <c r="AQ27" t="str">
        <f>IF(master_raw!AQ27="","",master_raw!AQ27)</f>
        <v>A031-COG-X-BVM-ReFA</v>
      </c>
      <c r="AR27">
        <f>SUM(AR32,AR34,AR35,AR38,AR40,AR41)</f>
        <v>0</v>
      </c>
      <c r="AS27" t="str">
        <f>IF(master_raw!AS27="","",master_raw!AS27)</f>
        <v>A032-COG-X-BVM-ReFA</v>
      </c>
      <c r="AT27">
        <f>SUM(AT32,AT34,AT35,AT38,AT40,AT41)</f>
        <v>0</v>
      </c>
      <c r="AU27" t="str">
        <f>IF(master_raw!AU27="","",master_raw!AU27)</f>
        <v>A033-COG-X-BVM-ReFA</v>
      </c>
      <c r="AV27">
        <f>SUM(AV32,AV34,AV35,AV38,AV40,AV41)</f>
        <v>0</v>
      </c>
      <c r="AW27" t="str">
        <f>IF(master_raw!AW27="","",master_raw!AW27)</f>
        <v>A034-COG-X-BVM-ReFA</v>
      </c>
      <c r="AX27">
        <f>SUM(AX32,AX34,AX35,AX38,AX40,AX41)</f>
        <v>0</v>
      </c>
      <c r="AY27" t="str">
        <f>IF(master_raw!AY27="","",master_raw!AY27)</f>
        <v>A035-COG-X-BVM-ReFA</v>
      </c>
      <c r="AZ27">
        <f>SUM(AZ32,AZ34,AZ35,AZ38,AZ40,AZ41)</f>
        <v>0</v>
      </c>
      <c r="BA27" t="str">
        <f>IF(master_raw!BA27="","",master_raw!BA27)</f>
        <v>A036-COG-X-BVM-ReFA</v>
      </c>
      <c r="BB27">
        <f>SUM(BB32,BB34,BB35,BB38,BB40,BB41)</f>
        <v>0</v>
      </c>
      <c r="BC27" t="str">
        <f>IF(master_raw!BC27="","",master_raw!BC27)</f>
        <v>A037-COG-X-BVM-ReFA</v>
      </c>
      <c r="BD27">
        <f>SUM(BD32,BD34,BD35,BD38,BD40,BD41)</f>
        <v>0</v>
      </c>
      <c r="BE27" t="str">
        <f>IF(master_raw!BE27="","",master_raw!BE27)</f>
        <v>A038-COG-X-BVM-ReFA</v>
      </c>
      <c r="BF27">
        <f>SUM(BF32,BF34,BF35,BF38,BF40,BF41)</f>
        <v>0</v>
      </c>
      <c r="BG27" t="str">
        <f>IF(master_raw!BG27="","",master_raw!BG27)</f>
        <v>A039-COG-X-BVM-ReFA</v>
      </c>
      <c r="BH27">
        <f>SUM(BH32,BH34,BH35,BH38,BH40,BH41)</f>
        <v>0</v>
      </c>
      <c r="BI27" t="str">
        <f>IF(master_raw!BI27="","",master_raw!BI27)</f>
        <v>A040-COG-X-BVM-ReFA</v>
      </c>
      <c r="BJ27">
        <f>SUM(BJ32,BJ34,BJ35,BJ38,BJ40,BJ41)</f>
        <v>0</v>
      </c>
      <c r="BK27" t="str">
        <f>IF(master_raw!BK27="","",master_raw!BK27)</f>
        <v>A041-COG-X-BVM-ReFA</v>
      </c>
      <c r="BL27">
        <f>SUM(BL32,BL34,BL35,BL38,BL40,BL41)</f>
        <v>0</v>
      </c>
      <c r="BM27" t="str">
        <f>IF(master_raw!BM27="","",master_raw!BM27)</f>
        <v>A042-COG-X-BVM-ReFA</v>
      </c>
      <c r="BN27">
        <f>SUM(BN32,BN34,BN35,BN38,BN40,BN41)</f>
        <v>0</v>
      </c>
      <c r="BO27" t="str">
        <f>IF(master_raw!BO27="","",master_raw!BO27)</f>
        <v>A043-COG-X-BVM-ReFA</v>
      </c>
      <c r="BP27">
        <f>SUM(BP32,BP34,BP35,BP38,BP40,BP41)</f>
        <v>0</v>
      </c>
      <c r="BQ27" t="str">
        <f>IF(master_raw!BQ27="","",master_raw!BQ27)</f>
        <v>A044-COG-X-BVM-ReFA</v>
      </c>
      <c r="BR27">
        <f>SUM(BR32,BR34,BR35,BR38,BR40,BR41)</f>
        <v>0</v>
      </c>
      <c r="BS27" t="str">
        <f>IF(master_raw!BS27="","",master_raw!BS27)</f>
        <v>A045-COG-X-BVM-ReFA</v>
      </c>
      <c r="BT27">
        <f>SUM(BT32,BT34,BT35,BT38,BT40,BT41)</f>
        <v>0</v>
      </c>
      <c r="BU27" t="str">
        <f>IF(master_raw!BU27="","",master_raw!BU27)</f>
        <v>A046-COG-X-BVM-ReFA</v>
      </c>
      <c r="BV27">
        <f>SUM(BV32,BV34,BV35,BV38,BV40,BV41)</f>
        <v>0</v>
      </c>
      <c r="BW27" t="str">
        <f>IF(master_raw!BW27="","",master_raw!BW27)</f>
        <v>A047-COG-X-BVM-ReFA</v>
      </c>
      <c r="BX27">
        <f>SUM(BX32,BX34,BX35,BX38,BX40,BX41)</f>
        <v>0</v>
      </c>
      <c r="BY27" t="str">
        <f>IF(master_raw!BY27="","",master_raw!BY27)</f>
        <v>A048-COG-X-BVM-ReFA</v>
      </c>
      <c r="BZ27">
        <f>SUM(BZ32,BZ34,BZ35,BZ38,BZ40,BZ41)</f>
        <v>0</v>
      </c>
      <c r="CA27" t="str">
        <f>IF(master_raw!CA27="","",master_raw!CA27)</f>
        <v>A049-COG-X-BVM-ReFA</v>
      </c>
      <c r="CB27">
        <f>SUM(CB32,CB34,CB35,CB38,CB40,CB41)</f>
        <v>0</v>
      </c>
      <c r="CC27" t="str">
        <f>IF(master_raw!CC27="","",master_raw!CC27)</f>
        <v>A050-COG-X-BVM-ReFA</v>
      </c>
      <c r="CD27">
        <f>SUM(CD32,CD34,CD35,CD38,CD40,CD41)</f>
        <v>0</v>
      </c>
      <c r="CE27" t="str">
        <f>IF(master_raw!CE27="","",master_raw!CE27)</f>
        <v>A051-COG-X-BVM-ReFA</v>
      </c>
      <c r="CF27">
        <f>SUM(CF32,CF34,CF35,CF38,CF40,CF41)</f>
        <v>0</v>
      </c>
      <c r="CG27" t="str">
        <f>IF(master_raw!CG27="","",master_raw!CG27)</f>
        <v>A052-COG-X-BVM-ReFA</v>
      </c>
      <c r="CH27">
        <f>SUM(CH32,CH34,CH35,CH38,CH40,CH41)</f>
        <v>0</v>
      </c>
      <c r="CI27" t="str">
        <f>IF(master_raw!CI27="","",master_raw!CI27)</f>
        <v>A053-COG-X-BVM-ReFA</v>
      </c>
      <c r="CJ27">
        <f>SUM(CJ32,CJ34,CJ35,CJ38,CJ40,CJ41)</f>
        <v>0</v>
      </c>
      <c r="CK27" t="str">
        <f>IF(master_raw!CK27="","",master_raw!CK27)</f>
        <v>A054-COG-X-BVM-ReFA</v>
      </c>
      <c r="CL27">
        <f>SUM(CL32,CL34,CL35,CL38,CL40,CL41)</f>
        <v>0</v>
      </c>
      <c r="CM27" t="str">
        <f>IF(master_raw!CM27="","",master_raw!CM27)</f>
        <v>A055-COG-X-BVM-ReFA</v>
      </c>
      <c r="CN27">
        <f>SUM(CN32,CN34,CN35,CN38,CN40,CN41)</f>
        <v>0</v>
      </c>
      <c r="CO27" t="str">
        <f>IF(master_raw!CO27="","",master_raw!CO27)</f>
        <v>A056-COG-X-BVM-ReFA</v>
      </c>
      <c r="CP27">
        <f>SUM(CP32,CP34,CP35,CP38,CP40,CP41)</f>
        <v>0</v>
      </c>
      <c r="CQ27" t="str">
        <f>IF(master_raw!CQ27="","",master_raw!CQ27)</f>
        <v>A057-COG-X-BVM-ReFA</v>
      </c>
      <c r="CR27">
        <f>SUM(CR32,CR34,CR35,CR38,CR40,CR41)</f>
        <v>0</v>
      </c>
      <c r="CS27" t="str">
        <f>IF(master_raw!CS27="","",master_raw!CS27)</f>
        <v>A058-COG-X-BVM-ReFA</v>
      </c>
      <c r="CT27">
        <f>SUM(CT32,CT34,CT35,CT38,CT40,CT41)</f>
        <v>0</v>
      </c>
      <c r="CU27" t="str">
        <f>IF(master_raw!CU27="","",master_raw!CU27)</f>
        <v>A059-COG-X-BVM-ReFA</v>
      </c>
      <c r="CV27">
        <f>SUM(CV32,CV34,CV35,CV38,CV40,CV41)</f>
        <v>0</v>
      </c>
      <c r="CW27" t="str">
        <f>IF(master_raw!CW27="","",master_raw!CW27)</f>
        <v>A060-COG-X-BVM-ReFA</v>
      </c>
      <c r="CX27">
        <f>SUM(CX32,CX34,CX35,CX38,CX40,CX41)</f>
        <v>0</v>
      </c>
      <c r="CY27" t="str">
        <f>IF(master_raw!CY27="","",master_raw!CY27)</f>
        <v>A061-COG-X-BVM-ReFA</v>
      </c>
      <c r="CZ27">
        <f>SUM(CZ32,CZ34,CZ35,CZ38,CZ40,CZ41)</f>
        <v>0</v>
      </c>
      <c r="DA27" t="str">
        <f>IF(master_raw!DA27="","",master_raw!DA27)</f>
        <v>A062-COG-X-BVM-ReFA</v>
      </c>
      <c r="DB27">
        <f>SUM(DB32,DB34,DB35,DB38,DB40,DB41)</f>
        <v>0</v>
      </c>
      <c r="DC27" t="str">
        <f>IF(master_raw!DC27="","",master_raw!DC27)</f>
        <v>A063-COG-X-BVM-ReFA</v>
      </c>
      <c r="DD27">
        <f>SUM(DD32,DD34,DD35,DD38,DD40,DD41)</f>
        <v>0</v>
      </c>
      <c r="DE27" t="str">
        <f>IF(master_raw!DE27="","",master_raw!DE27)</f>
        <v>A064-COG-X-BVM-ReFA</v>
      </c>
      <c r="DF27">
        <f>SUM(DF32,DF34,DF35,DF38,DF40,DF41)</f>
        <v>0</v>
      </c>
      <c r="DG27" t="str">
        <f>IF(master_raw!DG27="","",master_raw!DG27)</f>
        <v>A065-COG-X-BVM-ReFA</v>
      </c>
      <c r="DH27">
        <f>SUM(DH32,DH34,DH35,DH38,DH40,DH41)</f>
        <v>0</v>
      </c>
      <c r="DI27" t="str">
        <f>IF(master_raw!DI27="","",master_raw!DI27)</f>
        <v>A066-COG-X-BVM-ReFA</v>
      </c>
      <c r="DJ27">
        <f>SUM(DJ32,DJ34,DJ35,DJ38,DJ40,DJ41)</f>
        <v>0</v>
      </c>
      <c r="DK27" t="str">
        <f>IF(master_raw!DK27="","",master_raw!DK27)</f>
        <v>A067-COG-X-BVM-ReFA</v>
      </c>
      <c r="DL27">
        <f>SUM(DL32,DL34,DL35,DL38,DL40,DL41)</f>
        <v>0</v>
      </c>
      <c r="DM27" t="str">
        <f>IF(master_raw!DM27="","",master_raw!DM27)</f>
        <v>A068-COG-X-BVM-ReFA</v>
      </c>
      <c r="DN27">
        <f>SUM(DN32,DN34,DN35,DN38,DN40,DN41)</f>
        <v>0</v>
      </c>
      <c r="DO27" t="str">
        <f>IF(master_raw!DO27="","",master_raw!DO27)</f>
        <v>A069-COG-X-BVM-ReFA</v>
      </c>
      <c r="DP27">
        <f>SUM(DP32,DP34,DP35,DP38,DP40,DP41)</f>
        <v>0</v>
      </c>
      <c r="DQ27" t="str">
        <f>IF(master_raw!DQ27="","",master_raw!DQ27)</f>
        <v>A070-COG-X-BVM-ReFA</v>
      </c>
      <c r="DR27">
        <f>SUM(DR32,DR34,DR35,DR38,DR40,DR41)</f>
        <v>0</v>
      </c>
      <c r="DS27" t="str">
        <f>IF(master_raw!DS27="","",master_raw!DS27)</f>
        <v>A071-COG-X-BVM-ReFA</v>
      </c>
      <c r="DT27">
        <f>SUM(DT32,DT34,DT35,DT38,DT40,DT41)</f>
        <v>0</v>
      </c>
      <c r="DU27" t="str">
        <f>IF(master_raw!DU27="","",master_raw!DU27)</f>
        <v>A072-COG-X-BVM-ReFA</v>
      </c>
      <c r="DV27">
        <f>SUM(DV32,DV34,DV35,DV38,DV40,DV41)</f>
        <v>0</v>
      </c>
      <c r="DW27" t="str">
        <f>IF(master_raw!DW27="","",master_raw!DW27)</f>
        <v>A073-COG-X-BVM-ReFA</v>
      </c>
      <c r="DX27">
        <f>SUM(DX32,DX34,DX35,DX38,DX40,DX41)</f>
        <v>0</v>
      </c>
      <c r="DY27" t="str">
        <f>IF(master_raw!DY27="","",master_raw!DY27)</f>
        <v>A074-COG-X-BVM-ReFA</v>
      </c>
      <c r="DZ27">
        <f>SUM(DZ32,DZ34,DZ35,DZ38,DZ40,DZ41)</f>
        <v>0</v>
      </c>
      <c r="EA27" t="str">
        <f>IF(master_raw!EA27="","",master_raw!EA27)</f>
        <v>A075-COG-X-BVM-ReFA</v>
      </c>
      <c r="EB27">
        <f>SUM(EB32,EB34,EB35,EB38,EB40,EB41)</f>
        <v>0</v>
      </c>
      <c r="EC27" t="str">
        <f>IF(master_raw!EC27="","",master_raw!EC27)</f>
        <v>A076-COG-X-BVM-ReFA</v>
      </c>
      <c r="ED27">
        <f>SUM(ED32,ED34,ED35,ED38,ED40,ED41)</f>
        <v>0</v>
      </c>
      <c r="EE27" t="str">
        <f>IF(master_raw!EE27="","",master_raw!EE27)</f>
        <v>A077-COG-X-BVM-ReFA</v>
      </c>
      <c r="EF27">
        <f>SUM(EF32,EF34,EF35,EF38,EF40,EF41)</f>
        <v>0</v>
      </c>
      <c r="EG27" t="str">
        <f>IF(master_raw!EG27="","",master_raw!EG27)</f>
        <v>A078-COG-X-BVM-ReFA</v>
      </c>
      <c r="EH27">
        <f>SUM(EH32,EH34,EH35,EH38,EH40,EH41)</f>
        <v>0</v>
      </c>
      <c r="EI27" t="str">
        <f>IF(master_raw!EI27="","",master_raw!EI27)</f>
        <v>A079-COG-X-BVM-ReFA</v>
      </c>
      <c r="EJ27">
        <f>SUM(EJ32,EJ34,EJ35,EJ38,EJ40,EJ41)</f>
        <v>0</v>
      </c>
      <c r="EK27" t="str">
        <f>IF(master_raw!EK27="","",master_raw!EK27)</f>
        <v>A080-COG-X-BVM-ReFA</v>
      </c>
      <c r="EL27">
        <f>SUM(EL32,EL34,EL35,EL38,EL40,EL41)</f>
        <v>0</v>
      </c>
      <c r="EM27" t="str">
        <f>IF(master_raw!EM27="","",master_raw!EM27)</f>
        <v>A081-COG-X-BVM-ReFA</v>
      </c>
      <c r="EN27">
        <f>SUM(EN32,EN34,EN35,EN38,EN40,EN41)</f>
        <v>0</v>
      </c>
      <c r="EO27" t="str">
        <f>IF(master_raw!EO27="","",master_raw!EO27)</f>
        <v>A082-COG-X-BVM-ReFA</v>
      </c>
      <c r="EP27">
        <f>SUM(EP32,EP34,EP35,EP38,EP40,EP41)</f>
        <v>0</v>
      </c>
      <c r="EQ27" t="str">
        <f>IF(master_raw!EQ27="","",master_raw!EQ27)</f>
        <v>A083-COG-X-BVM-ReFA</v>
      </c>
      <c r="ER27">
        <f>SUM(ER32,ER34,ER35,ER38,ER40,ER41)</f>
        <v>0</v>
      </c>
      <c r="ES27" t="str">
        <f>IF(master_raw!ES27="","",master_raw!ES27)</f>
        <v>A084-COG-X-BVM-ReFA</v>
      </c>
      <c r="ET27">
        <f>SUM(ET32,ET34,ET35,ET38,ET40,ET41)</f>
        <v>0</v>
      </c>
      <c r="EU27" t="str">
        <f>IF(master_raw!EU27="","",master_raw!EU27)</f>
        <v>A085-COG-X-BVM-ReFA</v>
      </c>
      <c r="EV27">
        <f>SUM(EV32,EV34,EV35,EV38,EV40,EV41)</f>
        <v>0</v>
      </c>
      <c r="EW27" t="str">
        <f>IF(master_raw!EW27="","",master_raw!EW27)</f>
        <v>A086-COG-X-BVM-ReFA</v>
      </c>
      <c r="EX27">
        <f>SUM(EX32,EX34,EX35,EX38,EX40,EX41)</f>
        <v>0</v>
      </c>
      <c r="EY27" t="str">
        <f>IF(master_raw!EY27="","",master_raw!EY27)</f>
        <v>A087-COG-X-BVM-ReFA</v>
      </c>
      <c r="EZ27">
        <f>SUM(EZ32,EZ34,EZ35,EZ38,EZ40,EZ41)</f>
        <v>0</v>
      </c>
      <c r="FA27" t="str">
        <f>IF(master_raw!FA27="","",master_raw!FA27)</f>
        <v>A088-COG-X-BVM-ReFA</v>
      </c>
      <c r="FB27">
        <f>SUM(FB32,FB34,FB35,FB38,FB40,FB41)</f>
        <v>0</v>
      </c>
      <c r="FC27" t="str">
        <f>IF(master_raw!FC27="","",master_raw!FC27)</f>
        <v>A089-COG-X-BVM-ReFA</v>
      </c>
      <c r="FD27">
        <f>SUM(FD32,FD34,FD35,FD38,FD40,FD41)</f>
        <v>0</v>
      </c>
      <c r="FE27" t="str">
        <f>IF(master_raw!FE27="","",master_raw!FE27)</f>
        <v>A090-COG-X-BVM-ReFA</v>
      </c>
      <c r="FF27">
        <f>SUM(FF32,FF34,FF35,FF38,FF40,FF41)</f>
        <v>0</v>
      </c>
      <c r="FG27" t="str">
        <f>IF(master_raw!FG27="","",master_raw!FG27)</f>
        <v>A091-COG-X-BVM-ReFA</v>
      </c>
      <c r="FH27">
        <f>SUM(FH32,FH34,FH35,FH38,FH40,FH41)</f>
        <v>0</v>
      </c>
      <c r="FI27" t="str">
        <f>IF(master_raw!FI27="","",master_raw!FI27)</f>
        <v>A092-COG-X-BVM-ReFA</v>
      </c>
      <c r="FJ27">
        <f>SUM(FJ32,FJ34,FJ35,FJ38,FJ40,FJ41)</f>
        <v>0</v>
      </c>
      <c r="FK27" t="str">
        <f>IF(master_raw!FK27="","",master_raw!FK27)</f>
        <v>A093-COG-X-BVM-ReFA</v>
      </c>
      <c r="FL27">
        <f>SUM(FL32,FL34,FL35,FL38,FL40,FL41)</f>
        <v>0</v>
      </c>
      <c r="FM27" t="str">
        <f>IF(master_raw!FM27="","",master_raw!FM27)</f>
        <v>A094-COG-X-BVM-ReFA</v>
      </c>
      <c r="FN27">
        <f>SUM(FN32,FN34,FN35,FN38,FN40,FN41)</f>
        <v>0</v>
      </c>
      <c r="FO27" t="str">
        <f>IF(master_raw!FO27="","",master_raw!FO27)</f>
        <v>A095-COG-X-BVM-ReFA</v>
      </c>
      <c r="FP27">
        <f>SUM(FP32,FP34,FP35,FP38,FP40,FP41)</f>
        <v>0</v>
      </c>
      <c r="FQ27" t="str">
        <f>IF(master_raw!FQ27="","",master_raw!FQ27)</f>
        <v>A096-COG-X-BVM-ReFA</v>
      </c>
      <c r="FR27">
        <f>SUM(FR32,FR34,FR35,FR38,FR40,FR41)</f>
        <v>0</v>
      </c>
      <c r="FS27" t="str">
        <f>IF(master_raw!FS27="","",master_raw!FS27)</f>
        <v>A097-COG-X-BVM-ReFA</v>
      </c>
      <c r="FT27">
        <f>SUM(FT32,FT34,FT35,FT38,FT40,FT41)</f>
        <v>0</v>
      </c>
      <c r="FU27" t="str">
        <f>IF(master_raw!FU27="","",master_raw!FU27)</f>
        <v>A098-COG-X-BVM-ReFA</v>
      </c>
      <c r="FV27">
        <f>SUM(FV32,FV34,FV35,FV38,FV40,FV41)</f>
        <v>0</v>
      </c>
      <c r="FW27" t="str">
        <f>IF(master_raw!FW27="","",master_raw!FW27)</f>
        <v>A099-COG-X-BVM-ReFA</v>
      </c>
      <c r="FX27">
        <f>SUM(FX32,FX34,FX35,FX38,FX40,FX41)</f>
        <v>0</v>
      </c>
      <c r="FY27" t="str">
        <f>IF(master_raw!FY27="","",master_raw!FY27)</f>
        <v>A100-COG-X-BVM-ReFA</v>
      </c>
      <c r="FZ27">
        <f>SUM(FZ32,FZ34,FZ35,FZ38,FZ40,FZ41)</f>
        <v>0</v>
      </c>
      <c r="GA27" t="str">
        <f>IF(master_raw!GA27="","",master_raw!GA27)</f>
        <v>A101-COG-X-BVM-ReFA</v>
      </c>
      <c r="GB27">
        <f>SUM(GB32,GB34,GB35,GB38,GB40,GB41)</f>
        <v>0</v>
      </c>
      <c r="GC27" t="str">
        <f>IF(master_raw!GC27="","",master_raw!GC27)</f>
        <v>A102-COG-X-BVM-ReFA</v>
      </c>
      <c r="GD27">
        <f>SUM(GD32,GD34,GD35,GD38,GD40,GD41)</f>
        <v>0</v>
      </c>
      <c r="GE27" t="str">
        <f>IF(master_raw!GE27="","",master_raw!GE27)</f>
        <v>A103-COG-X-BVM-ReFA</v>
      </c>
      <c r="GF27">
        <f>SUM(GF32,GF34,GF35,GF38,GF40,GF41)</f>
        <v>0</v>
      </c>
      <c r="GG27" t="str">
        <f>IF(master_raw!GG27="","",master_raw!GG27)</f>
        <v>A104-COG-X-BVM-ReFA</v>
      </c>
      <c r="GH27">
        <f>SUM(GH32,GH34,GH35,GH38,GH40,GH41)</f>
        <v>0</v>
      </c>
      <c r="GI27" t="str">
        <f>IF(master_raw!GI27="","",master_raw!GI27)</f>
        <v>A105-COG-X-BVM-ReFA</v>
      </c>
      <c r="GJ27">
        <f>SUM(GJ32,GJ34,GJ35,GJ38,GJ40,GJ41)</f>
        <v>0</v>
      </c>
      <c r="GK27" t="str">
        <f>IF(master_raw!GK27="","",master_raw!GK27)</f>
        <v>A106-COG-X-BVM-ReFA</v>
      </c>
      <c r="GL27">
        <f>SUM(GL32,GL34,GL35,GL38,GL40,GL41)</f>
        <v>0</v>
      </c>
      <c r="GM27" t="str">
        <f>IF(master_raw!GM27="","",master_raw!GM27)</f>
        <v>A107-COG-X-BVM-ReFA</v>
      </c>
      <c r="GN27">
        <f>SUM(GN32,GN34,GN35,GN38,GN40,GN41)</f>
        <v>0</v>
      </c>
      <c r="GO27" t="str">
        <f>IF(master_raw!GO27="","",master_raw!GO27)</f>
        <v>A108-COG-X-BVM-ReFA</v>
      </c>
      <c r="GP27">
        <f>SUM(GP32,GP34,GP35,GP38,GP40,GP41)</f>
        <v>0</v>
      </c>
      <c r="GQ27" t="str">
        <f>IF(master_raw!GQ27="","",master_raw!GQ27)</f>
        <v>A109-COG-X-BVM-ReFA</v>
      </c>
      <c r="GR27">
        <f>SUM(GR32,GR34,GR35,GR38,GR40,GR41)</f>
        <v>0</v>
      </c>
    </row>
    <row r="28" spans="1:256" x14ac:dyDescent="0.25">
      <c r="A28" t="str">
        <f>IF(master_raw!A28="","",master_raw!A28)</f>
        <v>A010-COG-X-BVM-ReDI</v>
      </c>
      <c r="B28">
        <f>B26-B27</f>
        <v>6</v>
      </c>
      <c r="C28" t="str">
        <f>IF(master_raw!C28="","",master_raw!C28)</f>
        <v>A011-COG-X-BVM-ReDI</v>
      </c>
      <c r="D28">
        <f>D26-D27</f>
        <v>6</v>
      </c>
      <c r="E28" t="str">
        <f>IF(master_raw!E28="","",master_raw!E28)</f>
        <v>A012-COG-X-BVM-ReDI</v>
      </c>
      <c r="F28">
        <f>F26-F27</f>
        <v>6</v>
      </c>
      <c r="G28" t="str">
        <f>IF(master_raw!G28="","",master_raw!G28)</f>
        <v>A013-COG-X-BVM-ReDI</v>
      </c>
      <c r="H28">
        <f>H26-H27</f>
        <v>5</v>
      </c>
      <c r="I28" t="str">
        <f>IF(master_raw!I28="","",master_raw!I28)</f>
        <v>A014-COG-X-BVM-ReDI</v>
      </c>
      <c r="J28">
        <f>J26-J27</f>
        <v>6</v>
      </c>
      <c r="K28" t="str">
        <f>IF(master_raw!K28="","",master_raw!K28)</f>
        <v>A015-COG-X-BVM-ReDI</v>
      </c>
      <c r="L28">
        <f>L26-L27</f>
        <v>6</v>
      </c>
      <c r="M28" t="str">
        <f>IF(master_raw!M28="","",master_raw!M28)</f>
        <v>A016-COG-X-BVM-ReDI</v>
      </c>
      <c r="N28">
        <f>N26-N27</f>
        <v>6</v>
      </c>
      <c r="O28" t="str">
        <f>IF(master_raw!O28="","",master_raw!O28)</f>
        <v>A017-COG-X-BVM-ReDI</v>
      </c>
      <c r="P28">
        <f>P26-P27</f>
        <v>6</v>
      </c>
      <c r="Q28" t="str">
        <f>IF(master_raw!Q28="","",master_raw!Q28)</f>
        <v>A018-COG-X-BVM-ReDI</v>
      </c>
      <c r="R28">
        <f>R26-R27</f>
        <v>6</v>
      </c>
      <c r="S28" t="str">
        <f>IF(master_raw!S28="","",master_raw!S28)</f>
        <v>A019-COG-X-BVM-ReDI</v>
      </c>
      <c r="T28">
        <f>T26-T27</f>
        <v>5</v>
      </c>
      <c r="U28" t="str">
        <f>IF(master_raw!U28="","",master_raw!U28)</f>
        <v>A020-COG-X-BVM-ReDI</v>
      </c>
      <c r="V28">
        <f>V26-V27</f>
        <v>6</v>
      </c>
      <c r="W28" t="str">
        <f>IF(master_raw!W28="","",master_raw!W28)</f>
        <v>A021-COG-X-BVM-ReDI</v>
      </c>
      <c r="X28">
        <f>X26-X27</f>
        <v>6</v>
      </c>
      <c r="Y28" t="str">
        <f>IF(master_raw!Y28="","",master_raw!Y28)</f>
        <v>A022-COG-X-BVM-ReDI</v>
      </c>
      <c r="Z28">
        <f>Z26-Z27</f>
        <v>6</v>
      </c>
      <c r="AA28" t="str">
        <f>IF(master_raw!AA28="","",master_raw!AA28)</f>
        <v>A023-COG-X-BVM-ReDI</v>
      </c>
      <c r="AB28">
        <f>AB26-AB27</f>
        <v>6</v>
      </c>
      <c r="AC28" t="str">
        <f>IF(master_raw!AC28="","",master_raw!AC28)</f>
        <v>A024-COG-X-BVM-ReDI</v>
      </c>
      <c r="AD28">
        <f>AD26-AD27</f>
        <v>5</v>
      </c>
      <c r="AE28" t="str">
        <f>IF(master_raw!AE28="","",master_raw!AE28)</f>
        <v>A025-COG-X-BVM-ReDI</v>
      </c>
      <c r="AF28">
        <f>AF26-AF27</f>
        <v>6</v>
      </c>
      <c r="AG28" t="str">
        <f>IF(master_raw!AG28="","",master_raw!AG28)</f>
        <v>A026-COG-X-BVM-ReDI</v>
      </c>
      <c r="AH28">
        <f>AH26-AH27</f>
        <v>6</v>
      </c>
      <c r="AI28" t="str">
        <f>IF(master_raw!AI28="","",master_raw!AI28)</f>
        <v>A027-COG-X-BVM-ReDI</v>
      </c>
      <c r="AJ28">
        <f>AJ26-AJ27</f>
        <v>6</v>
      </c>
      <c r="AK28" t="str">
        <f>IF(master_raw!AK28="","",master_raw!AK28)</f>
        <v>A028-COG-X-BVM-ReDI</v>
      </c>
      <c r="AL28">
        <f>AL26-AL27</f>
        <v>6</v>
      </c>
      <c r="AM28" t="str">
        <f>IF(master_raw!AM28="","",master_raw!AM28)</f>
        <v>A029-COG-X-BVM-ReDI</v>
      </c>
      <c r="AN28">
        <f>AN26-AN27</f>
        <v>6</v>
      </c>
      <c r="AO28" t="str">
        <f>IF(master_raw!AO28="","",master_raw!AO28)</f>
        <v>A030-COG-X-BVM-ReDI</v>
      </c>
      <c r="AP28">
        <f>AP26-AP27</f>
        <v>6</v>
      </c>
      <c r="AQ28" t="str">
        <f>IF(master_raw!AQ28="","",master_raw!AQ28)</f>
        <v>A031-COG-X-BVM-ReDI</v>
      </c>
      <c r="AR28">
        <f>AR26-AR27</f>
        <v>6</v>
      </c>
      <c r="AS28" t="str">
        <f>IF(master_raw!AS28="","",master_raw!AS28)</f>
        <v>A032-COG-X-BVM-ReDI</v>
      </c>
      <c r="AT28">
        <f>AT26-AT27</f>
        <v>6</v>
      </c>
      <c r="AU28" t="str">
        <f>IF(master_raw!AU28="","",master_raw!AU28)</f>
        <v>A033-COG-X-BVM-ReDI</v>
      </c>
      <c r="AV28">
        <f>AV26-AV27</f>
        <v>6</v>
      </c>
      <c r="AW28" t="str">
        <f>IF(master_raw!AW28="","",master_raw!AW28)</f>
        <v>A034-COG-X-BVM-ReDI</v>
      </c>
      <c r="AX28">
        <f>AX26-AX27</f>
        <v>6</v>
      </c>
      <c r="AY28" t="str">
        <f>IF(master_raw!AY28="","",master_raw!AY28)</f>
        <v>A035-COG-X-BVM-ReDI</v>
      </c>
      <c r="AZ28">
        <f>AZ26-AZ27</f>
        <v>6</v>
      </c>
      <c r="BA28" t="str">
        <f>IF(master_raw!BA28="","",master_raw!BA28)</f>
        <v>A036-COG-X-BVM-ReDI</v>
      </c>
      <c r="BB28">
        <f>BB26-BB27</f>
        <v>6</v>
      </c>
      <c r="BC28" t="str">
        <f>IF(master_raw!BC28="","",master_raw!BC28)</f>
        <v>A037-COG-X-BVM-ReDI</v>
      </c>
      <c r="BD28">
        <f>BD26-BD27</f>
        <v>6</v>
      </c>
      <c r="BE28" t="str">
        <f>IF(master_raw!BE28="","",master_raw!BE28)</f>
        <v>A038-COG-X-BVM-ReDI</v>
      </c>
      <c r="BF28">
        <f>BF26-BF27</f>
        <v>6</v>
      </c>
      <c r="BG28" t="str">
        <f>IF(master_raw!BG28="","",master_raw!BG28)</f>
        <v>A039-COG-X-BVM-ReDI</v>
      </c>
      <c r="BH28">
        <f>BH26-BH27</f>
        <v>6</v>
      </c>
      <c r="BI28" t="str">
        <f>IF(master_raw!BI28="","",master_raw!BI28)</f>
        <v>A040-COG-X-BVM-ReDI</v>
      </c>
      <c r="BJ28">
        <f>BJ26-BJ27</f>
        <v>6</v>
      </c>
      <c r="BK28" t="str">
        <f>IF(master_raw!BK28="","",master_raw!BK28)</f>
        <v>A041-COG-X-BVM-ReDI</v>
      </c>
      <c r="BL28">
        <f>BL26-BL27</f>
        <v>6</v>
      </c>
      <c r="BM28" t="str">
        <f>IF(master_raw!BM28="","",master_raw!BM28)</f>
        <v>A042-COG-X-BVM-ReDI</v>
      </c>
      <c r="BN28">
        <f>BN26-BN27</f>
        <v>6</v>
      </c>
      <c r="BO28" t="str">
        <f>IF(master_raw!BO28="","",master_raw!BO28)</f>
        <v>A043-COG-X-BVM-ReDI</v>
      </c>
      <c r="BP28">
        <f>BP26-BP27</f>
        <v>6</v>
      </c>
      <c r="BQ28" t="str">
        <f>IF(master_raw!BQ28="","",master_raw!BQ28)</f>
        <v>A044-COG-X-BVM-ReDI</v>
      </c>
      <c r="BR28">
        <f>BR26-BR27</f>
        <v>6</v>
      </c>
      <c r="BS28" t="str">
        <f>IF(master_raw!BS28="","",master_raw!BS28)</f>
        <v>A045-COG-X-BVM-ReDI</v>
      </c>
      <c r="BT28">
        <f>BT26-BT27</f>
        <v>5</v>
      </c>
      <c r="BU28" t="str">
        <f>IF(master_raw!BU28="","",master_raw!BU28)</f>
        <v>A046-COG-X-BVM-ReDI</v>
      </c>
      <c r="BV28">
        <f>BV26-BV27</f>
        <v>6</v>
      </c>
      <c r="BW28" t="str">
        <f>IF(master_raw!BW28="","",master_raw!BW28)</f>
        <v>A047-COG-X-BVM-ReDI</v>
      </c>
      <c r="BX28">
        <f>BX26-BX27</f>
        <v>6</v>
      </c>
      <c r="BY28" t="str">
        <f>IF(master_raw!BY28="","",master_raw!BY28)</f>
        <v>A048-COG-X-BVM-ReDI</v>
      </c>
      <c r="BZ28">
        <f>BZ26-BZ27</f>
        <v>6</v>
      </c>
      <c r="CA28" t="str">
        <f>IF(master_raw!CA28="","",master_raw!CA28)</f>
        <v>A049-COG-X-BVM-ReDI</v>
      </c>
      <c r="CB28">
        <f>CB26-CB27</f>
        <v>6</v>
      </c>
      <c r="CC28" t="str">
        <f>IF(master_raw!CC28="","",master_raw!CC28)</f>
        <v>A050-COG-X-BVM-ReDI</v>
      </c>
      <c r="CD28">
        <f>CD26-CD27</f>
        <v>6</v>
      </c>
      <c r="CE28" t="str">
        <f>IF(master_raw!CE28="","",master_raw!CE28)</f>
        <v>A051-COG-X-BVM-ReDI</v>
      </c>
      <c r="CF28">
        <f>CF26-CF27</f>
        <v>5</v>
      </c>
      <c r="CG28" t="str">
        <f>IF(master_raw!CG28="","",master_raw!CG28)</f>
        <v>A052-COG-X-BVM-ReDI</v>
      </c>
      <c r="CH28">
        <f>CH26-CH27</f>
        <v>6</v>
      </c>
      <c r="CI28" t="str">
        <f>IF(master_raw!CI28="","",master_raw!CI28)</f>
        <v>A053-COG-X-BVM-ReDI</v>
      </c>
      <c r="CJ28">
        <f>CJ26-CJ27</f>
        <v>6</v>
      </c>
      <c r="CK28" t="str">
        <f>IF(master_raw!CK28="","",master_raw!CK28)</f>
        <v>A054-COG-X-BVM-ReDI</v>
      </c>
      <c r="CL28">
        <f>CL26-CL27</f>
        <v>6</v>
      </c>
      <c r="CM28" t="str">
        <f>IF(master_raw!CM28="","",master_raw!CM28)</f>
        <v>A055-COG-X-BVM-ReDI</v>
      </c>
      <c r="CN28">
        <f>CN26-CN27</f>
        <v>5</v>
      </c>
      <c r="CO28" t="str">
        <f>IF(master_raw!CO28="","",master_raw!CO28)</f>
        <v>A056-COG-X-BVM-ReDI</v>
      </c>
      <c r="CP28">
        <f>CP26-CP27</f>
        <v>6</v>
      </c>
      <c r="CQ28" t="str">
        <f>IF(master_raw!CQ28="","",master_raw!CQ28)</f>
        <v>A057-COG-X-BVM-ReDI</v>
      </c>
      <c r="CR28">
        <f>CR26-CR27</f>
        <v>6</v>
      </c>
      <c r="CS28" t="str">
        <f>IF(master_raw!CS28="","",master_raw!CS28)</f>
        <v>A058-COG-X-BVM-ReDI</v>
      </c>
      <c r="CT28">
        <f>CT26-CT27</f>
        <v>6</v>
      </c>
      <c r="CU28" t="str">
        <f>IF(master_raw!CU28="","",master_raw!CU28)</f>
        <v>A059-COG-X-BVM-ReDI</v>
      </c>
      <c r="CV28">
        <f>CV26-CV27</f>
        <v>6</v>
      </c>
      <c r="CW28" t="str">
        <f>IF(master_raw!CW28="","",master_raw!CW28)</f>
        <v>A060-COG-X-BVM-ReDI</v>
      </c>
      <c r="CX28">
        <f>CX26-CX27</f>
        <v>6</v>
      </c>
      <c r="CY28" t="str">
        <f>IF(master_raw!CY28="","",master_raw!CY28)</f>
        <v>A061-COG-X-BVM-ReDI</v>
      </c>
      <c r="CZ28">
        <f>CZ26-CZ27</f>
        <v>6</v>
      </c>
      <c r="DA28" t="str">
        <f>IF(master_raw!DA28="","",master_raw!DA28)</f>
        <v>A062-COG-X-BVM-ReDI</v>
      </c>
      <c r="DB28">
        <f>DB26-DB27</f>
        <v>6</v>
      </c>
      <c r="DC28" t="str">
        <f>IF(master_raw!DC28="","",master_raw!DC28)</f>
        <v>A063-COG-X-BVM-ReDI</v>
      </c>
      <c r="DD28">
        <f>DD26-DD27</f>
        <v>6</v>
      </c>
      <c r="DE28" t="str">
        <f>IF(master_raw!DE28="","",master_raw!DE28)</f>
        <v>A064-COG-X-BVM-ReDI</v>
      </c>
      <c r="DF28">
        <f>DF26-DF27</f>
        <v>6</v>
      </c>
      <c r="DG28" t="str">
        <f>IF(master_raw!DG28="","",master_raw!DG28)</f>
        <v>A065-COG-X-BVM-ReDI</v>
      </c>
      <c r="DH28">
        <f>DH26-DH27</f>
        <v>6</v>
      </c>
      <c r="DI28" t="str">
        <f>IF(master_raw!DI28="","",master_raw!DI28)</f>
        <v>A066-COG-X-BVM-ReDI</v>
      </c>
      <c r="DJ28">
        <f>DJ26-DJ27</f>
        <v>6</v>
      </c>
      <c r="DK28" t="str">
        <f>IF(master_raw!DK28="","",master_raw!DK28)</f>
        <v>A067-COG-X-BVM-ReDI</v>
      </c>
      <c r="DL28">
        <f>DL26-DL27</f>
        <v>6</v>
      </c>
      <c r="DM28" t="str">
        <f>IF(master_raw!DM28="","",master_raw!DM28)</f>
        <v>A068-COG-X-BVM-ReDI</v>
      </c>
      <c r="DN28">
        <f>DN26-DN27</f>
        <v>6</v>
      </c>
      <c r="DO28" t="str">
        <f>IF(master_raw!DO28="","",master_raw!DO28)</f>
        <v>A069-COG-X-BVM-ReDI</v>
      </c>
      <c r="DP28">
        <f>DP26-DP27</f>
        <v>6</v>
      </c>
      <c r="DQ28" t="str">
        <f>IF(master_raw!DQ28="","",master_raw!DQ28)</f>
        <v>A070-COG-X-BVM-ReDI</v>
      </c>
      <c r="DR28">
        <f>DR26-DR27</f>
        <v>5</v>
      </c>
      <c r="DS28" t="str">
        <f>IF(master_raw!DS28="","",master_raw!DS28)</f>
        <v>A071-COG-X-BVM-ReDI</v>
      </c>
      <c r="DT28">
        <f>DT26-DT27</f>
        <v>6</v>
      </c>
      <c r="DU28" t="str">
        <f>IF(master_raw!DU28="","",master_raw!DU28)</f>
        <v>A072-COG-X-BVM-ReDI</v>
      </c>
      <c r="DV28">
        <f>DV26-DV27</f>
        <v>6</v>
      </c>
      <c r="DW28" t="str">
        <f>IF(master_raw!DW28="","",master_raw!DW28)</f>
        <v>A073-COG-X-BVM-ReDI</v>
      </c>
      <c r="DX28">
        <f>DX26-DX27</f>
        <v>6</v>
      </c>
      <c r="DY28" t="str">
        <f>IF(master_raw!DY28="","",master_raw!DY28)</f>
        <v>A074-COG-X-BVM-ReDI</v>
      </c>
      <c r="DZ28">
        <f>DZ26-DZ27</f>
        <v>6</v>
      </c>
      <c r="EA28" t="str">
        <f>IF(master_raw!EA28="","",master_raw!EA28)</f>
        <v>A075-COG-X-BVM-ReDI</v>
      </c>
      <c r="EB28">
        <f>EB26-EB27</f>
        <v>6</v>
      </c>
      <c r="EC28" t="str">
        <f>IF(master_raw!EC28="","",master_raw!EC28)</f>
        <v>A076-COG-X-BVM-ReDI</v>
      </c>
      <c r="ED28">
        <f>ED26-ED27</f>
        <v>6</v>
      </c>
      <c r="EE28" t="str">
        <f>IF(master_raw!EE28="","",master_raw!EE28)</f>
        <v>A077-COG-X-BVM-ReDI</v>
      </c>
      <c r="EF28">
        <f>EF26-EF27</f>
        <v>6</v>
      </c>
      <c r="EG28" t="str">
        <f>IF(master_raw!EG28="","",master_raw!EG28)</f>
        <v>A078-COG-X-BVM-ReDI</v>
      </c>
      <c r="EH28">
        <f>EH26-EH27</f>
        <v>6</v>
      </c>
      <c r="EI28" t="str">
        <f>IF(master_raw!EI28="","",master_raw!EI28)</f>
        <v>A079-COG-X-BVM-ReDI</v>
      </c>
      <c r="EJ28">
        <f>EJ26-EJ27</f>
        <v>6</v>
      </c>
      <c r="EK28" t="str">
        <f>IF(master_raw!EK28="","",master_raw!EK28)</f>
        <v>A080-COG-X-BVM-ReDI</v>
      </c>
      <c r="EL28">
        <f>EL26-EL27</f>
        <v>6</v>
      </c>
      <c r="EM28" t="str">
        <f>IF(master_raw!EM28="","",master_raw!EM28)</f>
        <v>A081-COG-X-BVM-ReDI</v>
      </c>
      <c r="EN28">
        <f>EN26-EN27</f>
        <v>5</v>
      </c>
      <c r="EO28" t="str">
        <f>IF(master_raw!EO28="","",master_raw!EO28)</f>
        <v>A082-COG-X-BVM-ReDI</v>
      </c>
      <c r="EP28">
        <f>EP26-EP27</f>
        <v>6</v>
      </c>
      <c r="EQ28" t="str">
        <f>IF(master_raw!EQ28="","",master_raw!EQ28)</f>
        <v>A083-COG-X-BVM-ReDI</v>
      </c>
      <c r="ER28">
        <f>ER26-ER27</f>
        <v>6</v>
      </c>
      <c r="ES28" t="str">
        <f>IF(master_raw!ES28="","",master_raw!ES28)</f>
        <v>A084-COG-X-BVM-ReDI</v>
      </c>
      <c r="ET28">
        <f>ET26-ET27</f>
        <v>6</v>
      </c>
      <c r="EU28" t="str">
        <f>IF(master_raw!EU28="","",master_raw!EU28)</f>
        <v>A085-COG-X-BVM-ReDI</v>
      </c>
      <c r="EV28">
        <f>EV26-EV27</f>
        <v>6</v>
      </c>
      <c r="EW28" t="str">
        <f>IF(master_raw!EW28="","",master_raw!EW28)</f>
        <v>A086-COG-X-BVM-ReDI</v>
      </c>
      <c r="EX28">
        <f>EX26-EX27</f>
        <v>6</v>
      </c>
      <c r="EY28" t="str">
        <f>IF(master_raw!EY28="","",master_raw!EY28)</f>
        <v>A087-COG-X-BVM-ReDI</v>
      </c>
      <c r="EZ28">
        <f>EZ26-EZ27</f>
        <v>6</v>
      </c>
      <c r="FA28" t="str">
        <f>IF(master_raw!FA28="","",master_raw!FA28)</f>
        <v>A088-COG-X-BVM-ReDI</v>
      </c>
      <c r="FB28">
        <f>FB26-FB27</f>
        <v>6</v>
      </c>
      <c r="FC28" t="str">
        <f>IF(master_raw!FC28="","",master_raw!FC28)</f>
        <v>A089-COG-X-BVM-ReDI</v>
      </c>
      <c r="FD28">
        <f>FD26-FD27</f>
        <v>6</v>
      </c>
      <c r="FE28" t="str">
        <f>IF(master_raw!FE28="","",master_raw!FE28)</f>
        <v>A090-COG-X-BVM-ReDI</v>
      </c>
      <c r="FF28">
        <f>FF26-FF27</f>
        <v>6</v>
      </c>
      <c r="FG28" t="str">
        <f>IF(master_raw!FG28="","",master_raw!FG28)</f>
        <v>A091-COG-X-BVM-ReDI</v>
      </c>
      <c r="FH28">
        <f>FH26-FH27</f>
        <v>6</v>
      </c>
      <c r="FI28" t="str">
        <f>IF(master_raw!FI28="","",master_raw!FI28)</f>
        <v>A092-COG-X-BVM-ReDI</v>
      </c>
      <c r="FJ28">
        <f>FJ26-FJ27</f>
        <v>6</v>
      </c>
      <c r="FK28" t="str">
        <f>IF(master_raw!FK28="","",master_raw!FK28)</f>
        <v>A093-COG-X-BVM-ReDI</v>
      </c>
      <c r="FL28">
        <f>FL26-FL27</f>
        <v>6</v>
      </c>
      <c r="FM28" t="str">
        <f>IF(master_raw!FM28="","",master_raw!FM28)</f>
        <v>A094-COG-X-BVM-ReDI</v>
      </c>
      <c r="FN28">
        <f>FN26-FN27</f>
        <v>6</v>
      </c>
      <c r="FO28" t="str">
        <f>IF(master_raw!FO28="","",master_raw!FO28)</f>
        <v>A095-COG-X-BVM-ReDI</v>
      </c>
      <c r="FP28">
        <f>FP26-FP27</f>
        <v>5</v>
      </c>
      <c r="FQ28" t="str">
        <f>IF(master_raw!FQ28="","",master_raw!FQ28)</f>
        <v>A096-COG-X-BVM-ReDI</v>
      </c>
      <c r="FR28">
        <f>FR26-FR27</f>
        <v>5</v>
      </c>
      <c r="FS28" t="str">
        <f>IF(master_raw!FS28="","",master_raw!FS28)</f>
        <v>A097-COG-X-BVM-ReDI</v>
      </c>
      <c r="FT28">
        <f>FT26-FT27</f>
        <v>5</v>
      </c>
      <c r="FU28" t="str">
        <f>IF(master_raw!FU28="","",master_raw!FU28)</f>
        <v>A098-COG-X-BVM-ReDI</v>
      </c>
      <c r="FV28">
        <f>FV26-FV27</f>
        <v>6</v>
      </c>
      <c r="FW28" t="str">
        <f>IF(master_raw!FW28="","",master_raw!FW28)</f>
        <v>A099-COG-X-BVM-ReDI</v>
      </c>
      <c r="FX28">
        <f>FX26-FX27</f>
        <v>6</v>
      </c>
      <c r="FY28" t="str">
        <f>IF(master_raw!FY28="","",master_raw!FY28)</f>
        <v>A100-COG-X-BVM-ReDI</v>
      </c>
      <c r="FZ28">
        <f>FZ26-FZ27</f>
        <v>6</v>
      </c>
      <c r="GA28" t="str">
        <f>IF(master_raw!GA28="","",master_raw!GA28)</f>
        <v>A101-COG-X-BVM-ReDI</v>
      </c>
      <c r="GB28">
        <f>GB26-GB27</f>
        <v>5</v>
      </c>
      <c r="GC28" t="str">
        <f>IF(master_raw!GC28="","",master_raw!GC28)</f>
        <v>A102-COG-X-BVM-ReDI</v>
      </c>
      <c r="GD28">
        <f>GD26-GD27</f>
        <v>6</v>
      </c>
      <c r="GE28" t="str">
        <f>IF(master_raw!GE28="","",master_raw!GE28)</f>
        <v>A103-COG-X-BVM-ReDI</v>
      </c>
      <c r="GF28">
        <f>GF26-GF27</f>
        <v>6</v>
      </c>
      <c r="GG28" t="str">
        <f>IF(master_raw!GG28="","",master_raw!GG28)</f>
        <v>A104-COG-X-BVM-ReDI</v>
      </c>
      <c r="GH28">
        <f>GH26-GH27</f>
        <v>6</v>
      </c>
      <c r="GI28" t="str">
        <f>IF(master_raw!GI28="","",master_raw!GI28)</f>
        <v>A105-COG-X-BVM-ReDI</v>
      </c>
      <c r="GJ28">
        <f>GJ26-GJ27</f>
        <v>6</v>
      </c>
      <c r="GK28" t="str">
        <f>IF(master_raw!GK28="","",master_raw!GK28)</f>
        <v>A106-COG-X-BVM-ReDI</v>
      </c>
      <c r="GL28">
        <f>GL26-GL27</f>
        <v>6</v>
      </c>
      <c r="GM28" t="str">
        <f>IF(master_raw!GM28="","",master_raw!GM28)</f>
        <v>A107-COG-X-BVM-ReDI</v>
      </c>
      <c r="GN28">
        <f>GN26-GN27</f>
        <v>6</v>
      </c>
      <c r="GO28" t="str">
        <f>IF(master_raw!GO28="","",master_raw!GO28)</f>
        <v>A108-COG-X-BVM-ReDI</v>
      </c>
      <c r="GP28">
        <f>GP26-GP27</f>
        <v>6</v>
      </c>
      <c r="GQ28" t="str">
        <f>IF(master_raw!GQ28="","",master_raw!GQ28)</f>
        <v>A109-COG-X-BVM-ReDI</v>
      </c>
      <c r="GR28">
        <f>GR26-GR27</f>
        <v>6</v>
      </c>
    </row>
    <row r="29" spans="1:256" x14ac:dyDescent="0.25">
      <c r="A29" t="str">
        <f>IF(master_raw!A29="","",master_raw!A29)</f>
        <v>A010-COG-X-BVM-ReRB</v>
      </c>
      <c r="B29">
        <f>INDEX($C$46:$I$52,MATCH(B26,$B$46:$B$52),MATCH(B27,$C$45:$I$45))</f>
        <v>0.5</v>
      </c>
      <c r="C29" t="str">
        <f>IF(master_raw!C29="","",master_raw!C29)</f>
        <v>A011-COG-X-BVM-ReRB</v>
      </c>
      <c r="D29">
        <f>INDEX($C$46:$I$52,MATCH(D26,$B$46:$B$52),MATCH(D27,$C$45:$I$45))</f>
        <v>0.5</v>
      </c>
      <c r="E29" t="str">
        <f>IF(master_raw!E29="","",master_raw!E29)</f>
        <v>A012-COG-X-BVM-ReRB</v>
      </c>
      <c r="F29">
        <f>INDEX($C$46:$I$52,MATCH(F26,$B$46:$B$52),MATCH(F27,$C$45:$I$45))</f>
        <v>0.5</v>
      </c>
      <c r="G29" t="str">
        <f>IF(master_raw!G29="","",master_raw!G29)</f>
        <v>A013-COG-X-BVM-ReRB</v>
      </c>
      <c r="H29">
        <f>INDEX($C$46:$I$52,MATCH(H26,$B$46:$B$52),MATCH(H27,$C$45:$I$45))</f>
        <v>0.25</v>
      </c>
      <c r="I29" t="str">
        <f>IF(master_raw!I29="","",master_raw!I29)</f>
        <v>A014-COG-X-BVM-ReRB</v>
      </c>
      <c r="J29">
        <f>INDEX($C$46:$I$52,MATCH(J26,$B$46:$B$52),MATCH(J27,$C$45:$I$45))</f>
        <v>0.5</v>
      </c>
      <c r="K29" t="str">
        <f>IF(master_raw!K29="","",master_raw!K29)</f>
        <v>A015-COG-X-BVM-ReRB</v>
      </c>
      <c r="L29">
        <f>INDEX($C$46:$I$52,MATCH(L26,$B$46:$B$52),MATCH(L27,$C$45:$I$45))</f>
        <v>0.5</v>
      </c>
      <c r="M29" t="str">
        <f>IF(master_raw!M29="","",master_raw!M29)</f>
        <v>A016-COG-X-BVM-ReRB</v>
      </c>
      <c r="N29">
        <f>INDEX($C$46:$I$52,MATCH(N26,$B$46:$B$52),MATCH(N27,$C$45:$I$45))</f>
        <v>0.5</v>
      </c>
      <c r="O29" t="str">
        <f>IF(master_raw!O29="","",master_raw!O29)</f>
        <v>A017-COG-X-BVM-ReRB</v>
      </c>
      <c r="P29">
        <f>INDEX($C$46:$I$52,MATCH(P26,$B$46:$B$52),MATCH(P27,$C$45:$I$45))</f>
        <v>0.5</v>
      </c>
      <c r="Q29" t="str">
        <f>IF(master_raw!Q29="","",master_raw!Q29)</f>
        <v>A018-COG-X-BVM-ReRB</v>
      </c>
      <c r="R29">
        <f>INDEX($C$46:$I$52,MATCH(R26,$B$46:$B$52),MATCH(R27,$C$45:$I$45))</f>
        <v>0.5</v>
      </c>
      <c r="S29" t="str">
        <f>IF(master_raw!S29="","",master_raw!S29)</f>
        <v>A019-COG-X-BVM-ReRB</v>
      </c>
      <c r="T29">
        <f>INDEX($C$46:$I$52,MATCH(T26,$B$46:$B$52),MATCH(T27,$C$45:$I$45))</f>
        <v>0.25</v>
      </c>
      <c r="U29" t="str">
        <f>IF(master_raw!U29="","",master_raw!U29)</f>
        <v>A020-COG-X-BVM-ReRB</v>
      </c>
      <c r="V29">
        <f>INDEX($C$46:$I$52,MATCH(V26,$B$46:$B$52),MATCH(V27,$C$45:$I$45))</f>
        <v>0.5</v>
      </c>
      <c r="W29" t="str">
        <f>IF(master_raw!W29="","",master_raw!W29)</f>
        <v>A021-COG-X-BVM-ReRB</v>
      </c>
      <c r="X29">
        <f>INDEX($C$46:$I$52,MATCH(X26,$B$46:$B$52),MATCH(X27,$C$45:$I$45))</f>
        <v>0.5</v>
      </c>
      <c r="Y29" t="str">
        <f>IF(master_raw!Y29="","",master_raw!Y29)</f>
        <v>A022-COG-X-BVM-ReRB</v>
      </c>
      <c r="Z29">
        <f>INDEX($C$46:$I$52,MATCH(Z26,$B$46:$B$52),MATCH(Z27,$C$45:$I$45))</f>
        <v>0.5</v>
      </c>
      <c r="AA29" t="str">
        <f>IF(master_raw!AA29="","",master_raw!AA29)</f>
        <v>A023-COG-X-BVM-ReRB</v>
      </c>
      <c r="AB29">
        <f>INDEX($C$46:$I$52,MATCH(AB26,$B$46:$B$52),MATCH(AB27,$C$45:$I$45))</f>
        <v>0.5</v>
      </c>
      <c r="AC29" t="str">
        <f>IF(master_raw!AC29="","",master_raw!AC29)</f>
        <v>A024-COG-X-BVM-ReRB</v>
      </c>
      <c r="AD29">
        <f>INDEX($C$46:$I$52,MATCH(AD26,$B$46:$B$52),MATCH(AD27,$C$45:$I$45))</f>
        <v>0.25</v>
      </c>
      <c r="AE29" t="str">
        <f>IF(master_raw!AE29="","",master_raw!AE29)</f>
        <v>A025-COG-X-BVM-ReRB</v>
      </c>
      <c r="AF29">
        <f>INDEX($C$46:$I$52,MATCH(AF26,$B$46:$B$52),MATCH(AF27,$C$45:$I$45))</f>
        <v>0.5</v>
      </c>
      <c r="AG29" t="str">
        <f>IF(master_raw!AG29="","",master_raw!AG29)</f>
        <v>A026-COG-X-BVM-ReRB</v>
      </c>
      <c r="AH29">
        <f>INDEX($C$46:$I$52,MATCH(AH26,$B$46:$B$52),MATCH(AH27,$C$45:$I$45))</f>
        <v>0.5</v>
      </c>
      <c r="AI29" t="str">
        <f>IF(master_raw!AI29="","",master_raw!AI29)</f>
        <v>A027-COG-X-BVM-ReRB</v>
      </c>
      <c r="AJ29">
        <f>INDEX($C$46:$I$52,MATCH(AJ26,$B$46:$B$52),MATCH(AJ27,$C$45:$I$45))</f>
        <v>0.5</v>
      </c>
      <c r="AK29" t="str">
        <f>IF(master_raw!AK29="","",master_raw!AK29)</f>
        <v>A028-COG-X-BVM-ReRB</v>
      </c>
      <c r="AL29">
        <f>INDEX($C$46:$I$52,MATCH(AL26,$B$46:$B$52),MATCH(AL27,$C$45:$I$45))</f>
        <v>0.5</v>
      </c>
      <c r="AM29" t="str">
        <f>IF(master_raw!AM29="","",master_raw!AM29)</f>
        <v>A029-COG-X-BVM-ReRB</v>
      </c>
      <c r="AN29">
        <f>INDEX($C$46:$I$52,MATCH(AN26,$B$46:$B$52),MATCH(AN27,$C$45:$I$45))</f>
        <v>0.5</v>
      </c>
      <c r="AO29" t="str">
        <f>IF(master_raw!AO29="","",master_raw!AO29)</f>
        <v>A030-COG-X-BVM-ReRB</v>
      </c>
      <c r="AP29">
        <f>INDEX($C$46:$I$52,MATCH(AP26,$B$46:$B$52),MATCH(AP27,$C$45:$I$45))</f>
        <v>0.5</v>
      </c>
      <c r="AQ29" t="str">
        <f>IF(master_raw!AQ29="","",master_raw!AQ29)</f>
        <v>A031-COG-X-BVM-ReRB</v>
      </c>
      <c r="AR29">
        <f>INDEX($C$46:$I$52,MATCH(AR26,$B$46:$B$52),MATCH(AR27,$C$45:$I$45))</f>
        <v>0.5</v>
      </c>
      <c r="AS29" t="str">
        <f>IF(master_raw!AS29="","",master_raw!AS29)</f>
        <v>A032-COG-X-BVM-ReRB</v>
      </c>
      <c r="AT29">
        <f>INDEX($C$46:$I$52,MATCH(AT26,$B$46:$B$52),MATCH(AT27,$C$45:$I$45))</f>
        <v>0.5</v>
      </c>
      <c r="AU29" t="str">
        <f>IF(master_raw!AU29="","",master_raw!AU29)</f>
        <v>A033-COG-X-BVM-ReRB</v>
      </c>
      <c r="AV29">
        <f>INDEX($C$46:$I$52,MATCH(AV26,$B$46:$B$52),MATCH(AV27,$C$45:$I$45))</f>
        <v>0.5</v>
      </c>
      <c r="AW29" t="str">
        <f>IF(master_raw!AW29="","",master_raw!AW29)</f>
        <v>A034-COG-X-BVM-ReRB</v>
      </c>
      <c r="AX29">
        <f>INDEX($C$46:$I$52,MATCH(AX26,$B$46:$B$52),MATCH(AX27,$C$45:$I$45))</f>
        <v>0.5</v>
      </c>
      <c r="AY29" t="str">
        <f>IF(master_raw!AY29="","",master_raw!AY29)</f>
        <v>A035-COG-X-BVM-ReRB</v>
      </c>
      <c r="AZ29">
        <f>INDEX($C$46:$I$52,MATCH(AZ26,$B$46:$B$52),MATCH(AZ27,$C$45:$I$45))</f>
        <v>0.5</v>
      </c>
      <c r="BA29" t="str">
        <f>IF(master_raw!BA29="","",master_raw!BA29)</f>
        <v>A036-COG-X-BVM-ReRB</v>
      </c>
      <c r="BB29">
        <f>INDEX($C$46:$I$52,MATCH(BB26,$B$46:$B$52),MATCH(BB27,$C$45:$I$45))</f>
        <v>0.5</v>
      </c>
      <c r="BC29" t="str">
        <f>IF(master_raw!BC29="","",master_raw!BC29)</f>
        <v>A037-COG-X-BVM-ReRB</v>
      </c>
      <c r="BD29">
        <f>INDEX($C$46:$I$52,MATCH(BD26,$B$46:$B$52),MATCH(BD27,$C$45:$I$45))</f>
        <v>0.5</v>
      </c>
      <c r="BE29" t="str">
        <f>IF(master_raw!BE29="","",master_raw!BE29)</f>
        <v>A038-COG-X-BVM-ReRB</v>
      </c>
      <c r="BF29">
        <f>INDEX($C$46:$I$52,MATCH(BF26,$B$46:$B$52),MATCH(BF27,$C$45:$I$45))</f>
        <v>0.5</v>
      </c>
      <c r="BG29" t="str">
        <f>IF(master_raw!BG29="","",master_raw!BG29)</f>
        <v>A039-COG-X-BVM-ReRB</v>
      </c>
      <c r="BH29">
        <f>INDEX($C$46:$I$52,MATCH(BH26,$B$46:$B$52),MATCH(BH27,$C$45:$I$45))</f>
        <v>0.5</v>
      </c>
      <c r="BI29" t="str">
        <f>IF(master_raw!BI29="","",master_raw!BI29)</f>
        <v>A040-COG-X-BVM-ReRB</v>
      </c>
      <c r="BJ29">
        <f>INDEX($C$46:$I$52,MATCH(BJ26,$B$46:$B$52),MATCH(BJ27,$C$45:$I$45))</f>
        <v>0.5</v>
      </c>
      <c r="BK29" t="str">
        <f>IF(master_raw!BK29="","",master_raw!BK29)</f>
        <v>A041-COG-X-BVM-ReRB</v>
      </c>
      <c r="BL29">
        <f>INDEX($C$46:$I$52,MATCH(BL26,$B$46:$B$52),MATCH(BL27,$C$45:$I$45))</f>
        <v>0.5</v>
      </c>
      <c r="BM29" t="str">
        <f>IF(master_raw!BM29="","",master_raw!BM29)</f>
        <v>A042-COG-X-BVM-ReRB</v>
      </c>
      <c r="BN29">
        <f>INDEX($C$46:$I$52,MATCH(BN26,$B$46:$B$52),MATCH(BN27,$C$45:$I$45))</f>
        <v>0.5</v>
      </c>
      <c r="BO29" t="str">
        <f>IF(master_raw!BO29="","",master_raw!BO29)</f>
        <v>A043-COG-X-BVM-ReRB</v>
      </c>
      <c r="BP29">
        <f>INDEX($C$46:$I$52,MATCH(BP26,$B$46:$B$52),MATCH(BP27,$C$45:$I$45))</f>
        <v>0.5</v>
      </c>
      <c r="BQ29" t="str">
        <f>IF(master_raw!BQ29="","",master_raw!BQ29)</f>
        <v>A044-COG-X-BVM-ReRB</v>
      </c>
      <c r="BR29">
        <f>INDEX($C$46:$I$52,MATCH(BR26,$B$46:$B$52),MATCH(BR27,$C$45:$I$45))</f>
        <v>0.5</v>
      </c>
      <c r="BS29" t="str">
        <f>IF(master_raw!BS29="","",master_raw!BS29)</f>
        <v>A045-COG-X-BVM-ReRB</v>
      </c>
      <c r="BT29">
        <f>INDEX($C$46:$I$52,MATCH(BT26,$B$46:$B$52),MATCH(BT27,$C$45:$I$45))</f>
        <v>0.25</v>
      </c>
      <c r="BU29" t="str">
        <f>IF(master_raw!BU29="","",master_raw!BU29)</f>
        <v>A046-COG-X-BVM-ReRB</v>
      </c>
      <c r="BV29">
        <f>INDEX($C$46:$I$52,MATCH(BV26,$B$46:$B$52),MATCH(BV27,$C$45:$I$45))</f>
        <v>0.5</v>
      </c>
      <c r="BW29" t="str">
        <f>IF(master_raw!BW29="","",master_raw!BW29)</f>
        <v>A047-COG-X-BVM-ReRB</v>
      </c>
      <c r="BX29">
        <f>INDEX($C$46:$I$52,MATCH(BX26,$B$46:$B$52),MATCH(BX27,$C$45:$I$45))</f>
        <v>0.5</v>
      </c>
      <c r="BY29" t="str">
        <f>IF(master_raw!BY29="","",master_raw!BY29)</f>
        <v>A048-COG-X-BVM-ReRB</v>
      </c>
      <c r="BZ29">
        <f>INDEX($C$46:$I$52,MATCH(BZ26,$B$46:$B$52),MATCH(BZ27,$C$45:$I$45))</f>
        <v>0.5</v>
      </c>
      <c r="CA29" t="str">
        <f>IF(master_raw!CA29="","",master_raw!CA29)</f>
        <v>A049-COG-X-BVM-ReRB</v>
      </c>
      <c r="CB29">
        <f>INDEX($C$46:$I$52,MATCH(CB26,$B$46:$B$52),MATCH(CB27,$C$45:$I$45))</f>
        <v>0.5</v>
      </c>
      <c r="CC29" t="str">
        <f>IF(master_raw!CC29="","",master_raw!CC29)</f>
        <v>A050-COG-X-BVM-ReRB</v>
      </c>
      <c r="CD29">
        <f>INDEX($C$46:$I$52,MATCH(CD26,$B$46:$B$52),MATCH(CD27,$C$45:$I$45))</f>
        <v>0.5</v>
      </c>
      <c r="CE29" t="str">
        <f>IF(master_raw!CE29="","",master_raw!CE29)</f>
        <v>A051-COG-X-BVM-ReRB</v>
      </c>
      <c r="CF29">
        <f>INDEX($C$46:$I$52,MATCH(CF26,$B$46:$B$52),MATCH(CF27,$C$45:$I$45))</f>
        <v>0.25</v>
      </c>
      <c r="CG29" t="str">
        <f>IF(master_raw!CG29="","",master_raw!CG29)</f>
        <v>A052-COG-X-BVM-ReRB</v>
      </c>
      <c r="CH29">
        <f>INDEX($C$46:$I$52,MATCH(CH26,$B$46:$B$52),MATCH(CH27,$C$45:$I$45))</f>
        <v>0.5</v>
      </c>
      <c r="CI29" t="str">
        <f>IF(master_raw!CI29="","",master_raw!CI29)</f>
        <v>A053-COG-X-BVM-ReRB</v>
      </c>
      <c r="CJ29">
        <f>INDEX($C$46:$I$52,MATCH(CJ26,$B$46:$B$52),MATCH(CJ27,$C$45:$I$45))</f>
        <v>0.5</v>
      </c>
      <c r="CK29" t="str">
        <f>IF(master_raw!CK29="","",master_raw!CK29)</f>
        <v>A054-COG-X-BVM-ReRB</v>
      </c>
      <c r="CL29">
        <f>INDEX($C$46:$I$52,MATCH(CL26,$B$46:$B$52),MATCH(CL27,$C$45:$I$45))</f>
        <v>0.5</v>
      </c>
      <c r="CM29" t="str">
        <f>IF(master_raw!CM29="","",master_raw!CM29)</f>
        <v>A055-COG-X-BVM-ReRB</v>
      </c>
      <c r="CN29">
        <f>INDEX($C$46:$I$52,MATCH(CN26,$B$46:$B$52),MATCH(CN27,$C$45:$I$45))</f>
        <v>0.25</v>
      </c>
      <c r="CO29" t="str">
        <f>IF(master_raw!CO29="","",master_raw!CO29)</f>
        <v>A056-COG-X-BVM-ReRB</v>
      </c>
      <c r="CP29">
        <f>INDEX($C$46:$I$52,MATCH(CP26,$B$46:$B$52),MATCH(CP27,$C$45:$I$45))</f>
        <v>0.5</v>
      </c>
      <c r="CQ29" t="str">
        <f>IF(master_raw!CQ29="","",master_raw!CQ29)</f>
        <v>A057-COG-X-BVM-ReRB</v>
      </c>
      <c r="CR29">
        <f>INDEX($C$46:$I$52,MATCH(CR26,$B$46:$B$52),MATCH(CR27,$C$45:$I$45))</f>
        <v>0.5</v>
      </c>
      <c r="CS29" t="str">
        <f>IF(master_raw!CS29="","",master_raw!CS29)</f>
        <v>A058-COG-X-BVM-ReRB</v>
      </c>
      <c r="CT29">
        <f>INDEX($C$46:$I$52,MATCH(CT26,$B$46:$B$52),MATCH(CT27,$C$45:$I$45))</f>
        <v>0.5</v>
      </c>
      <c r="CU29" t="str">
        <f>IF(master_raw!CU29="","",master_raw!CU29)</f>
        <v>A059-COG-X-BVM-ReRB</v>
      </c>
      <c r="CV29">
        <f>INDEX($C$46:$I$52,MATCH(CV26,$B$46:$B$52),MATCH(CV27,$C$45:$I$45))</f>
        <v>0.5</v>
      </c>
      <c r="CW29" t="str">
        <f>IF(master_raw!CW29="","",master_raw!CW29)</f>
        <v>A060-COG-X-BVM-ReRB</v>
      </c>
      <c r="CX29">
        <f>INDEX($C$46:$I$52,MATCH(CX26,$B$46:$B$52),MATCH(CX27,$C$45:$I$45))</f>
        <v>0.5</v>
      </c>
      <c r="CY29" t="str">
        <f>IF(master_raw!CY29="","",master_raw!CY29)</f>
        <v>A061-COG-X-BVM-ReRB</v>
      </c>
      <c r="CZ29">
        <f>INDEX($C$46:$I$52,MATCH(CZ26,$B$46:$B$52),MATCH(CZ27,$C$45:$I$45))</f>
        <v>0.5</v>
      </c>
      <c r="DA29" t="str">
        <f>IF(master_raw!DA29="","",master_raw!DA29)</f>
        <v>A062-COG-X-BVM-ReRB</v>
      </c>
      <c r="DB29">
        <f>INDEX($C$46:$I$52,MATCH(DB26,$B$46:$B$52),MATCH(DB27,$C$45:$I$45))</f>
        <v>0.5</v>
      </c>
      <c r="DC29" t="str">
        <f>IF(master_raw!DC29="","",master_raw!DC29)</f>
        <v>A063-COG-X-BVM-ReRB</v>
      </c>
      <c r="DD29">
        <f>INDEX($C$46:$I$52,MATCH(DD26,$B$46:$B$52),MATCH(DD27,$C$45:$I$45))</f>
        <v>0.5</v>
      </c>
      <c r="DE29" t="str">
        <f>IF(master_raw!DE29="","",master_raw!DE29)</f>
        <v>A064-COG-X-BVM-ReRB</v>
      </c>
      <c r="DF29">
        <f>INDEX($C$46:$I$52,MATCH(DF26,$B$46:$B$52),MATCH(DF27,$C$45:$I$45))</f>
        <v>0.5</v>
      </c>
      <c r="DG29" t="str">
        <f>IF(master_raw!DG29="","",master_raw!DG29)</f>
        <v>A065-COG-X-BVM-ReRB</v>
      </c>
      <c r="DH29">
        <f>INDEX($C$46:$I$52,MATCH(DH26,$B$46:$B$52),MATCH(DH27,$C$45:$I$45))</f>
        <v>0.5</v>
      </c>
      <c r="DI29" t="str">
        <f>IF(master_raw!DI29="","",master_raw!DI29)</f>
        <v>A066-COG-X-BVM-ReRB</v>
      </c>
      <c r="DJ29">
        <f>INDEX($C$46:$I$52,MATCH(DJ26,$B$46:$B$52),MATCH(DJ27,$C$45:$I$45))</f>
        <v>0.5</v>
      </c>
      <c r="DK29" t="str">
        <f>IF(master_raw!DK29="","",master_raw!DK29)</f>
        <v>A067-COG-X-BVM-ReRB</v>
      </c>
      <c r="DL29">
        <f>INDEX($C$46:$I$52,MATCH(DL26,$B$46:$B$52),MATCH(DL27,$C$45:$I$45))</f>
        <v>0.5</v>
      </c>
      <c r="DM29" t="str">
        <f>IF(master_raw!DM29="","",master_raw!DM29)</f>
        <v>A068-COG-X-BVM-ReRB</v>
      </c>
      <c r="DN29">
        <f>INDEX($C$46:$I$52,MATCH(DN26,$B$46:$B$52),MATCH(DN27,$C$45:$I$45))</f>
        <v>0.5</v>
      </c>
      <c r="DO29" t="str">
        <f>IF(master_raw!DO29="","",master_raw!DO29)</f>
        <v>A069-COG-X-BVM-ReRB</v>
      </c>
      <c r="DP29">
        <f>INDEX($C$46:$I$52,MATCH(DP26,$B$46:$B$52),MATCH(DP27,$C$45:$I$45))</f>
        <v>0.5</v>
      </c>
      <c r="DQ29" t="str">
        <f>IF(master_raw!DQ29="","",master_raw!DQ29)</f>
        <v>A070-COG-X-BVM-ReRB</v>
      </c>
      <c r="DR29">
        <f>INDEX($C$46:$I$52,MATCH(DR26,$B$46:$B$52),MATCH(DR27,$C$45:$I$45))</f>
        <v>0.25</v>
      </c>
      <c r="DS29" t="str">
        <f>IF(master_raw!DS29="","",master_raw!DS29)</f>
        <v>A071-COG-X-BVM-ReRB</v>
      </c>
      <c r="DT29">
        <f>INDEX($C$46:$I$52,MATCH(DT26,$B$46:$B$52),MATCH(DT27,$C$45:$I$45))</f>
        <v>0.5</v>
      </c>
      <c r="DU29" t="str">
        <f>IF(master_raw!DU29="","",master_raw!DU29)</f>
        <v>A072-COG-X-BVM-ReRB</v>
      </c>
      <c r="DV29">
        <f>INDEX($C$46:$I$52,MATCH(DV26,$B$46:$B$52),MATCH(DV27,$C$45:$I$45))</f>
        <v>0.5</v>
      </c>
      <c r="DW29" t="str">
        <f>IF(master_raw!DW29="","",master_raw!DW29)</f>
        <v>A073-COG-X-BVM-ReRB</v>
      </c>
      <c r="DX29">
        <f>INDEX($C$46:$I$52,MATCH(DX26,$B$46:$B$52),MATCH(DX27,$C$45:$I$45))</f>
        <v>0.5</v>
      </c>
      <c r="DY29" t="str">
        <f>IF(master_raw!DY29="","",master_raw!DY29)</f>
        <v>A074-COG-X-BVM-ReRB</v>
      </c>
      <c r="DZ29">
        <f>INDEX($C$46:$I$52,MATCH(DZ26,$B$46:$B$52),MATCH(DZ27,$C$45:$I$45))</f>
        <v>0.5</v>
      </c>
      <c r="EA29" t="str">
        <f>IF(master_raw!EA29="","",master_raw!EA29)</f>
        <v>A075-COG-X-BVM-ReRB</v>
      </c>
      <c r="EB29">
        <f>INDEX($C$46:$I$52,MATCH(EB26,$B$46:$B$52),MATCH(EB27,$C$45:$I$45))</f>
        <v>0.5</v>
      </c>
      <c r="EC29" t="str">
        <f>IF(master_raw!EC29="","",master_raw!EC29)</f>
        <v>A076-COG-X-BVM-ReRB</v>
      </c>
      <c r="ED29">
        <f>INDEX($C$46:$I$52,MATCH(ED26,$B$46:$B$52),MATCH(ED27,$C$45:$I$45))</f>
        <v>0.5</v>
      </c>
      <c r="EE29" t="str">
        <f>IF(master_raw!EE29="","",master_raw!EE29)</f>
        <v>A077-COG-X-BVM-ReRB</v>
      </c>
      <c r="EF29">
        <f>INDEX($C$46:$I$52,MATCH(EF26,$B$46:$B$52),MATCH(EF27,$C$45:$I$45))</f>
        <v>0.5</v>
      </c>
      <c r="EG29" t="str">
        <f>IF(master_raw!EG29="","",master_raw!EG29)</f>
        <v>A078-COG-X-BVM-ReRB</v>
      </c>
      <c r="EH29">
        <f>INDEX($C$46:$I$52,MATCH(EH26,$B$46:$B$52),MATCH(EH27,$C$45:$I$45))</f>
        <v>0.5</v>
      </c>
      <c r="EI29" t="str">
        <f>IF(master_raw!EI29="","",master_raw!EI29)</f>
        <v>A079-COG-X-BVM-ReRB</v>
      </c>
      <c r="EJ29">
        <f>INDEX($C$46:$I$52,MATCH(EJ26,$B$46:$B$52),MATCH(EJ27,$C$45:$I$45))</f>
        <v>0.5</v>
      </c>
      <c r="EK29" t="str">
        <f>IF(master_raw!EK29="","",master_raw!EK29)</f>
        <v>A080-COG-X-BVM-ReRB</v>
      </c>
      <c r="EL29">
        <f>INDEX($C$46:$I$52,MATCH(EL26,$B$46:$B$52),MATCH(EL27,$C$45:$I$45))</f>
        <v>0.5</v>
      </c>
      <c r="EM29" t="str">
        <f>IF(master_raw!EM29="","",master_raw!EM29)</f>
        <v>A081-COG-X-BVM-ReRB</v>
      </c>
      <c r="EN29">
        <f>INDEX($C$46:$I$52,MATCH(EN26,$B$46:$B$52),MATCH(EN27,$C$45:$I$45))</f>
        <v>0.25</v>
      </c>
      <c r="EO29" t="str">
        <f>IF(master_raw!EO29="","",master_raw!EO29)</f>
        <v>A082-COG-X-BVM-ReRB</v>
      </c>
      <c r="EP29">
        <f>INDEX($C$46:$I$52,MATCH(EP26,$B$46:$B$52),MATCH(EP27,$C$45:$I$45))</f>
        <v>0.5</v>
      </c>
      <c r="EQ29" t="str">
        <f>IF(master_raw!EQ29="","",master_raw!EQ29)</f>
        <v>A083-COG-X-BVM-ReRB</v>
      </c>
      <c r="ER29">
        <f>INDEX($C$46:$I$52,MATCH(ER26,$B$46:$B$52),MATCH(ER27,$C$45:$I$45))</f>
        <v>0.5</v>
      </c>
      <c r="ES29" t="str">
        <f>IF(master_raw!ES29="","",master_raw!ES29)</f>
        <v>A084-COG-X-BVM-ReRB</v>
      </c>
      <c r="ET29">
        <f>INDEX($C$46:$I$52,MATCH(ET26,$B$46:$B$52),MATCH(ET27,$C$45:$I$45))</f>
        <v>0.5</v>
      </c>
      <c r="EU29" t="str">
        <f>IF(master_raw!EU29="","",master_raw!EU29)</f>
        <v>A085-COG-X-BVM-ReRB</v>
      </c>
      <c r="EV29">
        <f>INDEX($C$46:$I$52,MATCH(EV26,$B$46:$B$52),MATCH(EV27,$C$45:$I$45))</f>
        <v>0.5</v>
      </c>
      <c r="EW29" t="str">
        <f>IF(master_raw!EW29="","",master_raw!EW29)</f>
        <v>A086-COG-X-BVM-ReRB</v>
      </c>
      <c r="EX29">
        <f>INDEX($C$46:$I$52,MATCH(EX26,$B$46:$B$52),MATCH(EX27,$C$45:$I$45))</f>
        <v>0.5</v>
      </c>
      <c r="EY29" t="str">
        <f>IF(master_raw!EY29="","",master_raw!EY29)</f>
        <v>A087-COG-X-BVM-ReRB</v>
      </c>
      <c r="EZ29">
        <f>INDEX($C$46:$I$52,MATCH(EZ26,$B$46:$B$52),MATCH(EZ27,$C$45:$I$45))</f>
        <v>0.5</v>
      </c>
      <c r="FA29" t="str">
        <f>IF(master_raw!FA29="","",master_raw!FA29)</f>
        <v>A088-COG-X-BVM-ReRB</v>
      </c>
      <c r="FB29">
        <f>INDEX($C$46:$I$52,MATCH(FB26,$B$46:$B$52),MATCH(FB27,$C$45:$I$45))</f>
        <v>0.5</v>
      </c>
      <c r="FC29" t="str">
        <f>IF(master_raw!FC29="","",master_raw!FC29)</f>
        <v>A089-COG-X-BVM-ReRB</v>
      </c>
      <c r="FD29">
        <f>INDEX($C$46:$I$52,MATCH(FD26,$B$46:$B$52),MATCH(FD27,$C$45:$I$45))</f>
        <v>0.5</v>
      </c>
      <c r="FE29" t="str">
        <f>IF(master_raw!FE29="","",master_raw!FE29)</f>
        <v>A090-COG-X-BVM-ReRB</v>
      </c>
      <c r="FF29">
        <f>INDEX($C$46:$I$52,MATCH(FF26,$B$46:$B$52),MATCH(FF27,$C$45:$I$45))</f>
        <v>0.5</v>
      </c>
      <c r="FG29" t="str">
        <f>IF(master_raw!FG29="","",master_raw!FG29)</f>
        <v>A091-COG-X-BVM-ReRB</v>
      </c>
      <c r="FH29">
        <f>INDEX($C$46:$I$52,MATCH(FH26,$B$46:$B$52),MATCH(FH27,$C$45:$I$45))</f>
        <v>0.5</v>
      </c>
      <c r="FI29" t="str">
        <f>IF(master_raw!FI29="","",master_raw!FI29)</f>
        <v>A092-COG-X-BVM-ReRB</v>
      </c>
      <c r="FJ29">
        <f>INDEX($C$46:$I$52,MATCH(FJ26,$B$46:$B$52),MATCH(FJ27,$C$45:$I$45))</f>
        <v>0.5</v>
      </c>
      <c r="FK29" t="str">
        <f>IF(master_raw!FK29="","",master_raw!FK29)</f>
        <v>A093-COG-X-BVM-ReRB</v>
      </c>
      <c r="FL29">
        <f>INDEX($C$46:$I$52,MATCH(FL26,$B$46:$B$52),MATCH(FL27,$C$45:$I$45))</f>
        <v>0.5</v>
      </c>
      <c r="FM29" t="str">
        <f>IF(master_raw!FM29="","",master_raw!FM29)</f>
        <v>A094-COG-X-BVM-ReRB</v>
      </c>
      <c r="FN29">
        <f>INDEX($C$46:$I$52,MATCH(FN26,$B$46:$B$52),MATCH(FN27,$C$45:$I$45))</f>
        <v>0.5</v>
      </c>
      <c r="FO29" t="str">
        <f>IF(master_raw!FO29="","",master_raw!FO29)</f>
        <v>A095-COG-X-BVM-ReRB</v>
      </c>
      <c r="FP29">
        <f>INDEX($C$46:$I$52,MATCH(FP26,$B$46:$B$52),MATCH(FP27,$C$45:$I$45))</f>
        <v>0.25</v>
      </c>
      <c r="FQ29" t="str">
        <f>IF(master_raw!FQ29="","",master_raw!FQ29)</f>
        <v>A096-COG-X-BVM-ReRB</v>
      </c>
      <c r="FR29">
        <f>INDEX($C$46:$I$52,MATCH(FR26,$B$46:$B$52),MATCH(FR27,$C$45:$I$45))</f>
        <v>0.25</v>
      </c>
      <c r="FS29" t="str">
        <f>IF(master_raw!FS29="","",master_raw!FS29)</f>
        <v>A097-COG-X-BVM-ReRB</v>
      </c>
      <c r="FT29">
        <f>INDEX($C$46:$I$52,MATCH(FT26,$B$46:$B$52),MATCH(FT27,$C$45:$I$45))</f>
        <v>0.25</v>
      </c>
      <c r="FU29" t="str">
        <f>IF(master_raw!FU29="","",master_raw!FU29)</f>
        <v>A098-COG-X-BVM-ReRB</v>
      </c>
      <c r="FV29">
        <f>INDEX($C$46:$I$52,MATCH(FV26,$B$46:$B$52),MATCH(FV27,$C$45:$I$45))</f>
        <v>0.5</v>
      </c>
      <c r="FW29" t="str">
        <f>IF(master_raw!FW29="","",master_raw!FW29)</f>
        <v>A099-COG-X-BVM-ReRB</v>
      </c>
      <c r="FX29">
        <f>INDEX($C$46:$I$52,MATCH(FX26,$B$46:$B$52),MATCH(FX27,$C$45:$I$45))</f>
        <v>0.5</v>
      </c>
      <c r="FY29" t="str">
        <f>IF(master_raw!FY29="","",master_raw!FY29)</f>
        <v>A100-COG-X-BVM-ReRB</v>
      </c>
      <c r="FZ29">
        <f>INDEX($C$46:$I$52,MATCH(FZ26,$B$46:$B$52),MATCH(FZ27,$C$45:$I$45))</f>
        <v>0.5</v>
      </c>
      <c r="GA29" t="str">
        <f>IF(master_raw!GA29="","",master_raw!GA29)</f>
        <v>A101-COG-X-BVM-ReRB</v>
      </c>
      <c r="GB29">
        <f>INDEX($C$46:$I$52,MATCH(GB26,$B$46:$B$52),MATCH(GB27,$C$45:$I$45))</f>
        <v>0.25</v>
      </c>
      <c r="GC29" t="str">
        <f>IF(master_raw!GC29="","",master_raw!GC29)</f>
        <v>A102-COG-X-BVM-ReRB</v>
      </c>
      <c r="GD29">
        <f>INDEX($C$46:$I$52,MATCH(GD26,$B$46:$B$52),MATCH(GD27,$C$45:$I$45))</f>
        <v>0.5</v>
      </c>
      <c r="GE29" t="str">
        <f>IF(master_raw!GE29="","",master_raw!GE29)</f>
        <v>A103-COG-X-BVM-ReRB</v>
      </c>
      <c r="GF29">
        <f>INDEX($C$46:$I$52,MATCH(GF26,$B$46:$B$52),MATCH(GF27,$C$45:$I$45))</f>
        <v>0.5</v>
      </c>
      <c r="GG29" t="str">
        <f>IF(master_raw!GG29="","",master_raw!GG29)</f>
        <v>A104-COG-X-BVM-ReRB</v>
      </c>
      <c r="GH29">
        <f>INDEX($C$46:$I$52,MATCH(GH26,$B$46:$B$52),MATCH(GH27,$C$45:$I$45))</f>
        <v>0.5</v>
      </c>
      <c r="GI29" t="str">
        <f>IF(master_raw!GI29="","",master_raw!GI29)</f>
        <v>A105-COG-X-BVM-ReRB</v>
      </c>
      <c r="GJ29">
        <f>INDEX($C$46:$I$52,MATCH(GJ26,$B$46:$B$52),MATCH(GJ27,$C$45:$I$45))</f>
        <v>0.5</v>
      </c>
      <c r="GK29" t="str">
        <f>IF(master_raw!GK29="","",master_raw!GK29)</f>
        <v>A106-COG-X-BVM-ReRB</v>
      </c>
      <c r="GL29">
        <f>INDEX($C$46:$I$52,MATCH(GL26,$B$46:$B$52),MATCH(GL27,$C$45:$I$45))</f>
        <v>0.5</v>
      </c>
      <c r="GM29" t="str">
        <f>IF(master_raw!GM29="","",master_raw!GM29)</f>
        <v>A107-COG-X-BVM-ReRB</v>
      </c>
      <c r="GN29">
        <f>INDEX($C$46:$I$52,MATCH(GN26,$B$46:$B$52),MATCH(GN27,$C$45:$I$45))</f>
        <v>0.5</v>
      </c>
      <c r="GO29" t="str">
        <f>IF(master_raw!GO29="","",master_raw!GO29)</f>
        <v>A108-COG-X-BVM-ReRB</v>
      </c>
      <c r="GP29">
        <f>INDEX($C$46:$I$52,MATCH(GP26,$B$46:$B$52),MATCH(GP27,$C$45:$I$45))</f>
        <v>0.5</v>
      </c>
      <c r="GQ29" t="str">
        <f>IF(master_raw!GQ29="","",master_raw!GQ29)</f>
        <v>A109-COG-X-BVM-ReRB</v>
      </c>
      <c r="GR29">
        <f>INDEX($C$46:$I$52,MATCH(GR26,$B$46:$B$52),MATCH(GR27,$C$45:$I$45))</f>
        <v>0.5</v>
      </c>
    </row>
    <row r="31" spans="1:256" x14ac:dyDescent="0.25">
      <c r="B31" s="5">
        <f>IF(B11="y",1,0)</f>
        <v>1</v>
      </c>
      <c r="D31" s="5">
        <f>IF(D11="y",1,0)</f>
        <v>1</v>
      </c>
      <c r="F31" s="5">
        <f>IF(F11="y",1,0)</f>
        <v>1</v>
      </c>
      <c r="H31" s="5">
        <f>IF(H11="y",1,0)</f>
        <v>0</v>
      </c>
      <c r="J31" s="5">
        <f>IF(J11="y",1,0)</f>
        <v>1</v>
      </c>
      <c r="L31" s="5">
        <f>IF(L11="y",1,0)</f>
        <v>1</v>
      </c>
      <c r="N31" s="5">
        <f>IF(N11="y",1,0)</f>
        <v>1</v>
      </c>
      <c r="P31" s="5">
        <f>IF(P11="y",1,0)</f>
        <v>1</v>
      </c>
      <c r="R31" s="5">
        <f>IF(R11="y",1,0)</f>
        <v>1</v>
      </c>
      <c r="T31" s="5">
        <f>IF(T11="y",1,0)</f>
        <v>1</v>
      </c>
      <c r="V31" s="5">
        <f>IF(V11="y",1,0)</f>
        <v>1</v>
      </c>
      <c r="X31" s="5">
        <f>IF(X11="y",1,0)</f>
        <v>1</v>
      </c>
      <c r="Z31" s="5">
        <f>IF(Z11="y",1,0)</f>
        <v>1</v>
      </c>
      <c r="AB31" s="5">
        <f>IF(AB11="y",1,0)</f>
        <v>1</v>
      </c>
      <c r="AD31" s="5">
        <f>IF(AD11="y",1,0)</f>
        <v>1</v>
      </c>
      <c r="AF31" s="5">
        <f>IF(AF11="y",1,0)</f>
        <v>1</v>
      </c>
      <c r="AH31" s="5">
        <f>IF(AH11="y",1,0)</f>
        <v>1</v>
      </c>
      <c r="AJ31" s="5">
        <f>IF(AJ11="y",1,0)</f>
        <v>1</v>
      </c>
      <c r="AL31" s="5">
        <f>IF(AL11="y",1,0)</f>
        <v>1</v>
      </c>
      <c r="AN31" s="5">
        <f>IF(AN11="y",1,0)</f>
        <v>1</v>
      </c>
      <c r="AP31" s="5">
        <f>IF(AP11="y",1,0)</f>
        <v>1</v>
      </c>
      <c r="AR31" s="5">
        <f>IF(AR11="y",1,0)</f>
        <v>1</v>
      </c>
      <c r="AT31" s="5">
        <f>IF(AT11="y",1,0)</f>
        <v>1</v>
      </c>
      <c r="AV31" s="5">
        <f>IF(AV11="y",1,0)</f>
        <v>1</v>
      </c>
      <c r="AX31" s="5">
        <f>IF(AX11="y",1,0)</f>
        <v>1</v>
      </c>
      <c r="AZ31" s="5">
        <f>IF(AZ11="y",1,0)</f>
        <v>1</v>
      </c>
      <c r="BB31" s="5">
        <f>IF(BB11="y",1,0)</f>
        <v>1</v>
      </c>
      <c r="BD31" s="5">
        <f>IF(BD11="y",1,0)</f>
        <v>1</v>
      </c>
      <c r="BF31" s="5">
        <f>IF(BF11="y",1,0)</f>
        <v>1</v>
      </c>
      <c r="BH31" s="5">
        <f>IF(BH11="y",1,0)</f>
        <v>1</v>
      </c>
      <c r="BJ31" s="5">
        <f>IF(BJ11="y",1,0)</f>
        <v>1</v>
      </c>
      <c r="BL31" s="5">
        <f>IF(BL11="y",1,0)</f>
        <v>1</v>
      </c>
      <c r="BN31" s="5">
        <f>IF(BN11="y",1,0)</f>
        <v>1</v>
      </c>
      <c r="BP31" s="5">
        <f>IF(BP11="y",1,0)</f>
        <v>1</v>
      </c>
      <c r="BR31" s="5">
        <f>IF(BR11="y",1,0)</f>
        <v>1</v>
      </c>
      <c r="BT31" s="5">
        <f>IF(BT11="y",1,0)</f>
        <v>1</v>
      </c>
      <c r="BV31" s="5">
        <f>IF(BV11="y",1,0)</f>
        <v>1</v>
      </c>
      <c r="BX31" s="5">
        <f>IF(BX11="y",1,0)</f>
        <v>1</v>
      </c>
      <c r="BZ31" s="5">
        <f>IF(BZ11="y",1,0)</f>
        <v>1</v>
      </c>
      <c r="CB31" s="5">
        <f>IF(CB11="y",1,0)</f>
        <v>1</v>
      </c>
      <c r="CD31" s="5">
        <f>IF(CD11="y",1,0)</f>
        <v>1</v>
      </c>
      <c r="CF31" s="5">
        <f>IF(CF11="y",1,0)</f>
        <v>0</v>
      </c>
      <c r="CH31" s="5">
        <f>IF(CH11="y",1,0)</f>
        <v>1</v>
      </c>
      <c r="CJ31" s="5">
        <f>IF(CJ11="y",1,0)</f>
        <v>1</v>
      </c>
      <c r="CL31" s="5">
        <f>IF(CL11="y",1,0)</f>
        <v>1</v>
      </c>
      <c r="CN31" s="5">
        <f>IF(CN11="y",1,0)</f>
        <v>1</v>
      </c>
      <c r="CP31" s="5">
        <f>IF(CP11="y",1,0)</f>
        <v>1</v>
      </c>
      <c r="CR31" s="5">
        <f>IF(CR11="y",1,0)</f>
        <v>1</v>
      </c>
      <c r="CT31" s="5">
        <f>IF(CT11="y",1,0)</f>
        <v>1</v>
      </c>
      <c r="CV31" s="5">
        <f>IF(CV11="y",1,0)</f>
        <v>1</v>
      </c>
      <c r="CX31" s="5">
        <f>IF(CX11="y",1,0)</f>
        <v>1</v>
      </c>
      <c r="CZ31" s="5">
        <f>IF(CZ11="y",1,0)</f>
        <v>1</v>
      </c>
      <c r="DB31" s="5">
        <f>IF(DB11="y",1,0)</f>
        <v>1</v>
      </c>
      <c r="DD31" s="5">
        <f>IF(DD11="y",1,0)</f>
        <v>1</v>
      </c>
      <c r="DF31" s="5">
        <f>IF(DF11="y",1,0)</f>
        <v>1</v>
      </c>
      <c r="DH31" s="5">
        <f>IF(DH11="y",1,0)</f>
        <v>1</v>
      </c>
      <c r="DJ31" s="5">
        <f>IF(DJ11="y",1,0)</f>
        <v>1</v>
      </c>
      <c r="DL31" s="5">
        <f>IF(DL11="y",1,0)</f>
        <v>1</v>
      </c>
      <c r="DN31" s="5">
        <f>IF(DN11="y",1,0)</f>
        <v>1</v>
      </c>
      <c r="DP31" s="5">
        <f>IF(DP11="y",1,0)</f>
        <v>1</v>
      </c>
      <c r="DR31" s="5">
        <f>IF(DR11="y",1,0)</f>
        <v>1</v>
      </c>
      <c r="DT31" s="5">
        <f>IF(DT11="y",1,0)</f>
        <v>1</v>
      </c>
      <c r="DV31" s="5">
        <f>IF(DV11="y",1,0)</f>
        <v>1</v>
      </c>
      <c r="DX31" s="5">
        <f>IF(DX11="y",1,0)</f>
        <v>1</v>
      </c>
      <c r="DZ31" s="5">
        <f>IF(DZ11="y",1,0)</f>
        <v>1</v>
      </c>
      <c r="EB31" s="5">
        <f>IF(EB11="y",1,0)</f>
        <v>1</v>
      </c>
      <c r="ED31" s="5">
        <f>IF(ED11="y",1,0)</f>
        <v>1</v>
      </c>
      <c r="EF31" s="5">
        <f>IF(EF11="y",1,0)</f>
        <v>1</v>
      </c>
      <c r="EH31" s="5">
        <f>IF(EH11="y",1,0)</f>
        <v>1</v>
      </c>
      <c r="EJ31" s="5">
        <f>IF(EJ11="y",1,0)</f>
        <v>1</v>
      </c>
      <c r="EL31" s="5">
        <f>IF(EL11="y",1,0)</f>
        <v>1</v>
      </c>
      <c r="EN31" s="5">
        <f>IF(EN11="y",1,0)</f>
        <v>0</v>
      </c>
      <c r="EP31" s="5">
        <f>IF(EP11="y",1,0)</f>
        <v>1</v>
      </c>
      <c r="ER31" s="5">
        <f>IF(ER11="y",1,0)</f>
        <v>1</v>
      </c>
      <c r="ET31" s="5">
        <f>IF(ET11="y",1,0)</f>
        <v>1</v>
      </c>
      <c r="EV31" s="5">
        <f>IF(EV11="y",1,0)</f>
        <v>1</v>
      </c>
      <c r="EX31" s="5">
        <f>IF(EX11="y",1,0)</f>
        <v>1</v>
      </c>
      <c r="EZ31" s="5">
        <f>IF(EZ11="y",1,0)</f>
        <v>1</v>
      </c>
      <c r="FB31" s="5">
        <f>IF(FB11="y",1,0)</f>
        <v>1</v>
      </c>
      <c r="FD31" s="5">
        <f>IF(FD11="y",1,0)</f>
        <v>1</v>
      </c>
      <c r="FF31" s="5">
        <f>IF(FF11="y",1,0)</f>
        <v>1</v>
      </c>
      <c r="FH31" s="5">
        <f>IF(FH11="y",1,0)</f>
        <v>1</v>
      </c>
      <c r="FJ31" s="5">
        <f>IF(FJ11="y",1,0)</f>
        <v>1</v>
      </c>
      <c r="FL31" s="5">
        <f>IF(FL11="y",1,0)</f>
        <v>1</v>
      </c>
      <c r="FN31" s="5">
        <f>IF(FN11="y",1,0)</f>
        <v>1</v>
      </c>
      <c r="FP31" s="5">
        <f>IF(FP11="y",1,0)</f>
        <v>1</v>
      </c>
      <c r="FR31" s="5">
        <f>IF(FR11="y",1,0)</f>
        <v>1</v>
      </c>
      <c r="FT31" s="5">
        <f>IF(FT11="y",1,0)</f>
        <v>0</v>
      </c>
      <c r="FV31" s="5">
        <f>IF(FV11="y",1,0)</f>
        <v>1</v>
      </c>
      <c r="FX31" s="5">
        <f>IF(FX11="y",1,0)</f>
        <v>1</v>
      </c>
      <c r="FZ31" s="5">
        <f>IF(FZ11="y",1,0)</f>
        <v>1</v>
      </c>
      <c r="GB31" s="5">
        <f>IF(GB11="y",1,0)</f>
        <v>1</v>
      </c>
      <c r="GD31" s="5">
        <f>IF(GD11="y",1,0)</f>
        <v>1</v>
      </c>
      <c r="GF31" s="5">
        <f>IF(GF11="y",1,0)</f>
        <v>1</v>
      </c>
      <c r="GH31" s="5">
        <f>IF(GH11="y",1,0)</f>
        <v>1</v>
      </c>
      <c r="GJ31" s="5">
        <f>IF(GJ11="y",1,0)</f>
        <v>1</v>
      </c>
      <c r="GL31" s="5">
        <f>IF(GL11="y",1,0)</f>
        <v>1</v>
      </c>
      <c r="GN31" s="5">
        <f>IF(GN11="y",1,0)</f>
        <v>1</v>
      </c>
      <c r="GP31" s="5">
        <f>IF(GP11="y",1,0)</f>
        <v>1</v>
      </c>
      <c r="GR31" s="5">
        <f>IF(GR11="y",1,0)</f>
        <v>1</v>
      </c>
      <c r="GT31" s="5"/>
      <c r="GV31" s="5"/>
      <c r="GX31" s="5"/>
      <c r="GZ31" s="5"/>
      <c r="HB31" s="5"/>
      <c r="HD31" s="5"/>
      <c r="HF31" s="5"/>
      <c r="HH31" s="5"/>
      <c r="HJ31" s="5"/>
      <c r="HL31" s="5"/>
      <c r="HN31" s="5"/>
      <c r="HP31" s="5"/>
      <c r="HR31" s="5"/>
      <c r="HT31" s="5"/>
      <c r="HV31" s="5"/>
      <c r="HX31" s="5"/>
      <c r="HZ31" s="5"/>
      <c r="IB31" s="5"/>
      <c r="ID31" s="5"/>
      <c r="IF31" s="5"/>
      <c r="IH31" s="5"/>
      <c r="IJ31" s="5"/>
      <c r="IL31" s="5"/>
      <c r="IN31" s="5"/>
      <c r="IP31" s="5"/>
      <c r="IR31" s="5"/>
      <c r="IT31" s="5"/>
      <c r="IV31" s="5"/>
    </row>
    <row r="32" spans="1:256" x14ac:dyDescent="0.25">
      <c r="B32" s="6">
        <f t="shared" ref="B32:D47" si="0">IF(B12="y",1,0)</f>
        <v>0</v>
      </c>
      <c r="D32" s="6">
        <f t="shared" ref="D32" si="1">IF(D12="y",1,0)</f>
        <v>0</v>
      </c>
      <c r="F32" s="6">
        <f t="shared" ref="F32" si="2">IF(F12="y",1,0)</f>
        <v>0</v>
      </c>
      <c r="H32" s="6">
        <f t="shared" ref="H32" si="3">IF(H12="y",1,0)</f>
        <v>0</v>
      </c>
      <c r="J32" s="6">
        <f t="shared" ref="J32" si="4">IF(J12="y",1,0)</f>
        <v>0</v>
      </c>
      <c r="L32" s="6">
        <f t="shared" ref="L32" si="5">IF(L12="y",1,0)</f>
        <v>0</v>
      </c>
      <c r="N32" s="6">
        <f t="shared" ref="N32" si="6">IF(N12="y",1,0)</f>
        <v>0</v>
      </c>
      <c r="P32" s="6">
        <f t="shared" ref="P32" si="7">IF(P12="y",1,0)</f>
        <v>0</v>
      </c>
      <c r="R32" s="6">
        <f t="shared" ref="R32" si="8">IF(R12="y",1,0)</f>
        <v>0</v>
      </c>
      <c r="T32" s="6">
        <f t="shared" ref="T32" si="9">IF(T12="y",1,0)</f>
        <v>0</v>
      </c>
      <c r="V32" s="6">
        <f t="shared" ref="V32:X32" si="10">IF(V12="y",1,0)</f>
        <v>0</v>
      </c>
      <c r="X32" s="6">
        <f t="shared" ref="X32:X42" si="11">IF(X12="y",1,0)</f>
        <v>0</v>
      </c>
      <c r="Z32" s="6">
        <f t="shared" ref="Z32:Z42" si="12">IF(Z12="y",1,0)</f>
        <v>0</v>
      </c>
      <c r="AB32" s="6">
        <f t="shared" ref="AB32:AB42" si="13">IF(AB12="y",1,0)</f>
        <v>0</v>
      </c>
      <c r="AD32" s="6">
        <f t="shared" ref="AD32:AD42" si="14">IF(AD12="y",1,0)</f>
        <v>0</v>
      </c>
      <c r="AF32" s="6">
        <f t="shared" ref="AF32:AF42" si="15">IF(AF12="y",1,0)</f>
        <v>0</v>
      </c>
      <c r="AH32" s="6">
        <f t="shared" ref="AH32:AH42" si="16">IF(AH12="y",1,0)</f>
        <v>0</v>
      </c>
      <c r="AJ32" s="6">
        <f t="shared" ref="AJ32:AJ42" si="17">IF(AJ12="y",1,0)</f>
        <v>0</v>
      </c>
      <c r="AL32" s="6">
        <f t="shared" ref="AL32:AL42" si="18">IF(AL12="y",1,0)</f>
        <v>0</v>
      </c>
      <c r="AN32" s="6">
        <f t="shared" ref="AN32:AN42" si="19">IF(AN12="y",1,0)</f>
        <v>0</v>
      </c>
      <c r="AP32" s="6">
        <f t="shared" ref="AP32:AR32" si="20">IF(AP12="y",1,0)</f>
        <v>0</v>
      </c>
      <c r="AR32" s="6">
        <f t="shared" ref="AR32:AR42" si="21">IF(AR12="y",1,0)</f>
        <v>0</v>
      </c>
      <c r="AT32" s="6">
        <f t="shared" ref="AT32:AT42" si="22">IF(AT12="y",1,0)</f>
        <v>0</v>
      </c>
      <c r="AV32" s="6">
        <f t="shared" ref="AV32:AV42" si="23">IF(AV12="y",1,0)</f>
        <v>0</v>
      </c>
      <c r="AX32" s="6">
        <f t="shared" ref="AX32:AX42" si="24">IF(AX12="y",1,0)</f>
        <v>0</v>
      </c>
      <c r="AZ32" s="6">
        <f t="shared" ref="AZ32:AZ42" si="25">IF(AZ12="y",1,0)</f>
        <v>0</v>
      </c>
      <c r="BB32" s="6">
        <f t="shared" ref="BB32:BB42" si="26">IF(BB12="y",1,0)</f>
        <v>0</v>
      </c>
      <c r="BD32" s="6">
        <f t="shared" ref="BD32:BD42" si="27">IF(BD12="y",1,0)</f>
        <v>0</v>
      </c>
      <c r="BF32" s="6">
        <f t="shared" ref="BF32:BF42" si="28">IF(BF12="y",1,0)</f>
        <v>0</v>
      </c>
      <c r="BH32" s="6">
        <f t="shared" ref="BH32:BH42" si="29">IF(BH12="y",1,0)</f>
        <v>0</v>
      </c>
      <c r="BJ32" s="6">
        <f t="shared" ref="BJ32:BL32" si="30">IF(BJ12="y",1,0)</f>
        <v>0</v>
      </c>
      <c r="BL32" s="6">
        <f t="shared" ref="BL32:BL42" si="31">IF(BL12="y",1,0)</f>
        <v>0</v>
      </c>
      <c r="BN32" s="6">
        <f t="shared" ref="BN32:BN42" si="32">IF(BN12="y",1,0)</f>
        <v>0</v>
      </c>
      <c r="BP32" s="6">
        <f t="shared" ref="BP32:BP42" si="33">IF(BP12="y",1,0)</f>
        <v>0</v>
      </c>
      <c r="BR32" s="6">
        <f t="shared" ref="BR32:BR42" si="34">IF(BR12="y",1,0)</f>
        <v>0</v>
      </c>
      <c r="BT32" s="6">
        <f t="shared" ref="BT32:BT42" si="35">IF(BT12="y",1,0)</f>
        <v>0</v>
      </c>
      <c r="BV32" s="6">
        <f t="shared" ref="BV32:BV42" si="36">IF(BV12="y",1,0)</f>
        <v>0</v>
      </c>
      <c r="BX32" s="6">
        <f t="shared" ref="BX32:BX42" si="37">IF(BX12="y",1,0)</f>
        <v>0</v>
      </c>
      <c r="BZ32" s="6">
        <f t="shared" ref="BZ32:BZ42" si="38">IF(BZ12="y",1,0)</f>
        <v>0</v>
      </c>
      <c r="CB32" s="6">
        <f t="shared" ref="CB32:CB42" si="39">IF(CB12="y",1,0)</f>
        <v>0</v>
      </c>
      <c r="CD32" s="6">
        <f t="shared" ref="CD32:CF32" si="40">IF(CD12="y",1,0)</f>
        <v>0</v>
      </c>
      <c r="CF32" s="6">
        <f t="shared" ref="CF32:CF42" si="41">IF(CF12="y",1,0)</f>
        <v>0</v>
      </c>
      <c r="CH32" s="6">
        <f t="shared" ref="CH32:CH42" si="42">IF(CH12="y",1,0)</f>
        <v>0</v>
      </c>
      <c r="CJ32" s="6">
        <f t="shared" ref="CJ32:CJ42" si="43">IF(CJ12="y",1,0)</f>
        <v>0</v>
      </c>
      <c r="CL32" s="6">
        <f t="shared" ref="CL32:CL42" si="44">IF(CL12="y",1,0)</f>
        <v>0</v>
      </c>
      <c r="CN32" s="6">
        <f t="shared" ref="CN32:CN42" si="45">IF(CN12="y",1,0)</f>
        <v>0</v>
      </c>
      <c r="CP32" s="6">
        <f t="shared" ref="CP32:CP42" si="46">IF(CP12="y",1,0)</f>
        <v>0</v>
      </c>
      <c r="CR32" s="6">
        <f t="shared" ref="CR32:CR42" si="47">IF(CR12="y",1,0)</f>
        <v>0</v>
      </c>
      <c r="CT32" s="6">
        <f t="shared" ref="CT32:CT42" si="48">IF(CT12="y",1,0)</f>
        <v>0</v>
      </c>
      <c r="CV32" s="6">
        <f t="shared" ref="CV32:CV42" si="49">IF(CV12="y",1,0)</f>
        <v>0</v>
      </c>
      <c r="CX32" s="6">
        <f t="shared" ref="CX32:CZ32" si="50">IF(CX12="y",1,0)</f>
        <v>0</v>
      </c>
      <c r="CZ32" s="6">
        <f t="shared" ref="CZ32:CZ42" si="51">IF(CZ12="y",1,0)</f>
        <v>0</v>
      </c>
      <c r="DB32" s="6">
        <f t="shared" ref="DB32:DB42" si="52">IF(DB12="y",1,0)</f>
        <v>0</v>
      </c>
      <c r="DD32" s="6">
        <f t="shared" ref="DD32:DD42" si="53">IF(DD12="y",1,0)</f>
        <v>0</v>
      </c>
      <c r="DF32" s="6">
        <f t="shared" ref="DF32:DF42" si="54">IF(DF12="y",1,0)</f>
        <v>0</v>
      </c>
      <c r="DH32" s="6">
        <f t="shared" ref="DH32:DH42" si="55">IF(DH12="y",1,0)</f>
        <v>0</v>
      </c>
      <c r="DJ32" s="6">
        <f t="shared" ref="DJ32:DJ42" si="56">IF(DJ12="y",1,0)</f>
        <v>0</v>
      </c>
      <c r="DL32" s="6">
        <f t="shared" ref="DL32:DL42" si="57">IF(DL12="y",1,0)</f>
        <v>0</v>
      </c>
      <c r="DN32" s="6">
        <f t="shared" ref="DN32:DN42" si="58">IF(DN12="y",1,0)</f>
        <v>0</v>
      </c>
      <c r="DP32" s="6">
        <f t="shared" ref="DP32:DP42" si="59">IF(DP12="y",1,0)</f>
        <v>0</v>
      </c>
      <c r="DR32" s="6">
        <f t="shared" ref="DR32:DT32" si="60">IF(DR12="y",1,0)</f>
        <v>0</v>
      </c>
      <c r="DT32" s="6">
        <f t="shared" ref="DT32:DT42" si="61">IF(DT12="y",1,0)</f>
        <v>0</v>
      </c>
      <c r="DV32" s="6">
        <f t="shared" ref="DV32:DV42" si="62">IF(DV12="y",1,0)</f>
        <v>0</v>
      </c>
      <c r="DX32" s="6">
        <f t="shared" ref="DX32:DX42" si="63">IF(DX12="y",1,0)</f>
        <v>0</v>
      </c>
      <c r="DZ32" s="6">
        <f t="shared" ref="DZ32:DZ42" si="64">IF(DZ12="y",1,0)</f>
        <v>0</v>
      </c>
      <c r="EB32" s="6">
        <f t="shared" ref="EB32:EB42" si="65">IF(EB12="y",1,0)</f>
        <v>0</v>
      </c>
      <c r="ED32" s="6">
        <f t="shared" ref="ED32:ED42" si="66">IF(ED12="y",1,0)</f>
        <v>0</v>
      </c>
      <c r="EF32" s="6">
        <f t="shared" ref="EF32:EF42" si="67">IF(EF12="y",1,0)</f>
        <v>0</v>
      </c>
      <c r="EH32" s="6">
        <f t="shared" ref="EH32:EH42" si="68">IF(EH12="y",1,0)</f>
        <v>0</v>
      </c>
      <c r="EJ32" s="6">
        <f t="shared" ref="EJ32:EJ42" si="69">IF(EJ12="y",1,0)</f>
        <v>0</v>
      </c>
      <c r="EL32" s="6">
        <f t="shared" ref="EL32:EN32" si="70">IF(EL12="y",1,0)</f>
        <v>0</v>
      </c>
      <c r="EN32" s="6">
        <f t="shared" ref="EN32:EN42" si="71">IF(EN12="y",1,0)</f>
        <v>0</v>
      </c>
      <c r="EP32" s="6">
        <f t="shared" ref="EP32:EP42" si="72">IF(EP12="y",1,0)</f>
        <v>0</v>
      </c>
      <c r="ER32" s="6">
        <f t="shared" ref="ER32:ER42" si="73">IF(ER12="y",1,0)</f>
        <v>0</v>
      </c>
      <c r="ET32" s="6">
        <f t="shared" ref="ET32:ET42" si="74">IF(ET12="y",1,0)</f>
        <v>0</v>
      </c>
      <c r="EV32" s="6">
        <f t="shared" ref="EV32:EV42" si="75">IF(EV12="y",1,0)</f>
        <v>0</v>
      </c>
      <c r="EX32" s="6">
        <f t="shared" ref="EX32:EX42" si="76">IF(EX12="y",1,0)</f>
        <v>0</v>
      </c>
      <c r="EZ32" s="6">
        <f t="shared" ref="EZ32:EZ42" si="77">IF(EZ12="y",1,0)</f>
        <v>0</v>
      </c>
      <c r="FB32" s="6">
        <f t="shared" ref="FB32:FB42" si="78">IF(FB12="y",1,0)</f>
        <v>0</v>
      </c>
      <c r="FD32" s="6">
        <f t="shared" ref="FD32:FD42" si="79">IF(FD12="y",1,0)</f>
        <v>0</v>
      </c>
      <c r="FF32" s="6">
        <f t="shared" ref="FF32:FH32" si="80">IF(FF12="y",1,0)</f>
        <v>0</v>
      </c>
      <c r="FH32" s="6">
        <f t="shared" ref="FH32:FH42" si="81">IF(FH12="y",1,0)</f>
        <v>0</v>
      </c>
      <c r="FJ32" s="6">
        <f t="shared" ref="FJ32:FJ42" si="82">IF(FJ12="y",1,0)</f>
        <v>0</v>
      </c>
      <c r="FL32" s="6">
        <f t="shared" ref="FL32:FL42" si="83">IF(FL12="y",1,0)</f>
        <v>0</v>
      </c>
      <c r="FN32" s="6">
        <f t="shared" ref="FN32:FN42" si="84">IF(FN12="y",1,0)</f>
        <v>0</v>
      </c>
      <c r="FP32" s="6">
        <f t="shared" ref="FP32:FP42" si="85">IF(FP12="y",1,0)</f>
        <v>0</v>
      </c>
      <c r="FR32" s="6">
        <f t="shared" ref="FR32:FR42" si="86">IF(FR12="y",1,0)</f>
        <v>0</v>
      </c>
      <c r="FT32" s="6">
        <f t="shared" ref="FT32:FT42" si="87">IF(FT12="y",1,0)</f>
        <v>0</v>
      </c>
      <c r="FV32" s="6">
        <f t="shared" ref="FV32:FV42" si="88">IF(FV12="y",1,0)</f>
        <v>0</v>
      </c>
      <c r="FX32" s="6">
        <f t="shared" ref="FX32:FX42" si="89">IF(FX12="y",1,0)</f>
        <v>0</v>
      </c>
      <c r="FZ32" s="6">
        <f t="shared" ref="FZ32:GB32" si="90">IF(FZ12="y",1,0)</f>
        <v>0</v>
      </c>
      <c r="GB32" s="6">
        <f t="shared" ref="GB32:GB42" si="91">IF(GB12="y",1,0)</f>
        <v>0</v>
      </c>
      <c r="GD32" s="6">
        <f t="shared" ref="GD32:GD42" si="92">IF(GD12="y",1,0)</f>
        <v>0</v>
      </c>
      <c r="GF32" s="6">
        <f t="shared" ref="GF32:GF42" si="93">IF(GF12="y",1,0)</f>
        <v>0</v>
      </c>
      <c r="GH32" s="6">
        <f t="shared" ref="GH32:GH42" si="94">IF(GH12="y",1,0)</f>
        <v>0</v>
      </c>
      <c r="GJ32" s="6">
        <f t="shared" ref="GJ32:GJ42" si="95">IF(GJ12="y",1,0)</f>
        <v>0</v>
      </c>
      <c r="GL32" s="6">
        <f t="shared" ref="GL32:GL42" si="96">IF(GL12="y",1,0)</f>
        <v>0</v>
      </c>
      <c r="GN32" s="6">
        <f t="shared" ref="GN32:GN42" si="97">IF(GN12="y",1,0)</f>
        <v>0</v>
      </c>
      <c r="GP32" s="6">
        <f t="shared" ref="GP32:GP42" si="98">IF(GP12="y",1,0)</f>
        <v>0</v>
      </c>
      <c r="GR32" s="6">
        <f t="shared" ref="GR32:GR42" si="99">IF(GR12="y",1,0)</f>
        <v>0</v>
      </c>
      <c r="GT32" s="6"/>
      <c r="GV32" s="6"/>
      <c r="GX32" s="6"/>
      <c r="GZ32" s="6"/>
      <c r="HB32" s="6"/>
      <c r="HD32" s="6"/>
      <c r="HF32" s="6"/>
      <c r="HH32" s="6"/>
      <c r="HJ32" s="6"/>
      <c r="HL32" s="6"/>
      <c r="HN32" s="6"/>
      <c r="HP32" s="6"/>
      <c r="HR32" s="6"/>
      <c r="HT32" s="6"/>
      <c r="HV32" s="6"/>
      <c r="HX32" s="6"/>
      <c r="HZ32" s="6"/>
      <c r="IB32" s="6"/>
      <c r="ID32" s="6"/>
      <c r="IF32" s="6"/>
      <c r="IH32" s="6"/>
      <c r="IJ32" s="6"/>
      <c r="IL32" s="6"/>
      <c r="IN32" s="6"/>
      <c r="IP32" s="6"/>
      <c r="IR32" s="6"/>
      <c r="IT32" s="6"/>
      <c r="IV32" s="6"/>
    </row>
    <row r="33" spans="2:256" x14ac:dyDescent="0.25">
      <c r="B33" s="5">
        <f t="shared" si="0"/>
        <v>1</v>
      </c>
      <c r="D33" s="5">
        <f t="shared" ref="D33" si="100">IF(D13="y",1,0)</f>
        <v>1</v>
      </c>
      <c r="F33" s="5">
        <f t="shared" ref="F33" si="101">IF(F13="y",1,0)</f>
        <v>1</v>
      </c>
      <c r="H33" s="5">
        <f t="shared" ref="H33" si="102">IF(H13="y",1,0)</f>
        <v>1</v>
      </c>
      <c r="J33" s="5">
        <f t="shared" ref="J33" si="103">IF(J13="y",1,0)</f>
        <v>1</v>
      </c>
      <c r="L33" s="5">
        <f t="shared" ref="L33" si="104">IF(L13="y",1,0)</f>
        <v>1</v>
      </c>
      <c r="N33" s="5">
        <f t="shared" ref="N33" si="105">IF(N13="y",1,0)</f>
        <v>1</v>
      </c>
      <c r="P33" s="5">
        <f t="shared" ref="P33" si="106">IF(P13="y",1,0)</f>
        <v>1</v>
      </c>
      <c r="R33" s="5">
        <f t="shared" ref="R33" si="107">IF(R13="y",1,0)</f>
        <v>1</v>
      </c>
      <c r="T33" s="5">
        <f t="shared" ref="T33" si="108">IF(T13="y",1,0)</f>
        <v>1</v>
      </c>
      <c r="V33" s="5">
        <f t="shared" ref="V33:X33" si="109">IF(V13="y",1,0)</f>
        <v>1</v>
      </c>
      <c r="X33" s="5">
        <f t="shared" si="11"/>
        <v>1</v>
      </c>
      <c r="Z33" s="5">
        <f t="shared" si="12"/>
        <v>1</v>
      </c>
      <c r="AB33" s="5">
        <f t="shared" si="13"/>
        <v>1</v>
      </c>
      <c r="AD33" s="5">
        <f t="shared" si="14"/>
        <v>1</v>
      </c>
      <c r="AF33" s="5">
        <f t="shared" si="15"/>
        <v>1</v>
      </c>
      <c r="AH33" s="5">
        <f t="shared" si="16"/>
        <v>1</v>
      </c>
      <c r="AJ33" s="5">
        <f t="shared" si="17"/>
        <v>1</v>
      </c>
      <c r="AL33" s="5">
        <f t="shared" si="18"/>
        <v>1</v>
      </c>
      <c r="AN33" s="5">
        <f t="shared" si="19"/>
        <v>1</v>
      </c>
      <c r="AP33" s="5">
        <f t="shared" ref="AP33:AR33" si="110">IF(AP13="y",1,0)</f>
        <v>1</v>
      </c>
      <c r="AR33" s="5">
        <f t="shared" si="21"/>
        <v>1</v>
      </c>
      <c r="AT33" s="5">
        <f t="shared" si="22"/>
        <v>1</v>
      </c>
      <c r="AV33" s="5">
        <f t="shared" si="23"/>
        <v>1</v>
      </c>
      <c r="AX33" s="5">
        <f t="shared" si="24"/>
        <v>1</v>
      </c>
      <c r="AZ33" s="5">
        <f t="shared" si="25"/>
        <v>1</v>
      </c>
      <c r="BB33" s="5">
        <f t="shared" si="26"/>
        <v>1</v>
      </c>
      <c r="BD33" s="5">
        <f t="shared" si="27"/>
        <v>1</v>
      </c>
      <c r="BF33" s="5">
        <f t="shared" si="28"/>
        <v>1</v>
      </c>
      <c r="BH33" s="5">
        <f t="shared" si="29"/>
        <v>1</v>
      </c>
      <c r="BJ33" s="5">
        <f t="shared" ref="BJ33:BL33" si="111">IF(BJ13="y",1,0)</f>
        <v>1</v>
      </c>
      <c r="BL33" s="5">
        <f t="shared" si="31"/>
        <v>1</v>
      </c>
      <c r="BN33" s="5">
        <f t="shared" si="32"/>
        <v>1</v>
      </c>
      <c r="BP33" s="5">
        <f t="shared" si="33"/>
        <v>1</v>
      </c>
      <c r="BR33" s="5">
        <f t="shared" si="34"/>
        <v>1</v>
      </c>
      <c r="BT33" s="5">
        <f t="shared" si="35"/>
        <v>0</v>
      </c>
      <c r="BV33" s="5">
        <f t="shared" si="36"/>
        <v>1</v>
      </c>
      <c r="BX33" s="5">
        <f t="shared" si="37"/>
        <v>1</v>
      </c>
      <c r="BZ33" s="5">
        <f t="shared" si="38"/>
        <v>1</v>
      </c>
      <c r="CB33" s="5">
        <f t="shared" si="39"/>
        <v>1</v>
      </c>
      <c r="CD33" s="5">
        <f t="shared" ref="CD33:CF33" si="112">IF(CD13="y",1,0)</f>
        <v>1</v>
      </c>
      <c r="CF33" s="5">
        <f t="shared" si="41"/>
        <v>1</v>
      </c>
      <c r="CH33" s="5">
        <f t="shared" si="42"/>
        <v>1</v>
      </c>
      <c r="CJ33" s="5">
        <f t="shared" si="43"/>
        <v>1</v>
      </c>
      <c r="CL33" s="5">
        <f t="shared" si="44"/>
        <v>1</v>
      </c>
      <c r="CN33" s="5">
        <f t="shared" si="45"/>
        <v>1</v>
      </c>
      <c r="CP33" s="5">
        <f t="shared" si="46"/>
        <v>1</v>
      </c>
      <c r="CR33" s="5">
        <f t="shared" si="47"/>
        <v>1</v>
      </c>
      <c r="CT33" s="5">
        <f t="shared" si="48"/>
        <v>1</v>
      </c>
      <c r="CV33" s="5">
        <f t="shared" si="49"/>
        <v>1</v>
      </c>
      <c r="CX33" s="5">
        <f t="shared" ref="CX33:CZ33" si="113">IF(CX13="y",1,0)</f>
        <v>1</v>
      </c>
      <c r="CZ33" s="5">
        <f t="shared" si="51"/>
        <v>1</v>
      </c>
      <c r="DB33" s="5">
        <f t="shared" si="52"/>
        <v>1</v>
      </c>
      <c r="DD33" s="5">
        <f t="shared" si="53"/>
        <v>1</v>
      </c>
      <c r="DF33" s="5">
        <f t="shared" si="54"/>
        <v>1</v>
      </c>
      <c r="DH33" s="5">
        <f t="shared" si="55"/>
        <v>1</v>
      </c>
      <c r="DJ33" s="5">
        <f t="shared" si="56"/>
        <v>1</v>
      </c>
      <c r="DL33" s="5">
        <f t="shared" si="57"/>
        <v>1</v>
      </c>
      <c r="DN33" s="5">
        <f t="shared" si="58"/>
        <v>1</v>
      </c>
      <c r="DP33" s="5">
        <f t="shared" si="59"/>
        <v>1</v>
      </c>
      <c r="DR33" s="5">
        <f t="shared" ref="DR33:DT33" si="114">IF(DR13="y",1,0)</f>
        <v>1</v>
      </c>
      <c r="DT33" s="5">
        <f t="shared" si="61"/>
        <v>1</v>
      </c>
      <c r="DV33" s="5">
        <f t="shared" si="62"/>
        <v>1</v>
      </c>
      <c r="DX33" s="5">
        <f t="shared" si="63"/>
        <v>1</v>
      </c>
      <c r="DZ33" s="5">
        <f t="shared" si="64"/>
        <v>1</v>
      </c>
      <c r="EB33" s="5">
        <f t="shared" si="65"/>
        <v>1</v>
      </c>
      <c r="ED33" s="5">
        <f t="shared" si="66"/>
        <v>1</v>
      </c>
      <c r="EF33" s="5">
        <f t="shared" si="67"/>
        <v>1</v>
      </c>
      <c r="EH33" s="5">
        <f t="shared" si="68"/>
        <v>1</v>
      </c>
      <c r="EJ33" s="5">
        <f t="shared" si="69"/>
        <v>1</v>
      </c>
      <c r="EL33" s="5">
        <f t="shared" ref="EL33:EN33" si="115">IF(EL13="y",1,0)</f>
        <v>1</v>
      </c>
      <c r="EN33" s="5">
        <f t="shared" si="71"/>
        <v>1</v>
      </c>
      <c r="EP33" s="5">
        <f t="shared" si="72"/>
        <v>1</v>
      </c>
      <c r="ER33" s="5">
        <f t="shared" si="73"/>
        <v>1</v>
      </c>
      <c r="ET33" s="5">
        <f t="shared" si="74"/>
        <v>1</v>
      </c>
      <c r="EV33" s="5">
        <f t="shared" si="75"/>
        <v>1</v>
      </c>
      <c r="EX33" s="5">
        <f t="shared" si="76"/>
        <v>1</v>
      </c>
      <c r="EZ33" s="5">
        <f t="shared" si="77"/>
        <v>1</v>
      </c>
      <c r="FB33" s="5">
        <f t="shared" si="78"/>
        <v>1</v>
      </c>
      <c r="FD33" s="5">
        <f t="shared" si="79"/>
        <v>1</v>
      </c>
      <c r="FF33" s="5">
        <f t="shared" ref="FF33:FH33" si="116">IF(FF13="y",1,0)</f>
        <v>1</v>
      </c>
      <c r="FH33" s="5">
        <f t="shared" si="81"/>
        <v>1</v>
      </c>
      <c r="FJ33" s="5">
        <f t="shared" si="82"/>
        <v>1</v>
      </c>
      <c r="FL33" s="5">
        <f t="shared" si="83"/>
        <v>1</v>
      </c>
      <c r="FN33" s="5">
        <f t="shared" si="84"/>
        <v>1</v>
      </c>
      <c r="FP33" s="5">
        <f t="shared" si="85"/>
        <v>1</v>
      </c>
      <c r="FR33" s="5">
        <f t="shared" si="86"/>
        <v>1</v>
      </c>
      <c r="FT33" s="5">
        <f t="shared" si="87"/>
        <v>1</v>
      </c>
      <c r="FV33" s="5">
        <f t="shared" si="88"/>
        <v>1</v>
      </c>
      <c r="FX33" s="5">
        <f t="shared" si="89"/>
        <v>1</v>
      </c>
      <c r="FZ33" s="5">
        <f t="shared" ref="FZ33:GB33" si="117">IF(FZ13="y",1,0)</f>
        <v>1</v>
      </c>
      <c r="GB33" s="5">
        <f t="shared" si="91"/>
        <v>1</v>
      </c>
      <c r="GD33" s="5">
        <f t="shared" si="92"/>
        <v>1</v>
      </c>
      <c r="GF33" s="5">
        <f t="shared" si="93"/>
        <v>1</v>
      </c>
      <c r="GH33" s="5">
        <f t="shared" si="94"/>
        <v>1</v>
      </c>
      <c r="GJ33" s="5">
        <f t="shared" si="95"/>
        <v>1</v>
      </c>
      <c r="GL33" s="5">
        <f t="shared" si="96"/>
        <v>1</v>
      </c>
      <c r="GN33" s="5">
        <f t="shared" si="97"/>
        <v>1</v>
      </c>
      <c r="GP33" s="5">
        <f t="shared" si="98"/>
        <v>1</v>
      </c>
      <c r="GR33" s="5">
        <f t="shared" si="99"/>
        <v>1</v>
      </c>
      <c r="GT33" s="5"/>
      <c r="GV33" s="5"/>
      <c r="GX33" s="5"/>
      <c r="GZ33" s="5"/>
      <c r="HB33" s="5"/>
      <c r="HD33" s="5"/>
      <c r="HF33" s="5"/>
      <c r="HH33" s="5"/>
      <c r="HJ33" s="5"/>
      <c r="HL33" s="5"/>
      <c r="HN33" s="5"/>
      <c r="HP33" s="5"/>
      <c r="HR33" s="5"/>
      <c r="HT33" s="5"/>
      <c r="HV33" s="5"/>
      <c r="HX33" s="5"/>
      <c r="HZ33" s="5"/>
      <c r="IB33" s="5"/>
      <c r="ID33" s="5"/>
      <c r="IF33" s="5"/>
      <c r="IH33" s="5"/>
      <c r="IJ33" s="5"/>
      <c r="IL33" s="5"/>
      <c r="IN33" s="5"/>
      <c r="IP33" s="5"/>
      <c r="IR33" s="5"/>
      <c r="IT33" s="5"/>
      <c r="IV33" s="5"/>
    </row>
    <row r="34" spans="2:256" x14ac:dyDescent="0.25">
      <c r="B34" s="6">
        <f t="shared" si="0"/>
        <v>0</v>
      </c>
      <c r="D34" s="6">
        <f t="shared" ref="D34" si="118">IF(D14="y",1,0)</f>
        <v>0</v>
      </c>
      <c r="F34" s="6">
        <f t="shared" ref="F34" si="119">IF(F14="y",1,0)</f>
        <v>0</v>
      </c>
      <c r="H34" s="6">
        <f t="shared" ref="H34" si="120">IF(H14="y",1,0)</f>
        <v>0</v>
      </c>
      <c r="J34" s="6">
        <f t="shared" ref="J34" si="121">IF(J14="y",1,0)</f>
        <v>0</v>
      </c>
      <c r="L34" s="6">
        <f t="shared" ref="L34" si="122">IF(L14="y",1,0)</f>
        <v>0</v>
      </c>
      <c r="N34" s="6">
        <f t="shared" ref="N34" si="123">IF(N14="y",1,0)</f>
        <v>0</v>
      </c>
      <c r="P34" s="6">
        <f t="shared" ref="P34" si="124">IF(P14="y",1,0)</f>
        <v>0</v>
      </c>
      <c r="R34" s="6">
        <f t="shared" ref="R34" si="125">IF(R14="y",1,0)</f>
        <v>0</v>
      </c>
      <c r="T34" s="6">
        <f t="shared" ref="T34" si="126">IF(T14="y",1,0)</f>
        <v>0</v>
      </c>
      <c r="V34" s="6">
        <f t="shared" ref="V34:X34" si="127">IF(V14="y",1,0)</f>
        <v>0</v>
      </c>
      <c r="X34" s="6">
        <f t="shared" si="11"/>
        <v>0</v>
      </c>
      <c r="Z34" s="6">
        <f t="shared" si="12"/>
        <v>0</v>
      </c>
      <c r="AB34" s="6">
        <f t="shared" si="13"/>
        <v>0</v>
      </c>
      <c r="AD34" s="6">
        <f t="shared" si="14"/>
        <v>0</v>
      </c>
      <c r="AF34" s="6">
        <f t="shared" si="15"/>
        <v>0</v>
      </c>
      <c r="AH34" s="6">
        <f t="shared" si="16"/>
        <v>0</v>
      </c>
      <c r="AJ34" s="6">
        <f t="shared" si="17"/>
        <v>0</v>
      </c>
      <c r="AL34" s="6">
        <f t="shared" si="18"/>
        <v>0</v>
      </c>
      <c r="AN34" s="6">
        <f t="shared" si="19"/>
        <v>0</v>
      </c>
      <c r="AP34" s="6">
        <f t="shared" ref="AP34:AR34" si="128">IF(AP14="y",1,0)</f>
        <v>0</v>
      </c>
      <c r="AR34" s="6">
        <f t="shared" si="21"/>
        <v>0</v>
      </c>
      <c r="AT34" s="6">
        <f t="shared" si="22"/>
        <v>0</v>
      </c>
      <c r="AV34" s="6">
        <f t="shared" si="23"/>
        <v>0</v>
      </c>
      <c r="AX34" s="6">
        <f t="shared" si="24"/>
        <v>0</v>
      </c>
      <c r="AZ34" s="6">
        <f t="shared" si="25"/>
        <v>0</v>
      </c>
      <c r="BB34" s="6">
        <f t="shared" si="26"/>
        <v>0</v>
      </c>
      <c r="BD34" s="6">
        <f t="shared" si="27"/>
        <v>0</v>
      </c>
      <c r="BF34" s="6">
        <f t="shared" si="28"/>
        <v>0</v>
      </c>
      <c r="BH34" s="6">
        <f t="shared" si="29"/>
        <v>0</v>
      </c>
      <c r="BJ34" s="6">
        <f t="shared" ref="BJ34:BL34" si="129">IF(BJ14="y",1,0)</f>
        <v>0</v>
      </c>
      <c r="BL34" s="6">
        <f t="shared" si="31"/>
        <v>0</v>
      </c>
      <c r="BN34" s="6">
        <f t="shared" si="32"/>
        <v>0</v>
      </c>
      <c r="BP34" s="6">
        <f t="shared" si="33"/>
        <v>0</v>
      </c>
      <c r="BR34" s="6">
        <f t="shared" si="34"/>
        <v>0</v>
      </c>
      <c r="BT34" s="6">
        <f t="shared" si="35"/>
        <v>0</v>
      </c>
      <c r="BV34" s="6">
        <f t="shared" si="36"/>
        <v>0</v>
      </c>
      <c r="BX34" s="6">
        <f t="shared" si="37"/>
        <v>0</v>
      </c>
      <c r="BZ34" s="6">
        <f t="shared" si="38"/>
        <v>0</v>
      </c>
      <c r="CB34" s="6">
        <f t="shared" si="39"/>
        <v>0</v>
      </c>
      <c r="CD34" s="6">
        <f t="shared" ref="CD34:CF34" si="130">IF(CD14="y",1,0)</f>
        <v>0</v>
      </c>
      <c r="CF34" s="6">
        <f t="shared" si="41"/>
        <v>0</v>
      </c>
      <c r="CH34" s="6">
        <f t="shared" si="42"/>
        <v>0</v>
      </c>
      <c r="CJ34" s="6">
        <f t="shared" si="43"/>
        <v>0</v>
      </c>
      <c r="CL34" s="6">
        <f t="shared" si="44"/>
        <v>0</v>
      </c>
      <c r="CN34" s="6">
        <f t="shared" si="45"/>
        <v>0</v>
      </c>
      <c r="CP34" s="6">
        <f t="shared" si="46"/>
        <v>0</v>
      </c>
      <c r="CR34" s="6">
        <f t="shared" si="47"/>
        <v>0</v>
      </c>
      <c r="CT34" s="6">
        <f t="shared" si="48"/>
        <v>0</v>
      </c>
      <c r="CV34" s="6">
        <f t="shared" si="49"/>
        <v>0</v>
      </c>
      <c r="CX34" s="6">
        <f t="shared" ref="CX34:CZ34" si="131">IF(CX14="y",1,0)</f>
        <v>0</v>
      </c>
      <c r="CZ34" s="6">
        <f t="shared" si="51"/>
        <v>0</v>
      </c>
      <c r="DB34" s="6">
        <f t="shared" si="52"/>
        <v>0</v>
      </c>
      <c r="DD34" s="6">
        <f t="shared" si="53"/>
        <v>0</v>
      </c>
      <c r="DF34" s="6">
        <f t="shared" si="54"/>
        <v>0</v>
      </c>
      <c r="DH34" s="6">
        <f t="shared" si="55"/>
        <v>0</v>
      </c>
      <c r="DJ34" s="6">
        <f t="shared" si="56"/>
        <v>0</v>
      </c>
      <c r="DL34" s="6">
        <f t="shared" si="57"/>
        <v>0</v>
      </c>
      <c r="DN34" s="6">
        <f t="shared" si="58"/>
        <v>0</v>
      </c>
      <c r="DP34" s="6">
        <f t="shared" si="59"/>
        <v>0</v>
      </c>
      <c r="DR34" s="6">
        <f t="shared" ref="DR34:DT34" si="132">IF(DR14="y",1,0)</f>
        <v>0</v>
      </c>
      <c r="DT34" s="6">
        <f t="shared" si="61"/>
        <v>0</v>
      </c>
      <c r="DV34" s="6">
        <f t="shared" si="62"/>
        <v>0</v>
      </c>
      <c r="DX34" s="6">
        <f t="shared" si="63"/>
        <v>0</v>
      </c>
      <c r="DZ34" s="6">
        <f t="shared" si="64"/>
        <v>0</v>
      </c>
      <c r="EB34" s="6">
        <f t="shared" si="65"/>
        <v>0</v>
      </c>
      <c r="ED34" s="6">
        <f t="shared" si="66"/>
        <v>0</v>
      </c>
      <c r="EF34" s="6">
        <f t="shared" si="67"/>
        <v>0</v>
      </c>
      <c r="EH34" s="6">
        <f t="shared" si="68"/>
        <v>0</v>
      </c>
      <c r="EJ34" s="6">
        <f t="shared" si="69"/>
        <v>0</v>
      </c>
      <c r="EL34" s="6">
        <f t="shared" ref="EL34:EN34" si="133">IF(EL14="y",1,0)</f>
        <v>0</v>
      </c>
      <c r="EN34" s="6">
        <f t="shared" si="71"/>
        <v>0</v>
      </c>
      <c r="EP34" s="6">
        <f t="shared" si="72"/>
        <v>0</v>
      </c>
      <c r="ER34" s="6">
        <f t="shared" si="73"/>
        <v>0</v>
      </c>
      <c r="ET34" s="6">
        <f t="shared" si="74"/>
        <v>0</v>
      </c>
      <c r="EV34" s="6">
        <f t="shared" si="75"/>
        <v>0</v>
      </c>
      <c r="EX34" s="6">
        <f t="shared" si="76"/>
        <v>0</v>
      </c>
      <c r="EZ34" s="6">
        <f t="shared" si="77"/>
        <v>0</v>
      </c>
      <c r="FB34" s="6">
        <f t="shared" si="78"/>
        <v>0</v>
      </c>
      <c r="FD34" s="6">
        <f t="shared" si="79"/>
        <v>0</v>
      </c>
      <c r="FF34" s="6">
        <f t="shared" ref="FF34:FH34" si="134">IF(FF14="y",1,0)</f>
        <v>0</v>
      </c>
      <c r="FH34" s="6">
        <f t="shared" si="81"/>
        <v>0</v>
      </c>
      <c r="FJ34" s="6">
        <f t="shared" si="82"/>
        <v>0</v>
      </c>
      <c r="FL34" s="6">
        <f t="shared" si="83"/>
        <v>0</v>
      </c>
      <c r="FN34" s="6">
        <f t="shared" si="84"/>
        <v>0</v>
      </c>
      <c r="FP34" s="6">
        <f t="shared" si="85"/>
        <v>0</v>
      </c>
      <c r="FR34" s="6">
        <f t="shared" si="86"/>
        <v>0</v>
      </c>
      <c r="FT34" s="6">
        <f t="shared" si="87"/>
        <v>0</v>
      </c>
      <c r="FV34" s="6">
        <f t="shared" si="88"/>
        <v>0</v>
      </c>
      <c r="FX34" s="6">
        <f t="shared" si="89"/>
        <v>0</v>
      </c>
      <c r="FZ34" s="6">
        <f t="shared" ref="FZ34:GB34" si="135">IF(FZ14="y",1,0)</f>
        <v>0</v>
      </c>
      <c r="GB34" s="6">
        <f t="shared" si="91"/>
        <v>0</v>
      </c>
      <c r="GD34" s="6">
        <f t="shared" si="92"/>
        <v>0</v>
      </c>
      <c r="GF34" s="6">
        <f t="shared" si="93"/>
        <v>0</v>
      </c>
      <c r="GH34" s="6">
        <f t="shared" si="94"/>
        <v>0</v>
      </c>
      <c r="GJ34" s="6">
        <f t="shared" si="95"/>
        <v>0</v>
      </c>
      <c r="GL34" s="6">
        <f t="shared" si="96"/>
        <v>0</v>
      </c>
      <c r="GN34" s="6">
        <f t="shared" si="97"/>
        <v>0</v>
      </c>
      <c r="GP34" s="6">
        <f t="shared" si="98"/>
        <v>0</v>
      </c>
      <c r="GR34" s="6">
        <f t="shared" si="99"/>
        <v>0</v>
      </c>
      <c r="GT34" s="6"/>
      <c r="GV34" s="6"/>
      <c r="GX34" s="6"/>
      <c r="GZ34" s="6"/>
      <c r="HB34" s="6"/>
      <c r="HD34" s="6"/>
      <c r="HF34" s="6"/>
      <c r="HH34" s="6"/>
      <c r="HJ34" s="6"/>
      <c r="HL34" s="6"/>
      <c r="HN34" s="6"/>
      <c r="HP34" s="6"/>
      <c r="HR34" s="6"/>
      <c r="HT34" s="6"/>
      <c r="HV34" s="6"/>
      <c r="HX34" s="6"/>
      <c r="HZ34" s="6"/>
      <c r="IB34" s="6"/>
      <c r="ID34" s="6"/>
      <c r="IF34" s="6"/>
      <c r="IH34" s="6"/>
      <c r="IJ34" s="6"/>
      <c r="IL34" s="6"/>
      <c r="IN34" s="6"/>
      <c r="IP34" s="6"/>
      <c r="IR34" s="6"/>
      <c r="IT34" s="6"/>
      <c r="IV34" s="6"/>
    </row>
    <row r="35" spans="2:256" x14ac:dyDescent="0.25">
      <c r="B35" s="6">
        <f t="shared" si="0"/>
        <v>0</v>
      </c>
      <c r="D35" s="6">
        <f t="shared" ref="D35" si="136">IF(D15="y",1,0)</f>
        <v>0</v>
      </c>
      <c r="F35" s="6">
        <f t="shared" ref="F35" si="137">IF(F15="y",1,0)</f>
        <v>0</v>
      </c>
      <c r="H35" s="6">
        <f t="shared" ref="H35" si="138">IF(H15="y",1,0)</f>
        <v>0</v>
      </c>
      <c r="J35" s="6">
        <f t="shared" ref="J35" si="139">IF(J15="y",1,0)</f>
        <v>0</v>
      </c>
      <c r="L35" s="6">
        <f t="shared" ref="L35" si="140">IF(L15="y",1,0)</f>
        <v>0</v>
      </c>
      <c r="N35" s="6">
        <f t="shared" ref="N35" si="141">IF(N15="y",1,0)</f>
        <v>0</v>
      </c>
      <c r="P35" s="6">
        <f t="shared" ref="P35" si="142">IF(P15="y",1,0)</f>
        <v>0</v>
      </c>
      <c r="R35" s="6">
        <f t="shared" ref="R35" si="143">IF(R15="y",1,0)</f>
        <v>0</v>
      </c>
      <c r="T35" s="6">
        <f t="shared" ref="T35" si="144">IF(T15="y",1,0)</f>
        <v>0</v>
      </c>
      <c r="V35" s="6">
        <f t="shared" ref="V35:X35" si="145">IF(V15="y",1,0)</f>
        <v>0</v>
      </c>
      <c r="X35" s="6">
        <f t="shared" si="11"/>
        <v>0</v>
      </c>
      <c r="Z35" s="6">
        <f t="shared" si="12"/>
        <v>0</v>
      </c>
      <c r="AB35" s="6">
        <f t="shared" si="13"/>
        <v>0</v>
      </c>
      <c r="AD35" s="6">
        <f t="shared" si="14"/>
        <v>0</v>
      </c>
      <c r="AF35" s="6">
        <f t="shared" si="15"/>
        <v>0</v>
      </c>
      <c r="AH35" s="6">
        <f t="shared" si="16"/>
        <v>0</v>
      </c>
      <c r="AJ35" s="6">
        <f t="shared" si="17"/>
        <v>0</v>
      </c>
      <c r="AL35" s="6">
        <f t="shared" si="18"/>
        <v>0</v>
      </c>
      <c r="AN35" s="6">
        <f t="shared" si="19"/>
        <v>0</v>
      </c>
      <c r="AP35" s="6">
        <f t="shared" ref="AP35:AR35" si="146">IF(AP15="y",1,0)</f>
        <v>0</v>
      </c>
      <c r="AR35" s="6">
        <f t="shared" si="21"/>
        <v>0</v>
      </c>
      <c r="AT35" s="6">
        <f t="shared" si="22"/>
        <v>0</v>
      </c>
      <c r="AV35" s="6">
        <f t="shared" si="23"/>
        <v>0</v>
      </c>
      <c r="AX35" s="6">
        <f t="shared" si="24"/>
        <v>0</v>
      </c>
      <c r="AZ35" s="6">
        <f t="shared" si="25"/>
        <v>0</v>
      </c>
      <c r="BB35" s="6">
        <f t="shared" si="26"/>
        <v>0</v>
      </c>
      <c r="BD35" s="6">
        <f t="shared" si="27"/>
        <v>0</v>
      </c>
      <c r="BF35" s="6">
        <f t="shared" si="28"/>
        <v>0</v>
      </c>
      <c r="BH35" s="6">
        <f t="shared" si="29"/>
        <v>0</v>
      </c>
      <c r="BJ35" s="6">
        <f t="shared" ref="BJ35:BL35" si="147">IF(BJ15="y",1,0)</f>
        <v>0</v>
      </c>
      <c r="BL35" s="6">
        <f t="shared" si="31"/>
        <v>0</v>
      </c>
      <c r="BN35" s="6">
        <f t="shared" si="32"/>
        <v>0</v>
      </c>
      <c r="BP35" s="6">
        <f t="shared" si="33"/>
        <v>0</v>
      </c>
      <c r="BR35" s="6">
        <f t="shared" si="34"/>
        <v>0</v>
      </c>
      <c r="BT35" s="6">
        <f t="shared" si="35"/>
        <v>0</v>
      </c>
      <c r="BV35" s="6">
        <f t="shared" si="36"/>
        <v>0</v>
      </c>
      <c r="BX35" s="6">
        <f t="shared" si="37"/>
        <v>0</v>
      </c>
      <c r="BZ35" s="6">
        <f t="shared" si="38"/>
        <v>0</v>
      </c>
      <c r="CB35" s="6">
        <f t="shared" si="39"/>
        <v>0</v>
      </c>
      <c r="CD35" s="6">
        <f t="shared" ref="CD35:CF35" si="148">IF(CD15="y",1,0)</f>
        <v>0</v>
      </c>
      <c r="CF35" s="6">
        <f t="shared" si="41"/>
        <v>0</v>
      </c>
      <c r="CH35" s="6">
        <f t="shared" si="42"/>
        <v>0</v>
      </c>
      <c r="CJ35" s="6">
        <f t="shared" si="43"/>
        <v>0</v>
      </c>
      <c r="CL35" s="6">
        <f t="shared" si="44"/>
        <v>0</v>
      </c>
      <c r="CN35" s="6">
        <f t="shared" si="45"/>
        <v>0</v>
      </c>
      <c r="CP35" s="6">
        <f t="shared" si="46"/>
        <v>0</v>
      </c>
      <c r="CR35" s="6">
        <f t="shared" si="47"/>
        <v>0</v>
      </c>
      <c r="CT35" s="6">
        <f t="shared" si="48"/>
        <v>0</v>
      </c>
      <c r="CV35" s="6">
        <f t="shared" si="49"/>
        <v>0</v>
      </c>
      <c r="CX35" s="6">
        <f t="shared" ref="CX35:CZ35" si="149">IF(CX15="y",1,0)</f>
        <v>0</v>
      </c>
      <c r="CZ35" s="6">
        <f t="shared" si="51"/>
        <v>0</v>
      </c>
      <c r="DB35" s="6">
        <f t="shared" si="52"/>
        <v>0</v>
      </c>
      <c r="DD35" s="6">
        <f t="shared" si="53"/>
        <v>0</v>
      </c>
      <c r="DF35" s="6">
        <f t="shared" si="54"/>
        <v>0</v>
      </c>
      <c r="DH35" s="6">
        <f t="shared" si="55"/>
        <v>0</v>
      </c>
      <c r="DJ35" s="6">
        <f t="shared" si="56"/>
        <v>0</v>
      </c>
      <c r="DL35" s="6">
        <f t="shared" si="57"/>
        <v>0</v>
      </c>
      <c r="DN35" s="6">
        <f t="shared" si="58"/>
        <v>0</v>
      </c>
      <c r="DP35" s="6">
        <f t="shared" si="59"/>
        <v>0</v>
      </c>
      <c r="DR35" s="6">
        <f t="shared" ref="DR35:DT35" si="150">IF(DR15="y",1,0)</f>
        <v>0</v>
      </c>
      <c r="DT35" s="6">
        <f t="shared" si="61"/>
        <v>0</v>
      </c>
      <c r="DV35" s="6">
        <f t="shared" si="62"/>
        <v>0</v>
      </c>
      <c r="DX35" s="6">
        <f t="shared" si="63"/>
        <v>0</v>
      </c>
      <c r="DZ35" s="6">
        <f t="shared" si="64"/>
        <v>0</v>
      </c>
      <c r="EB35" s="6">
        <f t="shared" si="65"/>
        <v>0</v>
      </c>
      <c r="ED35" s="6">
        <f t="shared" si="66"/>
        <v>0</v>
      </c>
      <c r="EF35" s="6">
        <f t="shared" si="67"/>
        <v>0</v>
      </c>
      <c r="EH35" s="6">
        <f t="shared" si="68"/>
        <v>0</v>
      </c>
      <c r="EJ35" s="6">
        <f t="shared" si="69"/>
        <v>0</v>
      </c>
      <c r="EL35" s="6">
        <f t="shared" ref="EL35:EN35" si="151">IF(EL15="y",1,0)</f>
        <v>0</v>
      </c>
      <c r="EN35" s="6">
        <f t="shared" si="71"/>
        <v>0</v>
      </c>
      <c r="EP35" s="6">
        <f t="shared" si="72"/>
        <v>0</v>
      </c>
      <c r="ER35" s="6">
        <f t="shared" si="73"/>
        <v>0</v>
      </c>
      <c r="ET35" s="6">
        <f t="shared" si="74"/>
        <v>0</v>
      </c>
      <c r="EV35" s="6">
        <f t="shared" si="75"/>
        <v>0</v>
      </c>
      <c r="EX35" s="6">
        <f t="shared" si="76"/>
        <v>0</v>
      </c>
      <c r="EZ35" s="6">
        <f t="shared" si="77"/>
        <v>0</v>
      </c>
      <c r="FB35" s="6">
        <f t="shared" si="78"/>
        <v>0</v>
      </c>
      <c r="FD35" s="6">
        <f t="shared" si="79"/>
        <v>0</v>
      </c>
      <c r="FF35" s="6">
        <f t="shared" ref="FF35:FH35" si="152">IF(FF15="y",1,0)</f>
        <v>0</v>
      </c>
      <c r="FH35" s="6">
        <f t="shared" si="81"/>
        <v>0</v>
      </c>
      <c r="FJ35" s="6">
        <f t="shared" si="82"/>
        <v>0</v>
      </c>
      <c r="FL35" s="6">
        <f t="shared" si="83"/>
        <v>0</v>
      </c>
      <c r="FN35" s="6">
        <f t="shared" si="84"/>
        <v>0</v>
      </c>
      <c r="FP35" s="6">
        <f t="shared" si="85"/>
        <v>0</v>
      </c>
      <c r="FR35" s="6">
        <f t="shared" si="86"/>
        <v>0</v>
      </c>
      <c r="FT35" s="6">
        <f t="shared" si="87"/>
        <v>0</v>
      </c>
      <c r="FV35" s="6">
        <f t="shared" si="88"/>
        <v>0</v>
      </c>
      <c r="FX35" s="6">
        <f t="shared" si="89"/>
        <v>0</v>
      </c>
      <c r="FZ35" s="6">
        <f t="shared" ref="FZ35:GB35" si="153">IF(FZ15="y",1,0)</f>
        <v>0</v>
      </c>
      <c r="GB35" s="6">
        <f t="shared" si="91"/>
        <v>0</v>
      </c>
      <c r="GD35" s="6">
        <f t="shared" si="92"/>
        <v>0</v>
      </c>
      <c r="GF35" s="6">
        <f t="shared" si="93"/>
        <v>0</v>
      </c>
      <c r="GH35" s="6">
        <f t="shared" si="94"/>
        <v>0</v>
      </c>
      <c r="GJ35" s="6">
        <f t="shared" si="95"/>
        <v>0</v>
      </c>
      <c r="GL35" s="6">
        <f t="shared" si="96"/>
        <v>0</v>
      </c>
      <c r="GN35" s="6">
        <f t="shared" si="97"/>
        <v>0</v>
      </c>
      <c r="GP35" s="6">
        <f t="shared" si="98"/>
        <v>0</v>
      </c>
      <c r="GR35" s="6">
        <f t="shared" si="99"/>
        <v>0</v>
      </c>
      <c r="GT35" s="6"/>
      <c r="GV35" s="6"/>
      <c r="GX35" s="6"/>
      <c r="GZ35" s="6"/>
      <c r="HB35" s="6"/>
      <c r="HD35" s="6"/>
      <c r="HF35" s="6"/>
      <c r="HH35" s="6"/>
      <c r="HJ35" s="6"/>
      <c r="HL35" s="6"/>
      <c r="HN35" s="6"/>
      <c r="HP35" s="6"/>
      <c r="HR35" s="6"/>
      <c r="HT35" s="6"/>
      <c r="HV35" s="6"/>
      <c r="HX35" s="6"/>
      <c r="HZ35" s="6"/>
      <c r="IB35" s="6"/>
      <c r="ID35" s="6"/>
      <c r="IF35" s="6"/>
      <c r="IH35" s="6"/>
      <c r="IJ35" s="6"/>
      <c r="IL35" s="6"/>
      <c r="IN35" s="6"/>
      <c r="IP35" s="6"/>
      <c r="IR35" s="6"/>
      <c r="IT35" s="6"/>
      <c r="IV35" s="6"/>
    </row>
    <row r="36" spans="2:256" x14ac:dyDescent="0.25">
      <c r="B36" s="5">
        <f t="shared" si="0"/>
        <v>1</v>
      </c>
      <c r="D36" s="5">
        <f t="shared" ref="D36" si="154">IF(D16="y",1,0)</f>
        <v>1</v>
      </c>
      <c r="F36" s="5">
        <f t="shared" ref="F36" si="155">IF(F16="y",1,0)</f>
        <v>1</v>
      </c>
      <c r="H36" s="5">
        <f t="shared" ref="H36" si="156">IF(H16="y",1,0)</f>
        <v>1</v>
      </c>
      <c r="J36" s="5">
        <f t="shared" ref="J36" si="157">IF(J16="y",1,0)</f>
        <v>1</v>
      </c>
      <c r="L36" s="5">
        <f t="shared" ref="L36" si="158">IF(L16="y",1,0)</f>
        <v>1</v>
      </c>
      <c r="N36" s="5">
        <f t="shared" ref="N36" si="159">IF(N16="y",1,0)</f>
        <v>1</v>
      </c>
      <c r="P36" s="5">
        <f t="shared" ref="P36" si="160">IF(P16="y",1,0)</f>
        <v>1</v>
      </c>
      <c r="R36" s="5">
        <f t="shared" ref="R36" si="161">IF(R16="y",1,0)</f>
        <v>1</v>
      </c>
      <c r="T36" s="5">
        <f t="shared" ref="T36" si="162">IF(T16="y",1,0)</f>
        <v>1</v>
      </c>
      <c r="V36" s="5">
        <f t="shared" ref="V36:X36" si="163">IF(V16="y",1,0)</f>
        <v>1</v>
      </c>
      <c r="X36" s="5">
        <f t="shared" si="11"/>
        <v>1</v>
      </c>
      <c r="Z36" s="5">
        <f t="shared" si="12"/>
        <v>1</v>
      </c>
      <c r="AB36" s="5">
        <f t="shared" si="13"/>
        <v>1</v>
      </c>
      <c r="AD36" s="5">
        <f t="shared" si="14"/>
        <v>1</v>
      </c>
      <c r="AF36" s="5">
        <f t="shared" si="15"/>
        <v>1</v>
      </c>
      <c r="AH36" s="5">
        <f t="shared" si="16"/>
        <v>1</v>
      </c>
      <c r="AJ36" s="5">
        <f t="shared" si="17"/>
        <v>1</v>
      </c>
      <c r="AL36" s="5">
        <f t="shared" si="18"/>
        <v>1</v>
      </c>
      <c r="AN36" s="5">
        <f t="shared" si="19"/>
        <v>1</v>
      </c>
      <c r="AP36" s="5">
        <f t="shared" ref="AP36:AR36" si="164">IF(AP16="y",1,0)</f>
        <v>1</v>
      </c>
      <c r="AR36" s="5">
        <f t="shared" si="21"/>
        <v>1</v>
      </c>
      <c r="AT36" s="5">
        <f t="shared" si="22"/>
        <v>1</v>
      </c>
      <c r="AV36" s="5">
        <f t="shared" si="23"/>
        <v>1</v>
      </c>
      <c r="AX36" s="5">
        <f t="shared" si="24"/>
        <v>1</v>
      </c>
      <c r="AZ36" s="5">
        <f t="shared" si="25"/>
        <v>1</v>
      </c>
      <c r="BB36" s="5">
        <f t="shared" si="26"/>
        <v>1</v>
      </c>
      <c r="BD36" s="5">
        <f t="shared" si="27"/>
        <v>1</v>
      </c>
      <c r="BF36" s="5">
        <f t="shared" si="28"/>
        <v>1</v>
      </c>
      <c r="BH36" s="5">
        <f t="shared" si="29"/>
        <v>1</v>
      </c>
      <c r="BJ36" s="5">
        <f t="shared" ref="BJ36:BL36" si="165">IF(BJ16="y",1,0)</f>
        <v>1</v>
      </c>
      <c r="BL36" s="5">
        <f t="shared" si="31"/>
        <v>1</v>
      </c>
      <c r="BN36" s="5">
        <f t="shared" si="32"/>
        <v>1</v>
      </c>
      <c r="BP36" s="5">
        <f t="shared" si="33"/>
        <v>1</v>
      </c>
      <c r="BR36" s="5">
        <f t="shared" si="34"/>
        <v>1</v>
      </c>
      <c r="BT36" s="5">
        <f t="shared" si="35"/>
        <v>1</v>
      </c>
      <c r="BV36" s="5">
        <f t="shared" si="36"/>
        <v>1</v>
      </c>
      <c r="BX36" s="5">
        <f t="shared" si="37"/>
        <v>1</v>
      </c>
      <c r="BZ36" s="5">
        <f t="shared" si="38"/>
        <v>1</v>
      </c>
      <c r="CB36" s="5">
        <f t="shared" si="39"/>
        <v>1</v>
      </c>
      <c r="CD36" s="5">
        <f t="shared" ref="CD36:CF36" si="166">IF(CD16="y",1,0)</f>
        <v>1</v>
      </c>
      <c r="CF36" s="5">
        <f t="shared" si="41"/>
        <v>1</v>
      </c>
      <c r="CH36" s="5">
        <f t="shared" si="42"/>
        <v>1</v>
      </c>
      <c r="CJ36" s="5">
        <f t="shared" si="43"/>
        <v>1</v>
      </c>
      <c r="CL36" s="5">
        <f t="shared" si="44"/>
        <v>1</v>
      </c>
      <c r="CN36" s="5">
        <f t="shared" si="45"/>
        <v>1</v>
      </c>
      <c r="CP36" s="5">
        <f t="shared" si="46"/>
        <v>1</v>
      </c>
      <c r="CR36" s="5">
        <f t="shared" si="47"/>
        <v>1</v>
      </c>
      <c r="CT36" s="5">
        <f t="shared" si="48"/>
        <v>1</v>
      </c>
      <c r="CV36" s="5">
        <f t="shared" si="49"/>
        <v>1</v>
      </c>
      <c r="CX36" s="5">
        <f t="shared" ref="CX36:CZ36" si="167">IF(CX16="y",1,0)</f>
        <v>1</v>
      </c>
      <c r="CZ36" s="5">
        <f t="shared" si="51"/>
        <v>1</v>
      </c>
      <c r="DB36" s="5">
        <f t="shared" si="52"/>
        <v>1</v>
      </c>
      <c r="DD36" s="5">
        <f t="shared" si="53"/>
        <v>1</v>
      </c>
      <c r="DF36" s="5">
        <f t="shared" si="54"/>
        <v>1</v>
      </c>
      <c r="DH36" s="5">
        <f t="shared" si="55"/>
        <v>1</v>
      </c>
      <c r="DJ36" s="5">
        <f t="shared" si="56"/>
        <v>1</v>
      </c>
      <c r="DL36" s="5">
        <f t="shared" si="57"/>
        <v>1</v>
      </c>
      <c r="DN36" s="5">
        <f t="shared" si="58"/>
        <v>1</v>
      </c>
      <c r="DP36" s="5">
        <f t="shared" si="59"/>
        <v>1</v>
      </c>
      <c r="DR36" s="5">
        <f t="shared" ref="DR36:DT36" si="168">IF(DR16="y",1,0)</f>
        <v>1</v>
      </c>
      <c r="DT36" s="5">
        <f t="shared" si="61"/>
        <v>1</v>
      </c>
      <c r="DV36" s="5">
        <f t="shared" si="62"/>
        <v>1</v>
      </c>
      <c r="DX36" s="5">
        <f t="shared" si="63"/>
        <v>1</v>
      </c>
      <c r="DZ36" s="5">
        <f t="shared" si="64"/>
        <v>1</v>
      </c>
      <c r="EB36" s="5">
        <f t="shared" si="65"/>
        <v>1</v>
      </c>
      <c r="ED36" s="5">
        <f t="shared" si="66"/>
        <v>1</v>
      </c>
      <c r="EF36" s="5">
        <f t="shared" si="67"/>
        <v>1</v>
      </c>
      <c r="EH36" s="5">
        <f t="shared" si="68"/>
        <v>1</v>
      </c>
      <c r="EJ36" s="5">
        <f t="shared" si="69"/>
        <v>1</v>
      </c>
      <c r="EL36" s="5">
        <f t="shared" ref="EL36:EN36" si="169">IF(EL16="y",1,0)</f>
        <v>1</v>
      </c>
      <c r="EN36" s="5">
        <f t="shared" si="71"/>
        <v>1</v>
      </c>
      <c r="EP36" s="5">
        <f t="shared" si="72"/>
        <v>1</v>
      </c>
      <c r="ER36" s="5">
        <f t="shared" si="73"/>
        <v>1</v>
      </c>
      <c r="ET36" s="5">
        <f t="shared" si="74"/>
        <v>1</v>
      </c>
      <c r="EV36" s="5">
        <f t="shared" si="75"/>
        <v>1</v>
      </c>
      <c r="EX36" s="5">
        <f t="shared" si="76"/>
        <v>1</v>
      </c>
      <c r="EZ36" s="5">
        <f t="shared" si="77"/>
        <v>1</v>
      </c>
      <c r="FB36" s="5">
        <f t="shared" si="78"/>
        <v>1</v>
      </c>
      <c r="FD36" s="5">
        <f t="shared" si="79"/>
        <v>1</v>
      </c>
      <c r="FF36" s="5">
        <f t="shared" ref="FF36:FH36" si="170">IF(FF16="y",1,0)</f>
        <v>1</v>
      </c>
      <c r="FH36" s="5">
        <f t="shared" si="81"/>
        <v>1</v>
      </c>
      <c r="FJ36" s="5">
        <f t="shared" si="82"/>
        <v>1</v>
      </c>
      <c r="FL36" s="5">
        <f t="shared" si="83"/>
        <v>1</v>
      </c>
      <c r="FN36" s="5">
        <f t="shared" si="84"/>
        <v>1</v>
      </c>
      <c r="FP36" s="5">
        <f t="shared" si="85"/>
        <v>1</v>
      </c>
      <c r="FR36" s="5">
        <f t="shared" si="86"/>
        <v>1</v>
      </c>
      <c r="FT36" s="5">
        <f t="shared" si="87"/>
        <v>1</v>
      </c>
      <c r="FV36" s="5">
        <f t="shared" si="88"/>
        <v>1</v>
      </c>
      <c r="FX36" s="5">
        <f t="shared" si="89"/>
        <v>1</v>
      </c>
      <c r="FZ36" s="5">
        <f t="shared" ref="FZ36:GB36" si="171">IF(FZ16="y",1,0)</f>
        <v>1</v>
      </c>
      <c r="GB36" s="5">
        <f t="shared" si="91"/>
        <v>0</v>
      </c>
      <c r="GD36" s="5">
        <f t="shared" si="92"/>
        <v>1</v>
      </c>
      <c r="GF36" s="5">
        <f t="shared" si="93"/>
        <v>1</v>
      </c>
      <c r="GH36" s="5">
        <f t="shared" si="94"/>
        <v>1</v>
      </c>
      <c r="GJ36" s="5">
        <f t="shared" si="95"/>
        <v>1</v>
      </c>
      <c r="GL36" s="5">
        <f t="shared" si="96"/>
        <v>1</v>
      </c>
      <c r="GN36" s="5">
        <f t="shared" si="97"/>
        <v>1</v>
      </c>
      <c r="GP36" s="5">
        <f t="shared" si="98"/>
        <v>1</v>
      </c>
      <c r="GR36" s="5">
        <f t="shared" si="99"/>
        <v>1</v>
      </c>
      <c r="GT36" s="5"/>
      <c r="GV36" s="5"/>
      <c r="GX36" s="5"/>
      <c r="GZ36" s="5"/>
      <c r="HB36" s="5"/>
      <c r="HD36" s="5"/>
      <c r="HF36" s="5"/>
      <c r="HH36" s="5"/>
      <c r="HJ36" s="5"/>
      <c r="HL36" s="5"/>
      <c r="HN36" s="5"/>
      <c r="HP36" s="5"/>
      <c r="HR36" s="5"/>
      <c r="HT36" s="5"/>
      <c r="HV36" s="5"/>
      <c r="HX36" s="5"/>
      <c r="HZ36" s="5"/>
      <c r="IB36" s="5"/>
      <c r="ID36" s="5"/>
      <c r="IF36" s="5"/>
      <c r="IH36" s="5"/>
      <c r="IJ36" s="5"/>
      <c r="IL36" s="5"/>
      <c r="IN36" s="5"/>
      <c r="IP36" s="5"/>
      <c r="IR36" s="5"/>
      <c r="IT36" s="5"/>
      <c r="IV36" s="5"/>
    </row>
    <row r="37" spans="2:256" x14ac:dyDescent="0.25">
      <c r="B37" s="5">
        <f t="shared" si="0"/>
        <v>1</v>
      </c>
      <c r="D37" s="5">
        <f t="shared" ref="D37" si="172">IF(D17="y",1,0)</f>
        <v>1</v>
      </c>
      <c r="F37" s="5">
        <f t="shared" ref="F37" si="173">IF(F17="y",1,0)</f>
        <v>1</v>
      </c>
      <c r="H37" s="5">
        <f t="shared" ref="H37" si="174">IF(H17="y",1,0)</f>
        <v>1</v>
      </c>
      <c r="J37" s="5">
        <f t="shared" ref="J37" si="175">IF(J17="y",1,0)</f>
        <v>1</v>
      </c>
      <c r="L37" s="5">
        <f t="shared" ref="L37" si="176">IF(L17="y",1,0)</f>
        <v>1</v>
      </c>
      <c r="N37" s="5">
        <f t="shared" ref="N37" si="177">IF(N17="y",1,0)</f>
        <v>1</v>
      </c>
      <c r="P37" s="5">
        <f t="shared" ref="P37" si="178">IF(P17="y",1,0)</f>
        <v>1</v>
      </c>
      <c r="R37" s="5">
        <f t="shared" ref="R37" si="179">IF(R17="y",1,0)</f>
        <v>1</v>
      </c>
      <c r="T37" s="5">
        <f t="shared" ref="T37" si="180">IF(T17="y",1,0)</f>
        <v>1</v>
      </c>
      <c r="V37" s="5">
        <f t="shared" ref="V37:X37" si="181">IF(V17="y",1,0)</f>
        <v>1</v>
      </c>
      <c r="X37" s="5">
        <f t="shared" si="11"/>
        <v>1</v>
      </c>
      <c r="Z37" s="5">
        <f t="shared" si="12"/>
        <v>1</v>
      </c>
      <c r="AB37" s="5">
        <f t="shared" si="13"/>
        <v>1</v>
      </c>
      <c r="AD37" s="5">
        <f t="shared" si="14"/>
        <v>0</v>
      </c>
      <c r="AF37" s="5">
        <f t="shared" si="15"/>
        <v>1</v>
      </c>
      <c r="AH37" s="5">
        <f t="shared" si="16"/>
        <v>1</v>
      </c>
      <c r="AJ37" s="5">
        <f t="shared" si="17"/>
        <v>1</v>
      </c>
      <c r="AL37" s="5">
        <f t="shared" si="18"/>
        <v>1</v>
      </c>
      <c r="AN37" s="5">
        <f t="shared" si="19"/>
        <v>1</v>
      </c>
      <c r="AP37" s="5">
        <f t="shared" ref="AP37:AR37" si="182">IF(AP17="y",1,0)</f>
        <v>1</v>
      </c>
      <c r="AR37" s="5">
        <f t="shared" si="21"/>
        <v>1</v>
      </c>
      <c r="AT37" s="5">
        <f t="shared" si="22"/>
        <v>1</v>
      </c>
      <c r="AV37" s="5">
        <f t="shared" si="23"/>
        <v>1</v>
      </c>
      <c r="AX37" s="5">
        <f t="shared" si="24"/>
        <v>1</v>
      </c>
      <c r="AZ37" s="5">
        <f t="shared" si="25"/>
        <v>1</v>
      </c>
      <c r="BB37" s="5">
        <f t="shared" si="26"/>
        <v>1</v>
      </c>
      <c r="BD37" s="5">
        <f t="shared" si="27"/>
        <v>1</v>
      </c>
      <c r="BF37" s="5">
        <f t="shared" si="28"/>
        <v>1</v>
      </c>
      <c r="BH37" s="5">
        <f t="shared" si="29"/>
        <v>1</v>
      </c>
      <c r="BJ37" s="5">
        <f t="shared" ref="BJ37:BL37" si="183">IF(BJ17="y",1,0)</f>
        <v>1</v>
      </c>
      <c r="BL37" s="5">
        <f t="shared" si="31"/>
        <v>1</v>
      </c>
      <c r="BN37" s="5">
        <f t="shared" si="32"/>
        <v>1</v>
      </c>
      <c r="BP37" s="5">
        <f t="shared" si="33"/>
        <v>1</v>
      </c>
      <c r="BR37" s="5">
        <f t="shared" si="34"/>
        <v>1</v>
      </c>
      <c r="BT37" s="5">
        <f t="shared" si="35"/>
        <v>1</v>
      </c>
      <c r="BV37" s="5">
        <f t="shared" si="36"/>
        <v>1</v>
      </c>
      <c r="BX37" s="5">
        <f t="shared" si="37"/>
        <v>1</v>
      </c>
      <c r="BZ37" s="5">
        <f t="shared" si="38"/>
        <v>1</v>
      </c>
      <c r="CB37" s="5">
        <f t="shared" si="39"/>
        <v>1</v>
      </c>
      <c r="CD37" s="5">
        <f t="shared" ref="CD37:CF37" si="184">IF(CD17="y",1,0)</f>
        <v>1</v>
      </c>
      <c r="CF37" s="5">
        <f t="shared" si="41"/>
        <v>1</v>
      </c>
      <c r="CH37" s="5">
        <f t="shared" si="42"/>
        <v>1</v>
      </c>
      <c r="CJ37" s="5">
        <f t="shared" si="43"/>
        <v>1</v>
      </c>
      <c r="CL37" s="5">
        <f t="shared" si="44"/>
        <v>1</v>
      </c>
      <c r="CN37" s="5">
        <f t="shared" si="45"/>
        <v>1</v>
      </c>
      <c r="CP37" s="5">
        <f t="shared" si="46"/>
        <v>1</v>
      </c>
      <c r="CR37" s="5">
        <f t="shared" si="47"/>
        <v>1</v>
      </c>
      <c r="CT37" s="5">
        <f t="shared" si="48"/>
        <v>1</v>
      </c>
      <c r="CV37" s="5">
        <f t="shared" si="49"/>
        <v>1</v>
      </c>
      <c r="CX37" s="5">
        <f t="shared" ref="CX37:CZ37" si="185">IF(CX17="y",1,0)</f>
        <v>1</v>
      </c>
      <c r="CZ37" s="5">
        <f t="shared" si="51"/>
        <v>1</v>
      </c>
      <c r="DB37" s="5">
        <f t="shared" si="52"/>
        <v>1</v>
      </c>
      <c r="DD37" s="5">
        <f t="shared" si="53"/>
        <v>1</v>
      </c>
      <c r="DF37" s="5">
        <f t="shared" si="54"/>
        <v>1</v>
      </c>
      <c r="DH37" s="5">
        <f t="shared" si="55"/>
        <v>1</v>
      </c>
      <c r="DJ37" s="5">
        <f t="shared" si="56"/>
        <v>1</v>
      </c>
      <c r="DL37" s="5">
        <f t="shared" si="57"/>
        <v>1</v>
      </c>
      <c r="DN37" s="5">
        <f t="shared" si="58"/>
        <v>1</v>
      </c>
      <c r="DP37" s="5">
        <f t="shared" si="59"/>
        <v>1</v>
      </c>
      <c r="DR37" s="5">
        <f t="shared" ref="DR37:DT37" si="186">IF(DR17="y",1,0)</f>
        <v>1</v>
      </c>
      <c r="DT37" s="5">
        <f t="shared" si="61"/>
        <v>1</v>
      </c>
      <c r="DV37" s="5">
        <f t="shared" si="62"/>
        <v>1</v>
      </c>
      <c r="DX37" s="5">
        <f t="shared" si="63"/>
        <v>1</v>
      </c>
      <c r="DZ37" s="5">
        <f t="shared" si="64"/>
        <v>1</v>
      </c>
      <c r="EB37" s="5">
        <f t="shared" si="65"/>
        <v>1</v>
      </c>
      <c r="ED37" s="5">
        <f t="shared" si="66"/>
        <v>1</v>
      </c>
      <c r="EF37" s="5">
        <f t="shared" si="67"/>
        <v>1</v>
      </c>
      <c r="EH37" s="5">
        <f t="shared" si="68"/>
        <v>1</v>
      </c>
      <c r="EJ37" s="5">
        <f t="shared" si="69"/>
        <v>1</v>
      </c>
      <c r="EL37" s="5">
        <f t="shared" ref="EL37:EN37" si="187">IF(EL17="y",1,0)</f>
        <v>1</v>
      </c>
      <c r="EN37" s="5">
        <f t="shared" si="71"/>
        <v>1</v>
      </c>
      <c r="EP37" s="5">
        <f t="shared" si="72"/>
        <v>1</v>
      </c>
      <c r="ER37" s="5">
        <f t="shared" si="73"/>
        <v>1</v>
      </c>
      <c r="ET37" s="5">
        <f t="shared" si="74"/>
        <v>1</v>
      </c>
      <c r="EV37" s="5">
        <f t="shared" si="75"/>
        <v>1</v>
      </c>
      <c r="EX37" s="5">
        <f t="shared" si="76"/>
        <v>1</v>
      </c>
      <c r="EZ37" s="5">
        <f t="shared" si="77"/>
        <v>1</v>
      </c>
      <c r="FB37" s="5">
        <f t="shared" si="78"/>
        <v>1</v>
      </c>
      <c r="FD37" s="5">
        <f t="shared" si="79"/>
        <v>1</v>
      </c>
      <c r="FF37" s="5">
        <f t="shared" ref="FF37:FH37" si="188">IF(FF17="y",1,0)</f>
        <v>1</v>
      </c>
      <c r="FH37" s="5">
        <f t="shared" si="81"/>
        <v>1</v>
      </c>
      <c r="FJ37" s="5">
        <f t="shared" si="82"/>
        <v>1</v>
      </c>
      <c r="FL37" s="5">
        <f t="shared" si="83"/>
        <v>1</v>
      </c>
      <c r="FN37" s="5">
        <f t="shared" si="84"/>
        <v>1</v>
      </c>
      <c r="FP37" s="5">
        <f t="shared" si="85"/>
        <v>0</v>
      </c>
      <c r="FR37" s="5">
        <f t="shared" si="86"/>
        <v>1</v>
      </c>
      <c r="FT37" s="5">
        <f t="shared" si="87"/>
        <v>1</v>
      </c>
      <c r="FV37" s="5">
        <f t="shared" si="88"/>
        <v>1</v>
      </c>
      <c r="FX37" s="5">
        <f t="shared" si="89"/>
        <v>1</v>
      </c>
      <c r="FZ37" s="5">
        <f t="shared" ref="FZ37:GB37" si="189">IF(FZ17="y",1,0)</f>
        <v>1</v>
      </c>
      <c r="GB37" s="5">
        <f t="shared" si="91"/>
        <v>1</v>
      </c>
      <c r="GD37" s="5">
        <f t="shared" si="92"/>
        <v>1</v>
      </c>
      <c r="GF37" s="5">
        <f t="shared" si="93"/>
        <v>1</v>
      </c>
      <c r="GH37" s="5">
        <f t="shared" si="94"/>
        <v>1</v>
      </c>
      <c r="GJ37" s="5">
        <f t="shared" si="95"/>
        <v>1</v>
      </c>
      <c r="GL37" s="5">
        <f t="shared" si="96"/>
        <v>1</v>
      </c>
      <c r="GN37" s="5">
        <f t="shared" si="97"/>
        <v>1</v>
      </c>
      <c r="GP37" s="5">
        <f t="shared" si="98"/>
        <v>1</v>
      </c>
      <c r="GR37" s="5">
        <f t="shared" si="99"/>
        <v>1</v>
      </c>
      <c r="GT37" s="5"/>
      <c r="GV37" s="5"/>
      <c r="GX37" s="5"/>
      <c r="GZ37" s="5"/>
      <c r="HB37" s="5"/>
      <c r="HD37" s="5"/>
      <c r="HF37" s="5"/>
      <c r="HH37" s="5"/>
      <c r="HJ37" s="5"/>
      <c r="HL37" s="5"/>
      <c r="HN37" s="5"/>
      <c r="HP37" s="5"/>
      <c r="HR37" s="5"/>
      <c r="HT37" s="5"/>
      <c r="HV37" s="5"/>
      <c r="HX37" s="5"/>
      <c r="HZ37" s="5"/>
      <c r="IB37" s="5"/>
      <c r="ID37" s="5"/>
      <c r="IF37" s="5"/>
      <c r="IH37" s="5"/>
      <c r="IJ37" s="5"/>
      <c r="IL37" s="5"/>
      <c r="IN37" s="5"/>
      <c r="IP37" s="5"/>
      <c r="IR37" s="5"/>
      <c r="IT37" s="5"/>
      <c r="IV37" s="5"/>
    </row>
    <row r="38" spans="2:256" x14ac:dyDescent="0.25">
      <c r="B38" s="6">
        <f t="shared" si="0"/>
        <v>0</v>
      </c>
      <c r="D38" s="6">
        <f t="shared" ref="D38" si="190">IF(D18="y",1,0)</f>
        <v>0</v>
      </c>
      <c r="F38" s="6">
        <f t="shared" ref="F38" si="191">IF(F18="y",1,0)</f>
        <v>0</v>
      </c>
      <c r="H38" s="6">
        <f t="shared" ref="H38" si="192">IF(H18="y",1,0)</f>
        <v>0</v>
      </c>
      <c r="J38" s="6">
        <f t="shared" ref="J38" si="193">IF(J18="y",1,0)</f>
        <v>0</v>
      </c>
      <c r="L38" s="6">
        <f t="shared" ref="L38" si="194">IF(L18="y",1,0)</f>
        <v>0</v>
      </c>
      <c r="N38" s="6">
        <f t="shared" ref="N38" si="195">IF(N18="y",1,0)</f>
        <v>0</v>
      </c>
      <c r="P38" s="6">
        <f t="shared" ref="P38" si="196">IF(P18="y",1,0)</f>
        <v>0</v>
      </c>
      <c r="R38" s="6">
        <f t="shared" ref="R38" si="197">IF(R18="y",1,0)</f>
        <v>0</v>
      </c>
      <c r="T38" s="6">
        <f t="shared" ref="T38" si="198">IF(T18="y",1,0)</f>
        <v>0</v>
      </c>
      <c r="V38" s="6">
        <f t="shared" ref="V38:X38" si="199">IF(V18="y",1,0)</f>
        <v>0</v>
      </c>
      <c r="X38" s="6">
        <f t="shared" si="11"/>
        <v>0</v>
      </c>
      <c r="Z38" s="6">
        <f t="shared" si="12"/>
        <v>0</v>
      </c>
      <c r="AB38" s="6">
        <f t="shared" si="13"/>
        <v>0</v>
      </c>
      <c r="AD38" s="6">
        <f t="shared" si="14"/>
        <v>0</v>
      </c>
      <c r="AF38" s="6">
        <f t="shared" si="15"/>
        <v>0</v>
      </c>
      <c r="AH38" s="6">
        <f t="shared" si="16"/>
        <v>0</v>
      </c>
      <c r="AJ38" s="6">
        <f t="shared" si="17"/>
        <v>0</v>
      </c>
      <c r="AL38" s="6">
        <f t="shared" si="18"/>
        <v>0</v>
      </c>
      <c r="AN38" s="6">
        <f t="shared" si="19"/>
        <v>0</v>
      </c>
      <c r="AP38" s="6">
        <f t="shared" ref="AP38:AR38" si="200">IF(AP18="y",1,0)</f>
        <v>0</v>
      </c>
      <c r="AR38" s="6">
        <f t="shared" si="21"/>
        <v>0</v>
      </c>
      <c r="AT38" s="6">
        <f t="shared" si="22"/>
        <v>0</v>
      </c>
      <c r="AV38" s="6">
        <f t="shared" si="23"/>
        <v>0</v>
      </c>
      <c r="AX38" s="6">
        <f t="shared" si="24"/>
        <v>0</v>
      </c>
      <c r="AZ38" s="6">
        <f t="shared" si="25"/>
        <v>0</v>
      </c>
      <c r="BB38" s="6">
        <f t="shared" si="26"/>
        <v>0</v>
      </c>
      <c r="BD38" s="6">
        <f t="shared" si="27"/>
        <v>0</v>
      </c>
      <c r="BF38" s="6">
        <f t="shared" si="28"/>
        <v>0</v>
      </c>
      <c r="BH38" s="6">
        <f t="shared" si="29"/>
        <v>0</v>
      </c>
      <c r="BJ38" s="6">
        <f t="shared" ref="BJ38:BL38" si="201">IF(BJ18="y",1,0)</f>
        <v>0</v>
      </c>
      <c r="BL38" s="6">
        <f t="shared" si="31"/>
        <v>0</v>
      </c>
      <c r="BN38" s="6">
        <f t="shared" si="32"/>
        <v>0</v>
      </c>
      <c r="BP38" s="6">
        <f t="shared" si="33"/>
        <v>0</v>
      </c>
      <c r="BR38" s="6">
        <f t="shared" si="34"/>
        <v>0</v>
      </c>
      <c r="BT38" s="6">
        <f t="shared" si="35"/>
        <v>0</v>
      </c>
      <c r="BV38" s="6">
        <f t="shared" si="36"/>
        <v>0</v>
      </c>
      <c r="BX38" s="6">
        <f t="shared" si="37"/>
        <v>0</v>
      </c>
      <c r="BZ38" s="6">
        <f t="shared" si="38"/>
        <v>0</v>
      </c>
      <c r="CB38" s="6">
        <f t="shared" si="39"/>
        <v>0</v>
      </c>
      <c r="CD38" s="6">
        <f t="shared" ref="CD38:CF38" si="202">IF(CD18="y",1,0)</f>
        <v>0</v>
      </c>
      <c r="CF38" s="6">
        <f t="shared" si="41"/>
        <v>0</v>
      </c>
      <c r="CH38" s="6">
        <f t="shared" si="42"/>
        <v>0</v>
      </c>
      <c r="CJ38" s="6">
        <f t="shared" si="43"/>
        <v>0</v>
      </c>
      <c r="CL38" s="6">
        <f t="shared" si="44"/>
        <v>0</v>
      </c>
      <c r="CN38" s="6">
        <f t="shared" si="45"/>
        <v>0</v>
      </c>
      <c r="CP38" s="6">
        <f t="shared" si="46"/>
        <v>0</v>
      </c>
      <c r="CR38" s="6">
        <f t="shared" si="47"/>
        <v>0</v>
      </c>
      <c r="CT38" s="6">
        <f t="shared" si="48"/>
        <v>0</v>
      </c>
      <c r="CV38" s="6">
        <f t="shared" si="49"/>
        <v>0</v>
      </c>
      <c r="CX38" s="6">
        <f t="shared" ref="CX38:CZ38" si="203">IF(CX18="y",1,0)</f>
        <v>0</v>
      </c>
      <c r="CZ38" s="6">
        <f t="shared" si="51"/>
        <v>0</v>
      </c>
      <c r="DB38" s="6">
        <f t="shared" si="52"/>
        <v>0</v>
      </c>
      <c r="DD38" s="6">
        <f t="shared" si="53"/>
        <v>0</v>
      </c>
      <c r="DF38" s="6">
        <f t="shared" si="54"/>
        <v>0</v>
      </c>
      <c r="DH38" s="6">
        <f t="shared" si="55"/>
        <v>0</v>
      </c>
      <c r="DJ38" s="6">
        <f t="shared" si="56"/>
        <v>0</v>
      </c>
      <c r="DL38" s="6">
        <f t="shared" si="57"/>
        <v>0</v>
      </c>
      <c r="DN38" s="6">
        <f t="shared" si="58"/>
        <v>0</v>
      </c>
      <c r="DP38" s="6">
        <f t="shared" si="59"/>
        <v>0</v>
      </c>
      <c r="DR38" s="6">
        <f t="shared" ref="DR38:DT38" si="204">IF(DR18="y",1,0)</f>
        <v>0</v>
      </c>
      <c r="DT38" s="6">
        <f t="shared" si="61"/>
        <v>0</v>
      </c>
      <c r="DV38" s="6">
        <f t="shared" si="62"/>
        <v>0</v>
      </c>
      <c r="DX38" s="6">
        <f t="shared" si="63"/>
        <v>0</v>
      </c>
      <c r="DZ38" s="6">
        <f t="shared" si="64"/>
        <v>0</v>
      </c>
      <c r="EB38" s="6">
        <f t="shared" si="65"/>
        <v>0</v>
      </c>
      <c r="ED38" s="6">
        <f t="shared" si="66"/>
        <v>0</v>
      </c>
      <c r="EF38" s="6">
        <f t="shared" si="67"/>
        <v>0</v>
      </c>
      <c r="EH38" s="6">
        <f t="shared" si="68"/>
        <v>0</v>
      </c>
      <c r="EJ38" s="6">
        <f t="shared" si="69"/>
        <v>0</v>
      </c>
      <c r="EL38" s="6">
        <f t="shared" ref="EL38:EN38" si="205">IF(EL18="y",1,0)</f>
        <v>0</v>
      </c>
      <c r="EN38" s="6">
        <f t="shared" si="71"/>
        <v>0</v>
      </c>
      <c r="EP38" s="6">
        <f t="shared" si="72"/>
        <v>0</v>
      </c>
      <c r="ER38" s="6">
        <f t="shared" si="73"/>
        <v>0</v>
      </c>
      <c r="ET38" s="6">
        <f t="shared" si="74"/>
        <v>0</v>
      </c>
      <c r="EV38" s="6">
        <f t="shared" si="75"/>
        <v>0</v>
      </c>
      <c r="EX38" s="6">
        <f t="shared" si="76"/>
        <v>0</v>
      </c>
      <c r="EZ38" s="6">
        <f t="shared" si="77"/>
        <v>0</v>
      </c>
      <c r="FB38" s="6">
        <f t="shared" si="78"/>
        <v>0</v>
      </c>
      <c r="FD38" s="6">
        <f t="shared" si="79"/>
        <v>0</v>
      </c>
      <c r="FF38" s="6">
        <f t="shared" ref="FF38:FH38" si="206">IF(FF18="y",1,0)</f>
        <v>0</v>
      </c>
      <c r="FH38" s="6">
        <f t="shared" si="81"/>
        <v>0</v>
      </c>
      <c r="FJ38" s="6">
        <f t="shared" si="82"/>
        <v>0</v>
      </c>
      <c r="FL38" s="6">
        <f t="shared" si="83"/>
        <v>0</v>
      </c>
      <c r="FN38" s="6">
        <f t="shared" si="84"/>
        <v>0</v>
      </c>
      <c r="FP38" s="6">
        <f t="shared" si="85"/>
        <v>0</v>
      </c>
      <c r="FR38" s="6">
        <f t="shared" si="86"/>
        <v>0</v>
      </c>
      <c r="FT38" s="6">
        <f t="shared" si="87"/>
        <v>0</v>
      </c>
      <c r="FV38" s="6">
        <f t="shared" si="88"/>
        <v>0</v>
      </c>
      <c r="FX38" s="6">
        <f t="shared" si="89"/>
        <v>0</v>
      </c>
      <c r="FZ38" s="6">
        <f t="shared" ref="FZ38:GB38" si="207">IF(FZ18="y",1,0)</f>
        <v>0</v>
      </c>
      <c r="GB38" s="6">
        <f t="shared" si="91"/>
        <v>0</v>
      </c>
      <c r="GD38" s="6">
        <f t="shared" si="92"/>
        <v>0</v>
      </c>
      <c r="GF38" s="6">
        <f t="shared" si="93"/>
        <v>0</v>
      </c>
      <c r="GH38" s="6">
        <f t="shared" si="94"/>
        <v>0</v>
      </c>
      <c r="GJ38" s="6">
        <f t="shared" si="95"/>
        <v>0</v>
      </c>
      <c r="GL38" s="6">
        <f t="shared" si="96"/>
        <v>0</v>
      </c>
      <c r="GN38" s="6">
        <f t="shared" si="97"/>
        <v>0</v>
      </c>
      <c r="GP38" s="6">
        <f t="shared" si="98"/>
        <v>0</v>
      </c>
      <c r="GR38" s="6">
        <f t="shared" si="99"/>
        <v>0</v>
      </c>
      <c r="GT38" s="6"/>
      <c r="GV38" s="6"/>
      <c r="GX38" s="6"/>
      <c r="GZ38" s="6"/>
      <c r="HB38" s="6"/>
      <c r="HD38" s="6"/>
      <c r="HF38" s="6"/>
      <c r="HH38" s="6"/>
      <c r="HJ38" s="6"/>
      <c r="HL38" s="6"/>
      <c r="HN38" s="6"/>
      <c r="HP38" s="6"/>
      <c r="HR38" s="6"/>
      <c r="HT38" s="6"/>
      <c r="HV38" s="6"/>
      <c r="HX38" s="6"/>
      <c r="HZ38" s="6"/>
      <c r="IB38" s="6"/>
      <c r="ID38" s="6"/>
      <c r="IF38" s="6"/>
      <c r="IH38" s="6"/>
      <c r="IJ38" s="6"/>
      <c r="IL38" s="6"/>
      <c r="IN38" s="6"/>
      <c r="IP38" s="6"/>
      <c r="IR38" s="6"/>
      <c r="IT38" s="6"/>
      <c r="IV38" s="6"/>
    </row>
    <row r="39" spans="2:256" x14ac:dyDescent="0.25">
      <c r="B39" s="5">
        <f t="shared" si="0"/>
        <v>1</v>
      </c>
      <c r="D39" s="5">
        <f t="shared" ref="D39" si="208">IF(D19="y",1,0)</f>
        <v>1</v>
      </c>
      <c r="F39" s="5">
        <f t="shared" ref="F39" si="209">IF(F19="y",1,0)</f>
        <v>1</v>
      </c>
      <c r="H39" s="5">
        <f t="shared" ref="H39" si="210">IF(H19="y",1,0)</f>
        <v>1</v>
      </c>
      <c r="J39" s="5">
        <f t="shared" ref="J39" si="211">IF(J19="y",1,0)</f>
        <v>1</v>
      </c>
      <c r="L39" s="5">
        <f t="shared" ref="L39" si="212">IF(L19="y",1,0)</f>
        <v>1</v>
      </c>
      <c r="N39" s="5">
        <f t="shared" ref="N39" si="213">IF(N19="y",1,0)</f>
        <v>1</v>
      </c>
      <c r="P39" s="5">
        <f t="shared" ref="P39" si="214">IF(P19="y",1,0)</f>
        <v>1</v>
      </c>
      <c r="R39" s="5">
        <f t="shared" ref="R39" si="215">IF(R19="y",1,0)</f>
        <v>1</v>
      </c>
      <c r="T39" s="5">
        <f t="shared" ref="T39" si="216">IF(T19="y",1,0)</f>
        <v>1</v>
      </c>
      <c r="V39" s="5">
        <f t="shared" ref="V39:X39" si="217">IF(V19="y",1,0)</f>
        <v>1</v>
      </c>
      <c r="X39" s="5">
        <f t="shared" si="11"/>
        <v>1</v>
      </c>
      <c r="Z39" s="5">
        <f t="shared" si="12"/>
        <v>1</v>
      </c>
      <c r="AB39" s="5">
        <f t="shared" si="13"/>
        <v>1</v>
      </c>
      <c r="AD39" s="5">
        <f t="shared" si="14"/>
        <v>1</v>
      </c>
      <c r="AF39" s="5">
        <f t="shared" si="15"/>
        <v>1</v>
      </c>
      <c r="AH39" s="5">
        <f t="shared" si="16"/>
        <v>1</v>
      </c>
      <c r="AJ39" s="5">
        <f t="shared" si="17"/>
        <v>1</v>
      </c>
      <c r="AL39" s="5">
        <f t="shared" si="18"/>
        <v>1</v>
      </c>
      <c r="AN39" s="5">
        <f t="shared" si="19"/>
        <v>1</v>
      </c>
      <c r="AP39" s="5">
        <f t="shared" ref="AP39:AR39" si="218">IF(AP19="y",1,0)</f>
        <v>1</v>
      </c>
      <c r="AR39" s="5">
        <f t="shared" si="21"/>
        <v>1</v>
      </c>
      <c r="AT39" s="5">
        <f t="shared" si="22"/>
        <v>1</v>
      </c>
      <c r="AV39" s="5">
        <f t="shared" si="23"/>
        <v>1</v>
      </c>
      <c r="AX39" s="5">
        <f t="shared" si="24"/>
        <v>1</v>
      </c>
      <c r="AZ39" s="5">
        <f t="shared" si="25"/>
        <v>1</v>
      </c>
      <c r="BB39" s="5">
        <f t="shared" si="26"/>
        <v>1</v>
      </c>
      <c r="BD39" s="5">
        <f t="shared" si="27"/>
        <v>1</v>
      </c>
      <c r="BF39" s="5">
        <f t="shared" si="28"/>
        <v>1</v>
      </c>
      <c r="BH39" s="5">
        <f t="shared" si="29"/>
        <v>1</v>
      </c>
      <c r="BJ39" s="5">
        <f t="shared" ref="BJ39:BL39" si="219">IF(BJ19="y",1,0)</f>
        <v>1</v>
      </c>
      <c r="BL39" s="5">
        <f t="shared" si="31"/>
        <v>1</v>
      </c>
      <c r="BN39" s="5">
        <f t="shared" si="32"/>
        <v>1</v>
      </c>
      <c r="BP39" s="5">
        <f t="shared" si="33"/>
        <v>1</v>
      </c>
      <c r="BR39" s="5">
        <f t="shared" si="34"/>
        <v>1</v>
      </c>
      <c r="BT39" s="5">
        <f t="shared" si="35"/>
        <v>1</v>
      </c>
      <c r="BV39" s="5">
        <f t="shared" si="36"/>
        <v>1</v>
      </c>
      <c r="BX39" s="5">
        <f t="shared" si="37"/>
        <v>1</v>
      </c>
      <c r="BZ39" s="5">
        <f t="shared" si="38"/>
        <v>1</v>
      </c>
      <c r="CB39" s="5">
        <f t="shared" si="39"/>
        <v>1</v>
      </c>
      <c r="CD39" s="5">
        <f t="shared" ref="CD39:CF39" si="220">IF(CD19="y",1,0)</f>
        <v>1</v>
      </c>
      <c r="CF39" s="5">
        <f t="shared" si="41"/>
        <v>1</v>
      </c>
      <c r="CH39" s="5">
        <f t="shared" si="42"/>
        <v>1</v>
      </c>
      <c r="CJ39" s="5">
        <f t="shared" si="43"/>
        <v>1</v>
      </c>
      <c r="CL39" s="5">
        <f t="shared" si="44"/>
        <v>1</v>
      </c>
      <c r="CN39" s="5">
        <f t="shared" si="45"/>
        <v>0</v>
      </c>
      <c r="CP39" s="5">
        <f t="shared" si="46"/>
        <v>1</v>
      </c>
      <c r="CR39" s="5">
        <f t="shared" si="47"/>
        <v>1</v>
      </c>
      <c r="CT39" s="5">
        <f t="shared" si="48"/>
        <v>1</v>
      </c>
      <c r="CV39" s="5">
        <f t="shared" si="49"/>
        <v>1</v>
      </c>
      <c r="CX39" s="5">
        <f t="shared" ref="CX39:CZ39" si="221">IF(CX19="y",1,0)</f>
        <v>1</v>
      </c>
      <c r="CZ39" s="5">
        <f t="shared" si="51"/>
        <v>1</v>
      </c>
      <c r="DB39" s="5">
        <f t="shared" si="52"/>
        <v>1</v>
      </c>
      <c r="DD39" s="5">
        <f t="shared" si="53"/>
        <v>1</v>
      </c>
      <c r="DF39" s="5">
        <f t="shared" si="54"/>
        <v>1</v>
      </c>
      <c r="DH39" s="5">
        <f t="shared" si="55"/>
        <v>1</v>
      </c>
      <c r="DJ39" s="5">
        <f t="shared" si="56"/>
        <v>1</v>
      </c>
      <c r="DL39" s="5">
        <f t="shared" si="57"/>
        <v>1</v>
      </c>
      <c r="DN39" s="5">
        <f t="shared" si="58"/>
        <v>1</v>
      </c>
      <c r="DP39" s="5">
        <f t="shared" si="59"/>
        <v>1</v>
      </c>
      <c r="DR39" s="5">
        <f t="shared" ref="DR39:DT39" si="222">IF(DR19="y",1,0)</f>
        <v>0</v>
      </c>
      <c r="DT39" s="5">
        <f t="shared" si="61"/>
        <v>1</v>
      </c>
      <c r="DV39" s="5">
        <f t="shared" si="62"/>
        <v>1</v>
      </c>
      <c r="DX39" s="5">
        <f t="shared" si="63"/>
        <v>1</v>
      </c>
      <c r="DZ39" s="5">
        <f t="shared" si="64"/>
        <v>1</v>
      </c>
      <c r="EB39" s="5">
        <f t="shared" si="65"/>
        <v>1</v>
      </c>
      <c r="ED39" s="5">
        <f t="shared" si="66"/>
        <v>1</v>
      </c>
      <c r="EF39" s="5">
        <f t="shared" si="67"/>
        <v>1</v>
      </c>
      <c r="EH39" s="5">
        <f t="shared" si="68"/>
        <v>1</v>
      </c>
      <c r="EJ39" s="5">
        <f t="shared" si="69"/>
        <v>1</v>
      </c>
      <c r="EL39" s="5">
        <f t="shared" ref="EL39:EN39" si="223">IF(EL19="y",1,0)</f>
        <v>1</v>
      </c>
      <c r="EN39" s="5">
        <f t="shared" si="71"/>
        <v>1</v>
      </c>
      <c r="EP39" s="5">
        <f t="shared" si="72"/>
        <v>1</v>
      </c>
      <c r="ER39" s="5">
        <f t="shared" si="73"/>
        <v>1</v>
      </c>
      <c r="ET39" s="5">
        <f t="shared" si="74"/>
        <v>1</v>
      </c>
      <c r="EV39" s="5">
        <f t="shared" si="75"/>
        <v>1</v>
      </c>
      <c r="EX39" s="5">
        <f t="shared" si="76"/>
        <v>1</v>
      </c>
      <c r="EZ39" s="5">
        <f t="shared" si="77"/>
        <v>1</v>
      </c>
      <c r="FB39" s="5">
        <f t="shared" si="78"/>
        <v>1</v>
      </c>
      <c r="FD39" s="5">
        <f t="shared" si="79"/>
        <v>1</v>
      </c>
      <c r="FF39" s="5">
        <f t="shared" ref="FF39:FH39" si="224">IF(FF19="y",1,0)</f>
        <v>1</v>
      </c>
      <c r="FH39" s="5">
        <f t="shared" si="81"/>
        <v>1</v>
      </c>
      <c r="FJ39" s="5">
        <f t="shared" si="82"/>
        <v>1</v>
      </c>
      <c r="FL39" s="5">
        <f t="shared" si="83"/>
        <v>1</v>
      </c>
      <c r="FN39" s="5">
        <f t="shared" si="84"/>
        <v>1</v>
      </c>
      <c r="FP39" s="5">
        <f t="shared" si="85"/>
        <v>1</v>
      </c>
      <c r="FR39" s="5">
        <f t="shared" si="86"/>
        <v>1</v>
      </c>
      <c r="FT39" s="5">
        <f t="shared" si="87"/>
        <v>1</v>
      </c>
      <c r="FV39" s="5">
        <f t="shared" si="88"/>
        <v>1</v>
      </c>
      <c r="FX39" s="5">
        <f t="shared" si="89"/>
        <v>1</v>
      </c>
      <c r="FZ39" s="5">
        <f t="shared" ref="FZ39:GB39" si="225">IF(FZ19="y",1,0)</f>
        <v>1</v>
      </c>
      <c r="GB39" s="5">
        <f t="shared" si="91"/>
        <v>1</v>
      </c>
      <c r="GD39" s="5">
        <f t="shared" si="92"/>
        <v>1</v>
      </c>
      <c r="GF39" s="5">
        <f t="shared" si="93"/>
        <v>1</v>
      </c>
      <c r="GH39" s="5">
        <f t="shared" si="94"/>
        <v>1</v>
      </c>
      <c r="GJ39" s="5">
        <f t="shared" si="95"/>
        <v>1</v>
      </c>
      <c r="GL39" s="5">
        <f t="shared" si="96"/>
        <v>1</v>
      </c>
      <c r="GN39" s="5">
        <f t="shared" si="97"/>
        <v>1</v>
      </c>
      <c r="GP39" s="5">
        <f t="shared" si="98"/>
        <v>1</v>
      </c>
      <c r="GR39" s="5">
        <f t="shared" si="99"/>
        <v>1</v>
      </c>
      <c r="GT39" s="5"/>
      <c r="GV39" s="5"/>
      <c r="GX39" s="5"/>
      <c r="GZ39" s="5"/>
      <c r="HB39" s="5"/>
      <c r="HD39" s="5"/>
      <c r="HF39" s="5"/>
      <c r="HH39" s="5"/>
      <c r="HJ39" s="5"/>
      <c r="HL39" s="5"/>
      <c r="HN39" s="5"/>
      <c r="HP39" s="5"/>
      <c r="HR39" s="5"/>
      <c r="HT39" s="5"/>
      <c r="HV39" s="5"/>
      <c r="HX39" s="5"/>
      <c r="HZ39" s="5"/>
      <c r="IB39" s="5"/>
      <c r="ID39" s="5"/>
      <c r="IF39" s="5"/>
      <c r="IH39" s="5"/>
      <c r="IJ39" s="5"/>
      <c r="IL39" s="5"/>
      <c r="IN39" s="5"/>
      <c r="IP39" s="5"/>
      <c r="IR39" s="5"/>
      <c r="IT39" s="5"/>
      <c r="IV39" s="5"/>
    </row>
    <row r="40" spans="2:256" x14ac:dyDescent="0.25">
      <c r="B40" s="6">
        <f t="shared" si="0"/>
        <v>0</v>
      </c>
      <c r="D40" s="6">
        <f t="shared" ref="D40" si="226">IF(D20="y",1,0)</f>
        <v>0</v>
      </c>
      <c r="F40" s="6">
        <f t="shared" ref="F40" si="227">IF(F20="y",1,0)</f>
        <v>0</v>
      </c>
      <c r="H40" s="6">
        <f t="shared" ref="H40" si="228">IF(H20="y",1,0)</f>
        <v>0</v>
      </c>
      <c r="J40" s="6">
        <f t="shared" ref="J40" si="229">IF(J20="y",1,0)</f>
        <v>0</v>
      </c>
      <c r="L40" s="6">
        <f t="shared" ref="L40" si="230">IF(L20="y",1,0)</f>
        <v>0</v>
      </c>
      <c r="N40" s="6">
        <f t="shared" ref="N40" si="231">IF(N20="y",1,0)</f>
        <v>0</v>
      </c>
      <c r="P40" s="6">
        <f t="shared" ref="P40" si="232">IF(P20="y",1,0)</f>
        <v>0</v>
      </c>
      <c r="R40" s="6">
        <f t="shared" ref="R40" si="233">IF(R20="y",1,0)</f>
        <v>0</v>
      </c>
      <c r="T40" s="6">
        <f t="shared" ref="T40" si="234">IF(T20="y",1,0)</f>
        <v>0</v>
      </c>
      <c r="V40" s="6">
        <f t="shared" ref="V40:X40" si="235">IF(V20="y",1,0)</f>
        <v>0</v>
      </c>
      <c r="X40" s="6">
        <f t="shared" si="11"/>
        <v>0</v>
      </c>
      <c r="Z40" s="6">
        <f t="shared" si="12"/>
        <v>0</v>
      </c>
      <c r="AB40" s="6">
        <f t="shared" si="13"/>
        <v>0</v>
      </c>
      <c r="AD40" s="6">
        <f t="shared" si="14"/>
        <v>0</v>
      </c>
      <c r="AF40" s="6">
        <f t="shared" si="15"/>
        <v>0</v>
      </c>
      <c r="AH40" s="6">
        <f t="shared" si="16"/>
        <v>0</v>
      </c>
      <c r="AJ40" s="6">
        <f t="shared" si="17"/>
        <v>0</v>
      </c>
      <c r="AL40" s="6">
        <f t="shared" si="18"/>
        <v>0</v>
      </c>
      <c r="AN40" s="6">
        <f t="shared" si="19"/>
        <v>0</v>
      </c>
      <c r="AP40" s="6">
        <f t="shared" ref="AP40:AR40" si="236">IF(AP20="y",1,0)</f>
        <v>0</v>
      </c>
      <c r="AR40" s="6">
        <f t="shared" si="21"/>
        <v>0</v>
      </c>
      <c r="AT40" s="6">
        <f t="shared" si="22"/>
        <v>0</v>
      </c>
      <c r="AV40" s="6">
        <f t="shared" si="23"/>
        <v>0</v>
      </c>
      <c r="AX40" s="6">
        <f t="shared" si="24"/>
        <v>0</v>
      </c>
      <c r="AZ40" s="6">
        <f t="shared" si="25"/>
        <v>0</v>
      </c>
      <c r="BB40" s="6">
        <f t="shared" si="26"/>
        <v>0</v>
      </c>
      <c r="BD40" s="6">
        <f t="shared" si="27"/>
        <v>0</v>
      </c>
      <c r="BF40" s="6">
        <f t="shared" si="28"/>
        <v>0</v>
      </c>
      <c r="BH40" s="6">
        <f t="shared" si="29"/>
        <v>0</v>
      </c>
      <c r="BJ40" s="6">
        <f t="shared" ref="BJ40:BL40" si="237">IF(BJ20="y",1,0)</f>
        <v>0</v>
      </c>
      <c r="BL40" s="6">
        <f t="shared" si="31"/>
        <v>0</v>
      </c>
      <c r="BN40" s="6">
        <f t="shared" si="32"/>
        <v>0</v>
      </c>
      <c r="BP40" s="6">
        <f t="shared" si="33"/>
        <v>0</v>
      </c>
      <c r="BR40" s="6">
        <f t="shared" si="34"/>
        <v>0</v>
      </c>
      <c r="BT40" s="6">
        <f t="shared" si="35"/>
        <v>0</v>
      </c>
      <c r="BV40" s="6">
        <f t="shared" si="36"/>
        <v>0</v>
      </c>
      <c r="BX40" s="6">
        <f t="shared" si="37"/>
        <v>0</v>
      </c>
      <c r="BZ40" s="6">
        <f t="shared" si="38"/>
        <v>0</v>
      </c>
      <c r="CB40" s="6">
        <f t="shared" si="39"/>
        <v>0</v>
      </c>
      <c r="CD40" s="6">
        <f t="shared" ref="CD40:CF40" si="238">IF(CD20="y",1,0)</f>
        <v>0</v>
      </c>
      <c r="CF40" s="6">
        <f t="shared" si="41"/>
        <v>0</v>
      </c>
      <c r="CH40" s="6">
        <f t="shared" si="42"/>
        <v>0</v>
      </c>
      <c r="CJ40" s="6">
        <f t="shared" si="43"/>
        <v>0</v>
      </c>
      <c r="CL40" s="6">
        <f t="shared" si="44"/>
        <v>0</v>
      </c>
      <c r="CN40" s="6">
        <f t="shared" si="45"/>
        <v>0</v>
      </c>
      <c r="CP40" s="6">
        <f t="shared" si="46"/>
        <v>0</v>
      </c>
      <c r="CR40" s="6">
        <f t="shared" si="47"/>
        <v>0</v>
      </c>
      <c r="CT40" s="6">
        <f t="shared" si="48"/>
        <v>0</v>
      </c>
      <c r="CV40" s="6">
        <f t="shared" si="49"/>
        <v>0</v>
      </c>
      <c r="CX40" s="6">
        <f t="shared" ref="CX40:CZ40" si="239">IF(CX20="y",1,0)</f>
        <v>0</v>
      </c>
      <c r="CZ40" s="6">
        <f t="shared" si="51"/>
        <v>0</v>
      </c>
      <c r="DB40" s="6">
        <f t="shared" si="52"/>
        <v>0</v>
      </c>
      <c r="DD40" s="6">
        <f t="shared" si="53"/>
        <v>0</v>
      </c>
      <c r="DF40" s="6">
        <f t="shared" si="54"/>
        <v>0</v>
      </c>
      <c r="DH40" s="6">
        <f t="shared" si="55"/>
        <v>0</v>
      </c>
      <c r="DJ40" s="6">
        <f t="shared" si="56"/>
        <v>0</v>
      </c>
      <c r="DL40" s="6">
        <f t="shared" si="57"/>
        <v>0</v>
      </c>
      <c r="DN40" s="6">
        <f t="shared" si="58"/>
        <v>0</v>
      </c>
      <c r="DP40" s="6">
        <f t="shared" si="59"/>
        <v>0</v>
      </c>
      <c r="DR40" s="6">
        <f t="shared" ref="DR40:DT40" si="240">IF(DR20="y",1,0)</f>
        <v>0</v>
      </c>
      <c r="DT40" s="6">
        <f t="shared" si="61"/>
        <v>0</v>
      </c>
      <c r="DV40" s="6">
        <f t="shared" si="62"/>
        <v>0</v>
      </c>
      <c r="DX40" s="6">
        <f t="shared" si="63"/>
        <v>0</v>
      </c>
      <c r="DZ40" s="6">
        <f t="shared" si="64"/>
        <v>0</v>
      </c>
      <c r="EB40" s="6">
        <f t="shared" si="65"/>
        <v>0</v>
      </c>
      <c r="ED40" s="6">
        <f t="shared" si="66"/>
        <v>0</v>
      </c>
      <c r="EF40" s="6">
        <f t="shared" si="67"/>
        <v>0</v>
      </c>
      <c r="EH40" s="6">
        <f t="shared" si="68"/>
        <v>0</v>
      </c>
      <c r="EJ40" s="6">
        <f t="shared" si="69"/>
        <v>0</v>
      </c>
      <c r="EL40" s="6">
        <f t="shared" ref="EL40:EN40" si="241">IF(EL20="y",1,0)</f>
        <v>0</v>
      </c>
      <c r="EN40" s="6">
        <f t="shared" si="71"/>
        <v>0</v>
      </c>
      <c r="EP40" s="6">
        <f t="shared" si="72"/>
        <v>0</v>
      </c>
      <c r="ER40" s="6">
        <f t="shared" si="73"/>
        <v>0</v>
      </c>
      <c r="ET40" s="6">
        <f t="shared" si="74"/>
        <v>0</v>
      </c>
      <c r="EV40" s="6">
        <f t="shared" si="75"/>
        <v>0</v>
      </c>
      <c r="EX40" s="6">
        <f t="shared" si="76"/>
        <v>0</v>
      </c>
      <c r="EZ40" s="6">
        <f t="shared" si="77"/>
        <v>0</v>
      </c>
      <c r="FB40" s="6">
        <f t="shared" si="78"/>
        <v>0</v>
      </c>
      <c r="FD40" s="6">
        <f t="shared" si="79"/>
        <v>0</v>
      </c>
      <c r="FF40" s="6">
        <f t="shared" ref="FF40:FH40" si="242">IF(FF20="y",1,0)</f>
        <v>0</v>
      </c>
      <c r="FH40" s="6">
        <f t="shared" si="81"/>
        <v>0</v>
      </c>
      <c r="FJ40" s="6">
        <f t="shared" si="82"/>
        <v>0</v>
      </c>
      <c r="FL40" s="6">
        <f t="shared" si="83"/>
        <v>0</v>
      </c>
      <c r="FN40" s="6">
        <f t="shared" si="84"/>
        <v>0</v>
      </c>
      <c r="FP40" s="6">
        <f t="shared" si="85"/>
        <v>0</v>
      </c>
      <c r="FR40" s="6">
        <f t="shared" si="86"/>
        <v>0</v>
      </c>
      <c r="FT40" s="6">
        <f t="shared" si="87"/>
        <v>0</v>
      </c>
      <c r="FV40" s="6">
        <f t="shared" si="88"/>
        <v>0</v>
      </c>
      <c r="FX40" s="6">
        <f t="shared" si="89"/>
        <v>0</v>
      </c>
      <c r="FZ40" s="6">
        <f t="shared" ref="FZ40:GB40" si="243">IF(FZ20="y",1,0)</f>
        <v>0</v>
      </c>
      <c r="GB40" s="6">
        <f t="shared" si="91"/>
        <v>0</v>
      </c>
      <c r="GD40" s="6">
        <f t="shared" si="92"/>
        <v>0</v>
      </c>
      <c r="GF40" s="6">
        <f t="shared" si="93"/>
        <v>0</v>
      </c>
      <c r="GH40" s="6">
        <f t="shared" si="94"/>
        <v>0</v>
      </c>
      <c r="GJ40" s="6">
        <f t="shared" si="95"/>
        <v>0</v>
      </c>
      <c r="GL40" s="6">
        <f t="shared" si="96"/>
        <v>0</v>
      </c>
      <c r="GN40" s="6">
        <f t="shared" si="97"/>
        <v>0</v>
      </c>
      <c r="GP40" s="6">
        <f t="shared" si="98"/>
        <v>0</v>
      </c>
      <c r="GR40" s="6">
        <f t="shared" si="99"/>
        <v>0</v>
      </c>
      <c r="GT40" s="6"/>
      <c r="GV40" s="6"/>
      <c r="GX40" s="6"/>
      <c r="GZ40" s="6"/>
      <c r="HB40" s="6"/>
      <c r="HD40" s="6"/>
      <c r="HF40" s="6"/>
      <c r="HH40" s="6"/>
      <c r="HJ40" s="6"/>
      <c r="HL40" s="6"/>
      <c r="HN40" s="6"/>
      <c r="HP40" s="6"/>
      <c r="HR40" s="6"/>
      <c r="HT40" s="6"/>
      <c r="HV40" s="6"/>
      <c r="HX40" s="6"/>
      <c r="HZ40" s="6"/>
      <c r="IB40" s="6"/>
      <c r="ID40" s="6"/>
      <c r="IF40" s="6"/>
      <c r="IH40" s="6"/>
      <c r="IJ40" s="6"/>
      <c r="IL40" s="6"/>
      <c r="IN40" s="6"/>
      <c r="IP40" s="6"/>
      <c r="IR40" s="6"/>
      <c r="IT40" s="6"/>
      <c r="IV40" s="6"/>
    </row>
    <row r="41" spans="2:256" x14ac:dyDescent="0.25">
      <c r="B41" s="6">
        <f t="shared" si="0"/>
        <v>0</v>
      </c>
      <c r="D41" s="6">
        <f t="shared" ref="D41" si="244">IF(D21="y",1,0)</f>
        <v>0</v>
      </c>
      <c r="F41" s="6">
        <f t="shared" ref="F41" si="245">IF(F21="y",1,0)</f>
        <v>0</v>
      </c>
      <c r="H41" s="6">
        <f t="shared" ref="H41" si="246">IF(H21="y",1,0)</f>
        <v>0</v>
      </c>
      <c r="J41" s="6">
        <f t="shared" ref="J41" si="247">IF(J21="y",1,0)</f>
        <v>0</v>
      </c>
      <c r="L41" s="6">
        <f t="shared" ref="L41" si="248">IF(L21="y",1,0)</f>
        <v>0</v>
      </c>
      <c r="N41" s="6">
        <f t="shared" ref="N41" si="249">IF(N21="y",1,0)</f>
        <v>0</v>
      </c>
      <c r="P41" s="6">
        <f t="shared" ref="P41" si="250">IF(P21="y",1,0)</f>
        <v>0</v>
      </c>
      <c r="R41" s="6">
        <f t="shared" ref="R41" si="251">IF(R21="y",1,0)</f>
        <v>0</v>
      </c>
      <c r="T41" s="6">
        <f t="shared" ref="T41" si="252">IF(T21="y",1,0)</f>
        <v>0</v>
      </c>
      <c r="V41" s="6">
        <f t="shared" ref="V41:X41" si="253">IF(V21="y",1,0)</f>
        <v>0</v>
      </c>
      <c r="X41" s="6">
        <f t="shared" si="11"/>
        <v>0</v>
      </c>
      <c r="Z41" s="6">
        <f t="shared" si="12"/>
        <v>0</v>
      </c>
      <c r="AB41" s="6">
        <f t="shared" si="13"/>
        <v>0</v>
      </c>
      <c r="AD41" s="6">
        <f t="shared" si="14"/>
        <v>0</v>
      </c>
      <c r="AF41" s="6">
        <f t="shared" si="15"/>
        <v>0</v>
      </c>
      <c r="AH41" s="6">
        <f t="shared" si="16"/>
        <v>0</v>
      </c>
      <c r="AJ41" s="6">
        <f t="shared" si="17"/>
        <v>0</v>
      </c>
      <c r="AL41" s="6">
        <f t="shared" si="18"/>
        <v>0</v>
      </c>
      <c r="AN41" s="6">
        <f t="shared" si="19"/>
        <v>0</v>
      </c>
      <c r="AP41" s="6">
        <f t="shared" ref="AP41:AR41" si="254">IF(AP21="y",1,0)</f>
        <v>0</v>
      </c>
      <c r="AR41" s="6">
        <f t="shared" si="21"/>
        <v>0</v>
      </c>
      <c r="AT41" s="6">
        <f t="shared" si="22"/>
        <v>0</v>
      </c>
      <c r="AV41" s="6">
        <f t="shared" si="23"/>
        <v>0</v>
      </c>
      <c r="AX41" s="6">
        <f t="shared" si="24"/>
        <v>0</v>
      </c>
      <c r="AZ41" s="6">
        <f t="shared" si="25"/>
        <v>0</v>
      </c>
      <c r="BB41" s="6">
        <f t="shared" si="26"/>
        <v>0</v>
      </c>
      <c r="BD41" s="6">
        <f t="shared" si="27"/>
        <v>0</v>
      </c>
      <c r="BF41" s="6">
        <f t="shared" si="28"/>
        <v>0</v>
      </c>
      <c r="BH41" s="6">
        <f t="shared" si="29"/>
        <v>0</v>
      </c>
      <c r="BJ41" s="6">
        <f t="shared" ref="BJ41:BL41" si="255">IF(BJ21="y",1,0)</f>
        <v>0</v>
      </c>
      <c r="BL41" s="6">
        <f t="shared" si="31"/>
        <v>0</v>
      </c>
      <c r="BN41" s="6">
        <f t="shared" si="32"/>
        <v>0</v>
      </c>
      <c r="BP41" s="6">
        <f t="shared" si="33"/>
        <v>0</v>
      </c>
      <c r="BR41" s="6">
        <f t="shared" si="34"/>
        <v>0</v>
      </c>
      <c r="BT41" s="6">
        <f t="shared" si="35"/>
        <v>0</v>
      </c>
      <c r="BV41" s="6">
        <f t="shared" si="36"/>
        <v>0</v>
      </c>
      <c r="BX41" s="6">
        <f t="shared" si="37"/>
        <v>0</v>
      </c>
      <c r="BZ41" s="6">
        <f t="shared" si="38"/>
        <v>0</v>
      </c>
      <c r="CB41" s="6">
        <f t="shared" si="39"/>
        <v>0</v>
      </c>
      <c r="CD41" s="6">
        <f t="shared" ref="CD41:CF41" si="256">IF(CD21="y",1,0)</f>
        <v>0</v>
      </c>
      <c r="CF41" s="6">
        <f t="shared" si="41"/>
        <v>0</v>
      </c>
      <c r="CH41" s="6">
        <f t="shared" si="42"/>
        <v>0</v>
      </c>
      <c r="CJ41" s="6">
        <f t="shared" si="43"/>
        <v>0</v>
      </c>
      <c r="CL41" s="6">
        <f t="shared" si="44"/>
        <v>0</v>
      </c>
      <c r="CN41" s="6">
        <f t="shared" si="45"/>
        <v>0</v>
      </c>
      <c r="CP41" s="6">
        <f t="shared" si="46"/>
        <v>0</v>
      </c>
      <c r="CR41" s="6">
        <f t="shared" si="47"/>
        <v>0</v>
      </c>
      <c r="CT41" s="6">
        <f t="shared" si="48"/>
        <v>0</v>
      </c>
      <c r="CV41" s="6">
        <f t="shared" si="49"/>
        <v>0</v>
      </c>
      <c r="CX41" s="6">
        <f t="shared" ref="CX41:CZ41" si="257">IF(CX21="y",1,0)</f>
        <v>0</v>
      </c>
      <c r="CZ41" s="6">
        <f t="shared" si="51"/>
        <v>0</v>
      </c>
      <c r="DB41" s="6">
        <f t="shared" si="52"/>
        <v>0</v>
      </c>
      <c r="DD41" s="6">
        <f t="shared" si="53"/>
        <v>0</v>
      </c>
      <c r="DF41" s="6">
        <f t="shared" si="54"/>
        <v>0</v>
      </c>
      <c r="DH41" s="6">
        <f t="shared" si="55"/>
        <v>0</v>
      </c>
      <c r="DJ41" s="6">
        <f t="shared" si="56"/>
        <v>0</v>
      </c>
      <c r="DL41" s="6">
        <f t="shared" si="57"/>
        <v>0</v>
      </c>
      <c r="DN41" s="6">
        <f t="shared" si="58"/>
        <v>0</v>
      </c>
      <c r="DP41" s="6">
        <f t="shared" si="59"/>
        <v>0</v>
      </c>
      <c r="DR41" s="6">
        <f t="shared" ref="DR41:DT41" si="258">IF(DR21="y",1,0)</f>
        <v>0</v>
      </c>
      <c r="DT41" s="6">
        <f t="shared" si="61"/>
        <v>0</v>
      </c>
      <c r="DV41" s="6">
        <f t="shared" si="62"/>
        <v>0</v>
      </c>
      <c r="DX41" s="6">
        <f t="shared" si="63"/>
        <v>0</v>
      </c>
      <c r="DZ41" s="6">
        <f t="shared" si="64"/>
        <v>0</v>
      </c>
      <c r="EB41" s="6">
        <f t="shared" si="65"/>
        <v>0</v>
      </c>
      <c r="ED41" s="6">
        <f t="shared" si="66"/>
        <v>0</v>
      </c>
      <c r="EF41" s="6">
        <f t="shared" si="67"/>
        <v>0</v>
      </c>
      <c r="EH41" s="6">
        <f t="shared" si="68"/>
        <v>0</v>
      </c>
      <c r="EJ41" s="6">
        <f t="shared" si="69"/>
        <v>0</v>
      </c>
      <c r="EL41" s="6">
        <f t="shared" ref="EL41:EN41" si="259">IF(EL21="y",1,0)</f>
        <v>0</v>
      </c>
      <c r="EN41" s="6">
        <f t="shared" si="71"/>
        <v>0</v>
      </c>
      <c r="EP41" s="6">
        <f t="shared" si="72"/>
        <v>0</v>
      </c>
      <c r="ER41" s="6">
        <f t="shared" si="73"/>
        <v>0</v>
      </c>
      <c r="ET41" s="6">
        <f t="shared" si="74"/>
        <v>0</v>
      </c>
      <c r="EV41" s="6">
        <f t="shared" si="75"/>
        <v>0</v>
      </c>
      <c r="EX41" s="6">
        <f t="shared" si="76"/>
        <v>0</v>
      </c>
      <c r="EZ41" s="6">
        <f t="shared" si="77"/>
        <v>0</v>
      </c>
      <c r="FB41" s="6">
        <f t="shared" si="78"/>
        <v>0</v>
      </c>
      <c r="FD41" s="6">
        <f t="shared" si="79"/>
        <v>0</v>
      </c>
      <c r="FF41" s="6">
        <f t="shared" ref="FF41:FH41" si="260">IF(FF21="y",1,0)</f>
        <v>0</v>
      </c>
      <c r="FH41" s="6">
        <f t="shared" si="81"/>
        <v>0</v>
      </c>
      <c r="FJ41" s="6">
        <f t="shared" si="82"/>
        <v>0</v>
      </c>
      <c r="FL41" s="6">
        <f t="shared" si="83"/>
        <v>0</v>
      </c>
      <c r="FN41" s="6">
        <f t="shared" si="84"/>
        <v>0</v>
      </c>
      <c r="FP41" s="6">
        <f t="shared" si="85"/>
        <v>0</v>
      </c>
      <c r="FR41" s="6">
        <f t="shared" si="86"/>
        <v>0</v>
      </c>
      <c r="FT41" s="6">
        <f t="shared" si="87"/>
        <v>0</v>
      </c>
      <c r="FV41" s="6">
        <f t="shared" si="88"/>
        <v>0</v>
      </c>
      <c r="FX41" s="6">
        <f t="shared" si="89"/>
        <v>0</v>
      </c>
      <c r="FZ41" s="6">
        <f t="shared" ref="FZ41:GB41" si="261">IF(FZ21="y",1,0)</f>
        <v>0</v>
      </c>
      <c r="GB41" s="6">
        <f t="shared" si="91"/>
        <v>0</v>
      </c>
      <c r="GD41" s="6">
        <f t="shared" si="92"/>
        <v>0</v>
      </c>
      <c r="GF41" s="6">
        <f t="shared" si="93"/>
        <v>0</v>
      </c>
      <c r="GH41" s="6">
        <f t="shared" si="94"/>
        <v>0</v>
      </c>
      <c r="GJ41" s="6">
        <f t="shared" si="95"/>
        <v>0</v>
      </c>
      <c r="GL41" s="6">
        <f t="shared" si="96"/>
        <v>0</v>
      </c>
      <c r="GN41" s="6">
        <f t="shared" si="97"/>
        <v>0</v>
      </c>
      <c r="GP41" s="6">
        <f t="shared" si="98"/>
        <v>0</v>
      </c>
      <c r="GR41" s="6">
        <f t="shared" si="99"/>
        <v>0</v>
      </c>
      <c r="GT41" s="6"/>
      <c r="GV41" s="6"/>
      <c r="GX41" s="6"/>
      <c r="GZ41" s="6"/>
      <c r="HB41" s="6"/>
      <c r="HD41" s="6"/>
      <c r="HF41" s="6"/>
      <c r="HH41" s="6"/>
      <c r="HJ41" s="6"/>
      <c r="HL41" s="6"/>
      <c r="HN41" s="6"/>
      <c r="HP41" s="6"/>
      <c r="HR41" s="6"/>
      <c r="HT41" s="6"/>
      <c r="HV41" s="6"/>
      <c r="HX41" s="6"/>
      <c r="HZ41" s="6"/>
      <c r="IB41" s="6"/>
      <c r="ID41" s="6"/>
      <c r="IF41" s="6"/>
      <c r="IH41" s="6"/>
      <c r="IJ41" s="6"/>
      <c r="IL41" s="6"/>
      <c r="IN41" s="6"/>
      <c r="IP41" s="6"/>
      <c r="IR41" s="6"/>
      <c r="IT41" s="6"/>
      <c r="IV41" s="6"/>
    </row>
    <row r="42" spans="2:256" x14ac:dyDescent="0.25">
      <c r="B42" s="5">
        <f t="shared" si="0"/>
        <v>1</v>
      </c>
      <c r="D42" s="5">
        <f t="shared" ref="D42" si="262">IF(D22="y",1,0)</f>
        <v>1</v>
      </c>
      <c r="F42" s="5">
        <f t="shared" ref="F42" si="263">IF(F22="y",1,0)</f>
        <v>1</v>
      </c>
      <c r="H42" s="5">
        <f t="shared" ref="H42" si="264">IF(H22="y",1,0)</f>
        <v>1</v>
      </c>
      <c r="J42" s="5">
        <f t="shared" ref="J42" si="265">IF(J22="y",1,0)</f>
        <v>1</v>
      </c>
      <c r="L42" s="5">
        <f t="shared" ref="L42" si="266">IF(L22="y",1,0)</f>
        <v>1</v>
      </c>
      <c r="N42" s="5">
        <f t="shared" ref="N42" si="267">IF(N22="y",1,0)</f>
        <v>1</v>
      </c>
      <c r="P42" s="5">
        <f t="shared" ref="P42" si="268">IF(P22="y",1,0)</f>
        <v>1</v>
      </c>
      <c r="R42" s="5">
        <f t="shared" ref="R42" si="269">IF(R22="y",1,0)</f>
        <v>1</v>
      </c>
      <c r="T42" s="5">
        <f t="shared" ref="T42" si="270">IF(T22="y",1,0)</f>
        <v>0</v>
      </c>
      <c r="V42" s="5">
        <f t="shared" ref="V42:X42" si="271">IF(V22="y",1,0)</f>
        <v>1</v>
      </c>
      <c r="X42" s="5">
        <f t="shared" si="11"/>
        <v>1</v>
      </c>
      <c r="Z42" s="5">
        <f t="shared" si="12"/>
        <v>1</v>
      </c>
      <c r="AB42" s="5">
        <f t="shared" si="13"/>
        <v>1</v>
      </c>
      <c r="AD42" s="5">
        <f t="shared" si="14"/>
        <v>1</v>
      </c>
      <c r="AF42" s="5">
        <f t="shared" si="15"/>
        <v>1</v>
      </c>
      <c r="AH42" s="5">
        <f t="shared" si="16"/>
        <v>1</v>
      </c>
      <c r="AJ42" s="5">
        <f t="shared" si="17"/>
        <v>1</v>
      </c>
      <c r="AL42" s="5">
        <f t="shared" si="18"/>
        <v>1</v>
      </c>
      <c r="AN42" s="5">
        <f t="shared" si="19"/>
        <v>1</v>
      </c>
      <c r="AP42" s="5">
        <f t="shared" ref="AP42:AR42" si="272">IF(AP22="y",1,0)</f>
        <v>1</v>
      </c>
      <c r="AR42" s="5">
        <f t="shared" si="21"/>
        <v>1</v>
      </c>
      <c r="AT42" s="5">
        <f t="shared" si="22"/>
        <v>1</v>
      </c>
      <c r="AV42" s="5">
        <f t="shared" si="23"/>
        <v>1</v>
      </c>
      <c r="AX42" s="5">
        <f t="shared" si="24"/>
        <v>1</v>
      </c>
      <c r="AZ42" s="5">
        <f t="shared" si="25"/>
        <v>1</v>
      </c>
      <c r="BB42" s="5">
        <f t="shared" si="26"/>
        <v>1</v>
      </c>
      <c r="BD42" s="5">
        <f t="shared" si="27"/>
        <v>1</v>
      </c>
      <c r="BF42" s="5">
        <f t="shared" si="28"/>
        <v>1</v>
      </c>
      <c r="BH42" s="5">
        <f t="shared" si="29"/>
        <v>1</v>
      </c>
      <c r="BJ42" s="5">
        <f t="shared" ref="BJ42:BL42" si="273">IF(BJ22="y",1,0)</f>
        <v>1</v>
      </c>
      <c r="BL42" s="5">
        <f t="shared" si="31"/>
        <v>1</v>
      </c>
      <c r="BN42" s="5">
        <f t="shared" si="32"/>
        <v>1</v>
      </c>
      <c r="BP42" s="5">
        <f t="shared" si="33"/>
        <v>1</v>
      </c>
      <c r="BR42" s="5">
        <f t="shared" si="34"/>
        <v>1</v>
      </c>
      <c r="BT42" s="5">
        <f t="shared" si="35"/>
        <v>1</v>
      </c>
      <c r="BV42" s="5">
        <f t="shared" si="36"/>
        <v>1</v>
      </c>
      <c r="BX42" s="5">
        <f t="shared" si="37"/>
        <v>1</v>
      </c>
      <c r="BZ42" s="5">
        <f t="shared" si="38"/>
        <v>1</v>
      </c>
      <c r="CB42" s="5">
        <f t="shared" si="39"/>
        <v>1</v>
      </c>
      <c r="CD42" s="5">
        <f t="shared" ref="CD42:CF42" si="274">IF(CD22="y",1,0)</f>
        <v>1</v>
      </c>
      <c r="CF42" s="5">
        <f t="shared" si="41"/>
        <v>1</v>
      </c>
      <c r="CH42" s="5">
        <f t="shared" si="42"/>
        <v>1</v>
      </c>
      <c r="CJ42" s="5">
        <f t="shared" si="43"/>
        <v>1</v>
      </c>
      <c r="CL42" s="5">
        <f t="shared" si="44"/>
        <v>1</v>
      </c>
      <c r="CN42" s="5">
        <f t="shared" si="45"/>
        <v>1</v>
      </c>
      <c r="CP42" s="5">
        <f t="shared" si="46"/>
        <v>1</v>
      </c>
      <c r="CR42" s="5">
        <f t="shared" si="47"/>
        <v>1</v>
      </c>
      <c r="CT42" s="5">
        <f t="shared" si="48"/>
        <v>1</v>
      </c>
      <c r="CV42" s="5">
        <f t="shared" si="49"/>
        <v>1</v>
      </c>
      <c r="CX42" s="5">
        <f t="shared" ref="CX42:CZ42" si="275">IF(CX22="y",1,0)</f>
        <v>1</v>
      </c>
      <c r="CZ42" s="5">
        <f t="shared" si="51"/>
        <v>1</v>
      </c>
      <c r="DB42" s="5">
        <f t="shared" si="52"/>
        <v>1</v>
      </c>
      <c r="DD42" s="5">
        <f t="shared" si="53"/>
        <v>1</v>
      </c>
      <c r="DF42" s="5">
        <f t="shared" si="54"/>
        <v>1</v>
      </c>
      <c r="DH42" s="5">
        <f t="shared" si="55"/>
        <v>1</v>
      </c>
      <c r="DJ42" s="5">
        <f t="shared" si="56"/>
        <v>1</v>
      </c>
      <c r="DL42" s="5">
        <f t="shared" si="57"/>
        <v>1</v>
      </c>
      <c r="DN42" s="5">
        <f t="shared" si="58"/>
        <v>1</v>
      </c>
      <c r="DP42" s="5">
        <f t="shared" si="59"/>
        <v>1</v>
      </c>
      <c r="DR42" s="5">
        <f t="shared" ref="DR42:DT42" si="276">IF(DR22="y",1,0)</f>
        <v>1</v>
      </c>
      <c r="DT42" s="5">
        <f t="shared" si="61"/>
        <v>1</v>
      </c>
      <c r="DV42" s="5">
        <f t="shared" si="62"/>
        <v>1</v>
      </c>
      <c r="DX42" s="5">
        <f t="shared" si="63"/>
        <v>1</v>
      </c>
      <c r="DZ42" s="5">
        <f t="shared" si="64"/>
        <v>1</v>
      </c>
      <c r="EB42" s="5">
        <f t="shared" si="65"/>
        <v>1</v>
      </c>
      <c r="ED42" s="5">
        <f t="shared" si="66"/>
        <v>1</v>
      </c>
      <c r="EF42" s="5">
        <f t="shared" si="67"/>
        <v>1</v>
      </c>
      <c r="EH42" s="5">
        <f t="shared" si="68"/>
        <v>1</v>
      </c>
      <c r="EJ42" s="5">
        <f t="shared" si="69"/>
        <v>1</v>
      </c>
      <c r="EL42" s="5">
        <f t="shared" ref="EL42:EN42" si="277">IF(EL22="y",1,0)</f>
        <v>1</v>
      </c>
      <c r="EN42" s="5">
        <f t="shared" si="71"/>
        <v>1</v>
      </c>
      <c r="EP42" s="5">
        <f t="shared" si="72"/>
        <v>1</v>
      </c>
      <c r="ER42" s="5">
        <f t="shared" si="73"/>
        <v>1</v>
      </c>
      <c r="ET42" s="5">
        <f t="shared" si="74"/>
        <v>1</v>
      </c>
      <c r="EV42" s="5">
        <f t="shared" si="75"/>
        <v>1</v>
      </c>
      <c r="EX42" s="5">
        <f t="shared" si="76"/>
        <v>1</v>
      </c>
      <c r="EZ42" s="5">
        <f t="shared" si="77"/>
        <v>1</v>
      </c>
      <c r="FB42" s="5">
        <f t="shared" si="78"/>
        <v>1</v>
      </c>
      <c r="FD42" s="5">
        <f t="shared" si="79"/>
        <v>1</v>
      </c>
      <c r="FF42" s="5">
        <f t="shared" ref="FF42:FH42" si="278">IF(FF22="y",1,0)</f>
        <v>1</v>
      </c>
      <c r="FH42" s="5">
        <f t="shared" si="81"/>
        <v>1</v>
      </c>
      <c r="FJ42" s="5">
        <f t="shared" si="82"/>
        <v>1</v>
      </c>
      <c r="FL42" s="5">
        <f t="shared" si="83"/>
        <v>1</v>
      </c>
      <c r="FN42" s="5">
        <f t="shared" si="84"/>
        <v>1</v>
      </c>
      <c r="FP42" s="5">
        <f t="shared" si="85"/>
        <v>1</v>
      </c>
      <c r="FR42" s="5">
        <f t="shared" si="86"/>
        <v>0</v>
      </c>
      <c r="FT42" s="5">
        <f t="shared" si="87"/>
        <v>1</v>
      </c>
      <c r="FV42" s="5">
        <f t="shared" si="88"/>
        <v>1</v>
      </c>
      <c r="FX42" s="5">
        <f t="shared" si="89"/>
        <v>1</v>
      </c>
      <c r="FZ42" s="5">
        <f t="shared" ref="FZ42:GB42" si="279">IF(FZ22="y",1,0)</f>
        <v>1</v>
      </c>
      <c r="GB42" s="5">
        <f t="shared" si="91"/>
        <v>1</v>
      </c>
      <c r="GD42" s="5">
        <f t="shared" si="92"/>
        <v>1</v>
      </c>
      <c r="GF42" s="5">
        <f t="shared" si="93"/>
        <v>1</v>
      </c>
      <c r="GH42" s="5">
        <f t="shared" si="94"/>
        <v>1</v>
      </c>
      <c r="GJ42" s="5">
        <f t="shared" si="95"/>
        <v>1</v>
      </c>
      <c r="GL42" s="5">
        <f t="shared" si="96"/>
        <v>1</v>
      </c>
      <c r="GN42" s="5">
        <f t="shared" si="97"/>
        <v>1</v>
      </c>
      <c r="GP42" s="5">
        <f t="shared" si="98"/>
        <v>1</v>
      </c>
      <c r="GR42" s="5">
        <f t="shared" si="99"/>
        <v>1</v>
      </c>
      <c r="GT42" s="5"/>
      <c r="GV42" s="5"/>
      <c r="GX42" s="5"/>
      <c r="GZ42" s="5"/>
      <c r="HB42" s="5"/>
      <c r="HD42" s="5"/>
      <c r="HF42" s="5"/>
      <c r="HH42" s="5"/>
      <c r="HJ42" s="5"/>
      <c r="HL42" s="5"/>
      <c r="HN42" s="5"/>
      <c r="HP42" s="5"/>
      <c r="HR42" s="5"/>
      <c r="HT42" s="5"/>
      <c r="HV42" s="5"/>
      <c r="HX42" s="5"/>
      <c r="HZ42" s="5"/>
      <c r="IB42" s="5"/>
      <c r="ID42" s="5"/>
      <c r="IF42" s="5"/>
      <c r="IH42" s="5"/>
      <c r="IJ42" s="5"/>
      <c r="IL42" s="5"/>
      <c r="IN42" s="5"/>
      <c r="IP42" s="5"/>
      <c r="IR42" s="5"/>
      <c r="IT42" s="5"/>
      <c r="IV42" s="5"/>
    </row>
    <row r="44" spans="2:256" x14ac:dyDescent="0.25">
      <c r="E44" t="s">
        <v>2927</v>
      </c>
    </row>
    <row r="45" spans="2:256" x14ac:dyDescent="0.25">
      <c r="C45">
        <v>0</v>
      </c>
      <c r="D45">
        <v>1</v>
      </c>
      <c r="E45">
        <v>2</v>
      </c>
      <c r="F45">
        <v>3</v>
      </c>
      <c r="G45">
        <v>4</v>
      </c>
      <c r="H45">
        <v>5</v>
      </c>
      <c r="I45">
        <v>6</v>
      </c>
    </row>
    <row r="46" spans="2:256" x14ac:dyDescent="0.25">
      <c r="B46">
        <v>0</v>
      </c>
      <c r="C46">
        <v>7.0000000000000007E-2</v>
      </c>
      <c r="D46">
        <v>0.19</v>
      </c>
      <c r="E46">
        <v>0.28000000000000003</v>
      </c>
      <c r="F46">
        <v>0.35</v>
      </c>
      <c r="G46">
        <v>0.41</v>
      </c>
      <c r="H46">
        <v>0.46</v>
      </c>
      <c r="I46">
        <v>0.5</v>
      </c>
    </row>
    <row r="47" spans="2:256" x14ac:dyDescent="0.25">
      <c r="B47">
        <v>1</v>
      </c>
      <c r="C47">
        <v>0.08</v>
      </c>
      <c r="D47">
        <v>0.21</v>
      </c>
      <c r="E47">
        <v>0.31</v>
      </c>
      <c r="F47">
        <v>0.39</v>
      </c>
      <c r="G47">
        <v>0.45</v>
      </c>
      <c r="H47">
        <v>0.5</v>
      </c>
      <c r="I47">
        <v>0.54</v>
      </c>
    </row>
    <row r="48" spans="2:256" x14ac:dyDescent="0.25">
      <c r="B48">
        <v>2</v>
      </c>
      <c r="C48">
        <v>0.1</v>
      </c>
      <c r="D48">
        <v>0.25</v>
      </c>
      <c r="E48">
        <v>0.36</v>
      </c>
      <c r="F48">
        <v>0.44</v>
      </c>
      <c r="G48">
        <v>0.5</v>
      </c>
      <c r="H48">
        <v>0.55000000000000004</v>
      </c>
      <c r="I48">
        <v>0.59</v>
      </c>
    </row>
    <row r="49" spans="1:9" x14ac:dyDescent="0.25">
      <c r="A49" t="s">
        <v>2928</v>
      </c>
      <c r="B49">
        <v>3</v>
      </c>
      <c r="C49">
        <v>0.13</v>
      </c>
      <c r="D49">
        <v>0.3</v>
      </c>
      <c r="E49">
        <v>0.42</v>
      </c>
      <c r="F49">
        <v>0.5</v>
      </c>
      <c r="G49">
        <v>0.56000000000000005</v>
      </c>
      <c r="H49">
        <v>0.61</v>
      </c>
      <c r="I49">
        <v>0.65</v>
      </c>
    </row>
    <row r="50" spans="1:9" x14ac:dyDescent="0.25">
      <c r="B50">
        <v>4</v>
      </c>
      <c r="C50">
        <v>0.17</v>
      </c>
      <c r="D50">
        <v>0.38</v>
      </c>
      <c r="E50">
        <v>0.5</v>
      </c>
      <c r="F50">
        <v>0.57999999999999996</v>
      </c>
      <c r="G50">
        <v>0.64</v>
      </c>
      <c r="H50">
        <v>0.69</v>
      </c>
      <c r="I50">
        <v>0.72</v>
      </c>
    </row>
    <row r="51" spans="1:9" x14ac:dyDescent="0.25">
      <c r="B51">
        <v>5</v>
      </c>
      <c r="C51">
        <v>0.25</v>
      </c>
      <c r="D51">
        <v>0.5</v>
      </c>
      <c r="E51">
        <v>0.63</v>
      </c>
      <c r="F51">
        <v>0.7</v>
      </c>
      <c r="G51">
        <v>0.75</v>
      </c>
      <c r="H51">
        <v>0.79</v>
      </c>
      <c r="I51">
        <v>0.81</v>
      </c>
    </row>
    <row r="52" spans="1:9" x14ac:dyDescent="0.25">
      <c r="B52">
        <v>6</v>
      </c>
      <c r="C52">
        <v>0.5</v>
      </c>
      <c r="D52">
        <v>0.75</v>
      </c>
      <c r="E52">
        <v>0.83</v>
      </c>
      <c r="F52">
        <v>0.88</v>
      </c>
      <c r="G52">
        <v>0.9</v>
      </c>
      <c r="H52">
        <v>0.92</v>
      </c>
      <c r="I52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</vt:lpstr>
      <vt:lpstr>Sheet1</vt:lpstr>
      <vt:lpstr>Sheet2</vt:lpstr>
      <vt:lpstr>master_raw</vt:lpstr>
      <vt:lpstr>master_new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Ronayne</cp:lastModifiedBy>
  <dcterms:created xsi:type="dcterms:W3CDTF">2024-03-01T01:08:22Z</dcterms:created>
  <dcterms:modified xsi:type="dcterms:W3CDTF">2024-03-01T02:43:58Z</dcterms:modified>
</cp:coreProperties>
</file>