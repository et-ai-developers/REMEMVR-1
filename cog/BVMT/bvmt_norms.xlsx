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133" documentId="8_{00F3EBD8-5EFE-4F41-A01B-D3B0D2F02D0B}" xr6:coauthVersionLast="47" xr6:coauthVersionMax="47" xr10:uidLastSave="{E311A93F-7881-4798-B67B-D39CDE4E2591}"/>
  <bookViews>
    <workbookView xWindow="-120" yWindow="-120" windowWidth="29040" windowHeight="15720" activeTab="1" xr2:uid="{615695ED-E310-4185-AB9C-307DEEDA9A33}"/>
  </bookViews>
  <sheets>
    <sheet name="norms_raw" sheetId="2" r:id="rId1"/>
    <sheet name="norms_m" sheetId="3" r:id="rId2"/>
    <sheet name="norms_sd" sheetId="4" r:id="rId3"/>
    <sheet name="data_m" sheetId="5" r:id="rId4"/>
    <sheet name="data_s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  <c r="C33" i="2" s="1"/>
  <c r="C35" i="2" s="1"/>
  <c r="C37" i="2" s="1"/>
  <c r="C39" i="2" s="1"/>
  <c r="C41" i="2" s="1"/>
  <c r="C43" i="2" s="1"/>
  <c r="C45" i="2" s="1"/>
  <c r="C47" i="2" s="1"/>
  <c r="C49" i="2" s="1"/>
  <c r="C51" i="2" s="1"/>
  <c r="C53" i="2" s="1"/>
  <c r="C55" i="2" s="1"/>
  <c r="C57" i="2" s="1"/>
  <c r="C4" i="2"/>
  <c r="C6" i="2" s="1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C32" i="2" s="1"/>
  <c r="C34" i="2" s="1"/>
  <c r="C36" i="2" s="1"/>
  <c r="C38" i="2" s="1"/>
  <c r="C40" i="2" s="1"/>
  <c r="C42" i="2" s="1"/>
  <c r="C44" i="2" s="1"/>
  <c r="C46" i="2" s="1"/>
  <c r="C48" i="2" s="1"/>
  <c r="C50" i="2" s="1"/>
  <c r="C52" i="2" s="1"/>
  <c r="C54" i="2" s="1"/>
  <c r="C56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B40" i="2" s="1"/>
  <c r="B42" i="2" s="1"/>
  <c r="B44" i="2" s="1"/>
  <c r="B46" i="2" s="1"/>
  <c r="B48" i="2" s="1"/>
  <c r="B50" i="2" s="1"/>
  <c r="B52" i="2" s="1"/>
  <c r="B54" i="2" s="1"/>
  <c r="B56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38" i="2" s="1"/>
  <c r="A40" i="2" s="1"/>
  <c r="A42" i="2" s="1"/>
  <c r="A44" i="2" s="1"/>
  <c r="A46" i="2" s="1"/>
  <c r="A48" i="2" s="1"/>
  <c r="A50" i="2" s="1"/>
  <c r="A52" i="2" s="1"/>
  <c r="A54" i="2" s="1"/>
  <c r="A56" i="2" s="1"/>
  <c r="B3" i="2"/>
  <c r="B5" i="2" s="1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33" i="2" s="1"/>
  <c r="B35" i="2" s="1"/>
  <c r="B37" i="2" s="1"/>
  <c r="B39" i="2" s="1"/>
  <c r="B41" i="2" s="1"/>
  <c r="B43" i="2" s="1"/>
  <c r="B45" i="2" s="1"/>
  <c r="B47" i="2" s="1"/>
  <c r="B49" i="2" s="1"/>
  <c r="B51" i="2" s="1"/>
  <c r="B53" i="2" s="1"/>
  <c r="B55" i="2" s="1"/>
  <c r="B57" i="2" s="1"/>
  <c r="A3" i="2"/>
  <c r="A5" i="2" s="1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</calcChain>
</file>

<file path=xl/sharedStrings.xml><?xml version="1.0" encoding="utf-8"?>
<sst xmlns="http://schemas.openxmlformats.org/spreadsheetml/2006/main" count="78" uniqueCount="30">
  <si>
    <t>type</t>
  </si>
  <si>
    <t>m</t>
  </si>
  <si>
    <t>sd</t>
  </si>
  <si>
    <t>age</t>
  </si>
  <si>
    <t>education</t>
  </si>
  <si>
    <t>t1</t>
  </si>
  <si>
    <t>t2</t>
  </si>
  <si>
    <t>t3</t>
  </si>
  <si>
    <t>total_recall</t>
  </si>
  <si>
    <t>learning</t>
  </si>
  <si>
    <t>delayed_recall</t>
  </si>
  <si>
    <t>percent_retained</t>
  </si>
  <si>
    <t>hits</t>
  </si>
  <si>
    <t>false_alarms</t>
  </si>
  <si>
    <t>discrimination_index</t>
  </si>
  <si>
    <t>response_bias</t>
  </si>
  <si>
    <t>age_low</t>
  </si>
  <si>
    <t>age_high</t>
  </si>
  <si>
    <t>BVMT_t1</t>
  </si>
  <si>
    <t>BVMT_t2</t>
  </si>
  <si>
    <t>BVMT_t3</t>
  </si>
  <si>
    <t>BVMT_total_recall</t>
  </si>
  <si>
    <t>BVMT_learning</t>
  </si>
  <si>
    <t>BVMT_delayed_recall</t>
  </si>
  <si>
    <t>BVMT_percent_retained</t>
  </si>
  <si>
    <t>BVMT_hits</t>
  </si>
  <si>
    <t>BVMT_false_alarms</t>
  </si>
  <si>
    <t>BVMT_discrimination_index</t>
  </si>
  <si>
    <t>BVMT_response_bias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</si>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</sst>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D929-D7CE-4254-A666-E615E59A1468}">
  <dimension ref="A1:P57"/>
  <sheetViews>
    <sheetView workbookViewId="0">
      <selection activeCell="G10" sqref="G10"/>
    </sheetView>
  </sheetViews>
  <sheetFormatPr defaultRowHeight="15" x14ac:dyDescent="0.25"/>
  <cols>
    <col min="1" max="2" width="5.140625" style="1" bestFit="1" customWidth="1"/>
    <col min="3" max="3" width="4.5703125" style="1" bestFit="1" customWidth="1"/>
    <col min="4" max="4" width="6" style="1" bestFit="1" customWidth="1"/>
    <col min="5" max="5" width="9.85546875" style="1" bestFit="1" customWidth="1"/>
    <col min="6" max="6" width="5" style="1" bestFit="1" customWidth="1"/>
    <col min="7" max="8" width="6" style="1" bestFit="1" customWidth="1"/>
    <col min="9" max="9" width="10.85546875" style="1" bestFit="1" customWidth="1"/>
    <col min="10" max="10" width="8.28515625" style="1" bestFit="1" customWidth="1"/>
    <col min="11" max="11" width="13.85546875" style="1" bestFit="1" customWidth="1"/>
    <col min="12" max="12" width="15.85546875" style="1" bestFit="1" customWidth="1"/>
    <col min="13" max="13" width="5" style="1" bestFit="1" customWidth="1"/>
    <col min="14" max="14" width="12.42578125" style="1" bestFit="1" customWidth="1"/>
    <col min="15" max="15" width="19.85546875" style="1" bestFit="1" customWidth="1"/>
    <col min="16" max="16" width="14" style="1" bestFit="1" customWidth="1"/>
    <col min="17" max="16384" width="9.140625" style="1"/>
  </cols>
  <sheetData>
    <row r="1" spans="1:16" x14ac:dyDescent="0.25">
      <c r="A1" s="1" t="s">
        <v>16</v>
      </c>
      <c r="B1" s="1" t="s">
        <v>17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18</v>
      </c>
      <c r="B2" s="1">
        <v>22</v>
      </c>
      <c r="C2" s="1" t="s">
        <v>1</v>
      </c>
      <c r="D2" s="1">
        <v>19.14</v>
      </c>
      <c r="E2" s="1">
        <v>12.59</v>
      </c>
      <c r="F2" s="1">
        <v>7.49</v>
      </c>
      <c r="G2" s="1">
        <v>10.14</v>
      </c>
      <c r="H2" s="1">
        <v>11.1</v>
      </c>
      <c r="I2" s="1">
        <v>28.74</v>
      </c>
      <c r="J2" s="1">
        <v>3.63</v>
      </c>
      <c r="K2" s="1">
        <v>10.79</v>
      </c>
      <c r="L2" s="1">
        <v>95.34</v>
      </c>
      <c r="M2" s="1">
        <v>5.93</v>
      </c>
      <c r="N2" s="1">
        <v>0.02</v>
      </c>
      <c r="O2" s="1">
        <v>5.91</v>
      </c>
      <c r="P2" s="1">
        <v>0.49</v>
      </c>
    </row>
    <row r="3" spans="1:16" x14ac:dyDescent="0.25">
      <c r="A3" s="1">
        <f>A2</f>
        <v>18</v>
      </c>
      <c r="B3" s="1">
        <f>B2</f>
        <v>22</v>
      </c>
      <c r="C3" s="1" t="s">
        <v>2</v>
      </c>
      <c r="D3" s="1">
        <v>1.22</v>
      </c>
      <c r="E3" s="1">
        <v>0.87</v>
      </c>
      <c r="F3" s="1">
        <v>2.04</v>
      </c>
      <c r="G3" s="1">
        <v>1.74</v>
      </c>
      <c r="H3" s="1">
        <v>1.1599999999999999</v>
      </c>
      <c r="I3" s="1">
        <v>4.32</v>
      </c>
      <c r="J3" s="1">
        <v>1.67</v>
      </c>
      <c r="K3" s="1">
        <v>1.37</v>
      </c>
      <c r="L3" s="1">
        <v>6.6</v>
      </c>
      <c r="M3" s="1">
        <v>0.28000000000000003</v>
      </c>
      <c r="N3" s="1">
        <v>0.14000000000000001</v>
      </c>
      <c r="O3" s="1">
        <v>0.31</v>
      </c>
      <c r="P3" s="1">
        <v>7.0000000000000007E-2</v>
      </c>
    </row>
    <row r="4" spans="1:16" x14ac:dyDescent="0.25">
      <c r="A4" s="1">
        <f>A2+2</f>
        <v>20</v>
      </c>
      <c r="B4" s="1">
        <f>B2+2</f>
        <v>24</v>
      </c>
      <c r="C4" s="1" t="str">
        <f>C2</f>
        <v>m</v>
      </c>
      <c r="D4" s="1">
        <v>21.22</v>
      </c>
      <c r="E4" s="1">
        <v>13.43</v>
      </c>
      <c r="F4" s="1">
        <v>7.39</v>
      </c>
      <c r="G4" s="1">
        <v>10.029999999999999</v>
      </c>
      <c r="H4" s="1">
        <v>11</v>
      </c>
      <c r="I4" s="1">
        <v>28.44</v>
      </c>
      <c r="J4" s="1">
        <v>3.64</v>
      </c>
      <c r="K4" s="1">
        <v>10.68</v>
      </c>
      <c r="L4" s="1">
        <v>94.93</v>
      </c>
      <c r="M4" s="1">
        <v>5.95</v>
      </c>
      <c r="N4" s="1">
        <v>0.03</v>
      </c>
      <c r="O4" s="1">
        <v>5.92</v>
      </c>
      <c r="P4" s="1">
        <v>0.49</v>
      </c>
    </row>
    <row r="5" spans="1:16" x14ac:dyDescent="0.25">
      <c r="A5" s="1">
        <f t="shared" ref="A5:B5" si="0">A3+2</f>
        <v>20</v>
      </c>
      <c r="B5" s="1">
        <f t="shared" si="0"/>
        <v>24</v>
      </c>
      <c r="C5" s="1" t="str">
        <f t="shared" ref="C5:C57" si="1">C3</f>
        <v>sd</v>
      </c>
      <c r="D5" s="1">
        <v>1.25</v>
      </c>
      <c r="E5" s="1">
        <v>1.1299999999999999</v>
      </c>
      <c r="F5" s="1">
        <v>2.04</v>
      </c>
      <c r="G5" s="1">
        <v>1.76</v>
      </c>
      <c r="H5" s="1">
        <v>1.2</v>
      </c>
      <c r="I5" s="1">
        <v>4.38</v>
      </c>
      <c r="J5" s="1">
        <v>1.68</v>
      </c>
      <c r="K5" s="1">
        <v>1.41</v>
      </c>
      <c r="L5" s="1">
        <v>7.26</v>
      </c>
      <c r="M5" s="1">
        <v>0.21</v>
      </c>
      <c r="N5" s="1">
        <v>0.17</v>
      </c>
      <c r="O5" s="1">
        <v>0.26</v>
      </c>
      <c r="P5" s="1">
        <v>0.06</v>
      </c>
    </row>
    <row r="6" spans="1:16" x14ac:dyDescent="0.25">
      <c r="A6" s="1">
        <f t="shared" ref="A6:B6" si="2">A4+2</f>
        <v>22</v>
      </c>
      <c r="B6" s="1">
        <f t="shared" si="2"/>
        <v>26</v>
      </c>
      <c r="C6" s="1" t="str">
        <f t="shared" si="1"/>
        <v>m</v>
      </c>
      <c r="D6" s="1">
        <v>24.29</v>
      </c>
      <c r="E6" s="1">
        <v>14.04</v>
      </c>
      <c r="F6" s="1">
        <v>7.29</v>
      </c>
      <c r="G6" s="1">
        <v>9.93</v>
      </c>
      <c r="H6" s="1">
        <v>10.91</v>
      </c>
      <c r="I6" s="1">
        <v>28.13</v>
      </c>
      <c r="J6" s="1">
        <v>3.64</v>
      </c>
      <c r="K6" s="1">
        <v>10.57</v>
      </c>
      <c r="L6" s="1">
        <v>95.75</v>
      </c>
      <c r="M6" s="1">
        <v>5.91</v>
      </c>
      <c r="N6" s="1">
        <v>0</v>
      </c>
      <c r="O6" s="1">
        <v>5.91</v>
      </c>
      <c r="P6" s="1">
        <v>0.47</v>
      </c>
    </row>
    <row r="7" spans="1:16" x14ac:dyDescent="0.25">
      <c r="A7" s="1">
        <f t="shared" ref="A7:B7" si="3">A5+2</f>
        <v>22</v>
      </c>
      <c r="B7" s="1">
        <f t="shared" si="3"/>
        <v>26</v>
      </c>
      <c r="C7" s="1" t="str">
        <f t="shared" si="1"/>
        <v>sd</v>
      </c>
      <c r="D7" s="1">
        <v>1.42</v>
      </c>
      <c r="E7" s="1">
        <v>1.62</v>
      </c>
      <c r="F7" s="1">
        <v>2.04</v>
      </c>
      <c r="G7" s="1">
        <v>1.77</v>
      </c>
      <c r="H7" s="1">
        <v>1.24</v>
      </c>
      <c r="I7" s="1">
        <v>4.43</v>
      </c>
      <c r="J7" s="1">
        <v>1.68</v>
      </c>
      <c r="K7" s="1">
        <v>1.45</v>
      </c>
      <c r="L7" s="1">
        <v>7.53</v>
      </c>
      <c r="M7" s="1">
        <v>0.28000000000000003</v>
      </c>
      <c r="N7" s="1">
        <v>0</v>
      </c>
      <c r="O7" s="1">
        <v>0.28000000000000003</v>
      </c>
      <c r="P7" s="1">
        <v>7.0000000000000007E-2</v>
      </c>
    </row>
    <row r="8" spans="1:16" x14ac:dyDescent="0.25">
      <c r="A8" s="1">
        <f t="shared" ref="A8:B8" si="4">A6+2</f>
        <v>24</v>
      </c>
      <c r="B8" s="1">
        <f t="shared" si="4"/>
        <v>28</v>
      </c>
      <c r="C8" s="1" t="str">
        <f t="shared" si="1"/>
        <v>m</v>
      </c>
      <c r="D8" s="1">
        <v>25.48</v>
      </c>
      <c r="E8" s="1">
        <v>14.02</v>
      </c>
      <c r="F8" s="1">
        <v>7.19</v>
      </c>
      <c r="G8" s="1">
        <v>9.82</v>
      </c>
      <c r="H8" s="1">
        <v>10.81</v>
      </c>
      <c r="I8" s="1">
        <v>27.83</v>
      </c>
      <c r="J8" s="1">
        <v>3.65</v>
      </c>
      <c r="K8" s="1">
        <v>10.46</v>
      </c>
      <c r="L8" s="1">
        <v>95.08</v>
      </c>
      <c r="M8" s="1">
        <v>5.89</v>
      </c>
      <c r="N8" s="1">
        <v>0</v>
      </c>
      <c r="O8" s="1">
        <v>5.89</v>
      </c>
      <c r="P8" s="1">
        <v>0.47</v>
      </c>
    </row>
    <row r="9" spans="1:16" x14ac:dyDescent="0.25">
      <c r="A9" s="1">
        <f t="shared" ref="A9:B9" si="5">A7+2</f>
        <v>24</v>
      </c>
      <c r="B9" s="1">
        <f t="shared" si="5"/>
        <v>28</v>
      </c>
      <c r="C9" s="1" t="str">
        <f t="shared" si="1"/>
        <v>sd</v>
      </c>
      <c r="D9" s="1">
        <v>1.0900000000000001</v>
      </c>
      <c r="E9" s="1">
        <v>1.72</v>
      </c>
      <c r="F9" s="1">
        <v>2.04</v>
      </c>
      <c r="G9" s="1">
        <v>1.79</v>
      </c>
      <c r="H9" s="1">
        <v>1.28</v>
      </c>
      <c r="I9" s="1">
        <v>4.4800000000000004</v>
      </c>
      <c r="J9" s="1">
        <v>1.69</v>
      </c>
      <c r="K9" s="1">
        <v>1.48</v>
      </c>
      <c r="L9" s="1">
        <v>8.0399999999999991</v>
      </c>
      <c r="M9" s="1">
        <v>0.3</v>
      </c>
      <c r="N9" s="1">
        <v>0</v>
      </c>
      <c r="O9" s="1">
        <v>0.3</v>
      </c>
      <c r="P9" s="1">
        <v>7.0000000000000007E-2</v>
      </c>
    </row>
    <row r="10" spans="1:16" x14ac:dyDescent="0.25">
      <c r="A10" s="1">
        <f t="shared" ref="A10:B10" si="6">A8+2</f>
        <v>26</v>
      </c>
      <c r="B10" s="1">
        <f t="shared" si="6"/>
        <v>30</v>
      </c>
      <c r="C10" s="1" t="str">
        <f t="shared" si="1"/>
        <v>m</v>
      </c>
      <c r="D10" s="1">
        <v>28.45</v>
      </c>
      <c r="E10" s="1">
        <v>14.35</v>
      </c>
      <c r="F10" s="1">
        <v>7.09</v>
      </c>
      <c r="G10" s="1">
        <v>9.7200000000000006</v>
      </c>
      <c r="H10" s="1">
        <v>10.71</v>
      </c>
      <c r="I10" s="1">
        <v>27.52</v>
      </c>
      <c r="J10" s="1">
        <v>3.66</v>
      </c>
      <c r="K10" s="1">
        <v>10.35</v>
      </c>
      <c r="L10" s="1">
        <v>96.67</v>
      </c>
      <c r="M10" s="1">
        <v>5.97</v>
      </c>
      <c r="N10" s="1">
        <v>0</v>
      </c>
      <c r="O10" s="1">
        <v>5.97</v>
      </c>
      <c r="P10" s="1">
        <v>0.49</v>
      </c>
    </row>
    <row r="11" spans="1:16" x14ac:dyDescent="0.25">
      <c r="A11" s="1">
        <f t="shared" ref="A11:B11" si="7">A9+2</f>
        <v>26</v>
      </c>
      <c r="B11" s="1">
        <f t="shared" si="7"/>
        <v>30</v>
      </c>
      <c r="C11" s="1" t="str">
        <f t="shared" si="1"/>
        <v>sd</v>
      </c>
      <c r="D11" s="1">
        <v>1.62</v>
      </c>
      <c r="E11" s="1">
        <v>1.87</v>
      </c>
      <c r="F11" s="1">
        <v>2.0299999999999998</v>
      </c>
      <c r="G11" s="1">
        <v>1.8</v>
      </c>
      <c r="H11" s="1">
        <v>1.32</v>
      </c>
      <c r="I11" s="1">
        <v>4.54</v>
      </c>
      <c r="J11" s="1">
        <v>1.7</v>
      </c>
      <c r="K11" s="1">
        <v>1.52</v>
      </c>
      <c r="L11" s="1">
        <v>6.31</v>
      </c>
      <c r="M11" s="1">
        <v>0.15</v>
      </c>
      <c r="N11" s="1">
        <v>0</v>
      </c>
      <c r="O11" s="1">
        <v>0.15</v>
      </c>
      <c r="P11" s="1">
        <v>0.03</v>
      </c>
    </row>
    <row r="12" spans="1:16" x14ac:dyDescent="0.25">
      <c r="A12" s="1">
        <f t="shared" ref="A12:B12" si="8">A10+2</f>
        <v>28</v>
      </c>
      <c r="B12" s="1">
        <f t="shared" si="8"/>
        <v>32</v>
      </c>
      <c r="C12" s="1" t="str">
        <f t="shared" si="1"/>
        <v>m</v>
      </c>
      <c r="D12" s="1">
        <v>30.02</v>
      </c>
      <c r="E12" s="1">
        <v>13.97</v>
      </c>
      <c r="F12" s="1">
        <v>6.99</v>
      </c>
      <c r="G12" s="1">
        <v>9.61</v>
      </c>
      <c r="H12" s="1">
        <v>10.61</v>
      </c>
      <c r="I12" s="1">
        <v>27.22</v>
      </c>
      <c r="J12" s="1">
        <v>3.66</v>
      </c>
      <c r="K12" s="1">
        <v>10.24</v>
      </c>
      <c r="L12" s="1">
        <v>96.33</v>
      </c>
      <c r="M12" s="1">
        <v>5.97</v>
      </c>
      <c r="N12" s="1">
        <v>0</v>
      </c>
      <c r="O12" s="1">
        <v>5.97</v>
      </c>
      <c r="P12" s="1">
        <v>0.49</v>
      </c>
    </row>
    <row r="13" spans="1:16" x14ac:dyDescent="0.25">
      <c r="A13" s="1">
        <f t="shared" ref="A13:B13" si="9">A11+2</f>
        <v>28</v>
      </c>
      <c r="B13" s="1">
        <f t="shared" si="9"/>
        <v>32</v>
      </c>
      <c r="C13" s="1" t="str">
        <f t="shared" si="1"/>
        <v>sd</v>
      </c>
      <c r="D13" s="1">
        <v>1.1399999999999999</v>
      </c>
      <c r="E13" s="1">
        <v>1.74</v>
      </c>
      <c r="F13" s="1">
        <v>2.0299999999999998</v>
      </c>
      <c r="G13" s="1">
        <v>1.82</v>
      </c>
      <c r="H13" s="1">
        <v>1.36</v>
      </c>
      <c r="I13" s="1">
        <v>4.59</v>
      </c>
      <c r="J13" s="1">
        <v>1.71</v>
      </c>
      <c r="K13" s="1">
        <v>1.56</v>
      </c>
      <c r="L13" s="1">
        <v>5.36</v>
      </c>
      <c r="M13" s="1">
        <v>0.15</v>
      </c>
      <c r="N13" s="1">
        <v>0</v>
      </c>
      <c r="O13" s="1">
        <v>0.15</v>
      </c>
      <c r="P13" s="1">
        <v>0.04</v>
      </c>
    </row>
    <row r="14" spans="1:16" x14ac:dyDescent="0.25">
      <c r="A14" s="1">
        <f t="shared" ref="A14:B14" si="10">A12+2</f>
        <v>30</v>
      </c>
      <c r="B14" s="1">
        <f t="shared" si="10"/>
        <v>34</v>
      </c>
      <c r="C14" s="1" t="str">
        <f t="shared" si="1"/>
        <v>m</v>
      </c>
      <c r="D14" s="1">
        <v>31.69</v>
      </c>
      <c r="E14" s="1">
        <v>13.83</v>
      </c>
      <c r="F14" s="1">
        <v>6.89</v>
      </c>
      <c r="G14" s="1">
        <v>9.51</v>
      </c>
      <c r="H14" s="1">
        <v>10.51</v>
      </c>
      <c r="I14" s="1">
        <v>26.92</v>
      </c>
      <c r="J14" s="1">
        <v>3.67</v>
      </c>
      <c r="K14" s="1">
        <v>10.130000000000001</v>
      </c>
      <c r="L14" s="1">
        <v>96.2</v>
      </c>
      <c r="M14" s="1">
        <v>5.97</v>
      </c>
      <c r="N14" s="1">
        <v>0</v>
      </c>
      <c r="O14" s="1">
        <v>5.97</v>
      </c>
      <c r="P14" s="1">
        <v>0.49</v>
      </c>
    </row>
    <row r="15" spans="1:16" x14ac:dyDescent="0.25">
      <c r="A15" s="1">
        <f t="shared" ref="A15:B15" si="11">A13+2</f>
        <v>30</v>
      </c>
      <c r="B15" s="1">
        <f t="shared" si="11"/>
        <v>34</v>
      </c>
      <c r="C15" s="1" t="str">
        <f t="shared" si="1"/>
        <v>sd</v>
      </c>
      <c r="D15" s="1">
        <v>1.61</v>
      </c>
      <c r="E15" s="1">
        <v>1.48</v>
      </c>
      <c r="F15" s="1">
        <v>2.0299999999999998</v>
      </c>
      <c r="G15" s="1">
        <v>1.83</v>
      </c>
      <c r="H15" s="1">
        <v>1.4</v>
      </c>
      <c r="I15" s="1">
        <v>4.6399999999999997</v>
      </c>
      <c r="J15" s="1">
        <v>1.71</v>
      </c>
      <c r="K15" s="1">
        <v>1.6</v>
      </c>
      <c r="L15" s="1">
        <v>4.74</v>
      </c>
      <c r="M15" s="1">
        <v>0.15</v>
      </c>
      <c r="N15" s="1">
        <v>0</v>
      </c>
      <c r="O15" s="1">
        <v>0.15</v>
      </c>
      <c r="P15" s="1">
        <v>0.03</v>
      </c>
    </row>
    <row r="16" spans="1:16" x14ac:dyDescent="0.25">
      <c r="A16" s="1">
        <f t="shared" ref="A16:B16" si="12">A14+2</f>
        <v>32</v>
      </c>
      <c r="B16" s="1">
        <f t="shared" si="12"/>
        <v>36</v>
      </c>
      <c r="C16" s="1" t="str">
        <f t="shared" si="1"/>
        <v>m</v>
      </c>
      <c r="D16" s="1">
        <v>34.18</v>
      </c>
      <c r="E16" s="1">
        <v>14.37</v>
      </c>
      <c r="F16" s="1">
        <v>6.79</v>
      </c>
      <c r="G16" s="1">
        <v>9.4</v>
      </c>
      <c r="H16" s="1">
        <v>10.41</v>
      </c>
      <c r="I16" s="1">
        <v>26.61</v>
      </c>
      <c r="J16" s="1">
        <v>3.67</v>
      </c>
      <c r="K16" s="1">
        <v>10.02</v>
      </c>
      <c r="L16" s="1">
        <v>94.36</v>
      </c>
      <c r="M16" s="1">
        <v>5.86</v>
      </c>
      <c r="N16" s="1">
        <v>0</v>
      </c>
      <c r="O16" s="1">
        <v>5.86</v>
      </c>
      <c r="P16" s="1">
        <v>0.47</v>
      </c>
    </row>
    <row r="17" spans="1:16" x14ac:dyDescent="0.25">
      <c r="A17" s="1">
        <f t="shared" ref="A17:B17" si="13">A15+2</f>
        <v>32</v>
      </c>
      <c r="B17" s="1">
        <f t="shared" si="13"/>
        <v>36</v>
      </c>
      <c r="C17" s="1" t="str">
        <f t="shared" si="1"/>
        <v>sd</v>
      </c>
      <c r="D17" s="1">
        <v>1.41</v>
      </c>
      <c r="E17" s="1">
        <v>1.51</v>
      </c>
      <c r="F17" s="1">
        <v>2.0299999999999998</v>
      </c>
      <c r="G17" s="1">
        <v>1.85</v>
      </c>
      <c r="H17" s="1">
        <v>1.44</v>
      </c>
      <c r="I17" s="1">
        <v>4.7</v>
      </c>
      <c r="J17" s="1">
        <v>1.72</v>
      </c>
      <c r="K17" s="1">
        <v>1.64</v>
      </c>
      <c r="L17" s="1">
        <v>8.52</v>
      </c>
      <c r="M17" s="1">
        <v>0.53</v>
      </c>
      <c r="N17" s="1">
        <v>0</v>
      </c>
      <c r="O17" s="1">
        <v>0.53</v>
      </c>
      <c r="P17" s="1">
        <v>0.08</v>
      </c>
    </row>
    <row r="18" spans="1:16" x14ac:dyDescent="0.25">
      <c r="A18" s="1">
        <f t="shared" ref="A18:B18" si="14">A16+2</f>
        <v>34</v>
      </c>
      <c r="B18" s="1">
        <f t="shared" si="14"/>
        <v>38</v>
      </c>
      <c r="C18" s="1" t="str">
        <f t="shared" si="1"/>
        <v>m</v>
      </c>
      <c r="D18" s="1">
        <v>36.15</v>
      </c>
      <c r="E18" s="1">
        <v>14.23</v>
      </c>
      <c r="F18" s="1">
        <v>6.69</v>
      </c>
      <c r="G18" s="1">
        <v>9.2899999999999991</v>
      </c>
      <c r="H18" s="1">
        <v>10.32</v>
      </c>
      <c r="I18" s="1">
        <v>26.31</v>
      </c>
      <c r="J18" s="1">
        <v>3.68</v>
      </c>
      <c r="K18" s="1">
        <v>9.91</v>
      </c>
      <c r="L18" s="1">
        <v>94.07</v>
      </c>
      <c r="M18" s="1">
        <v>5.82</v>
      </c>
      <c r="N18" s="1">
        <v>0.02</v>
      </c>
      <c r="O18" s="1">
        <v>5.8</v>
      </c>
      <c r="P18" s="1">
        <v>0.46</v>
      </c>
    </row>
    <row r="19" spans="1:16" x14ac:dyDescent="0.25">
      <c r="A19" s="1">
        <f t="shared" ref="A19:B19" si="15">A17+2</f>
        <v>34</v>
      </c>
      <c r="B19" s="1">
        <f t="shared" si="15"/>
        <v>38</v>
      </c>
      <c r="C19" s="1" t="str">
        <f t="shared" si="1"/>
        <v>sd</v>
      </c>
      <c r="D19" s="1">
        <v>1.33</v>
      </c>
      <c r="E19" s="1">
        <v>1.76</v>
      </c>
      <c r="F19" s="1">
        <v>2.0299999999999998</v>
      </c>
      <c r="G19" s="1">
        <v>1.86</v>
      </c>
      <c r="H19" s="1">
        <v>1.48</v>
      </c>
      <c r="I19" s="1">
        <v>4.75</v>
      </c>
      <c r="J19" s="1">
        <v>1.73</v>
      </c>
      <c r="K19" s="1">
        <v>1.67</v>
      </c>
      <c r="L19" s="1">
        <v>8.84</v>
      </c>
      <c r="M19" s="1">
        <v>0.51</v>
      </c>
      <c r="N19" s="1">
        <v>0.14000000000000001</v>
      </c>
      <c r="O19" s="1">
        <v>0.56000000000000005</v>
      </c>
      <c r="P19" s="1">
        <v>0.09</v>
      </c>
    </row>
    <row r="20" spans="1:16" x14ac:dyDescent="0.25">
      <c r="A20" s="1">
        <f t="shared" ref="A20:B20" si="16">A18+2</f>
        <v>36</v>
      </c>
      <c r="B20" s="1">
        <f t="shared" si="16"/>
        <v>40</v>
      </c>
      <c r="C20" s="1" t="str">
        <f t="shared" si="1"/>
        <v>m</v>
      </c>
      <c r="D20" s="1">
        <v>37.979999999999997</v>
      </c>
      <c r="E20" s="1">
        <v>14.07</v>
      </c>
      <c r="F20" s="1">
        <v>6.59</v>
      </c>
      <c r="G20" s="1">
        <v>9.19</v>
      </c>
      <c r="H20" s="1">
        <v>10.220000000000001</v>
      </c>
      <c r="I20" s="1">
        <v>26</v>
      </c>
      <c r="J20" s="1">
        <v>3.69</v>
      </c>
      <c r="K20" s="1">
        <v>9.8000000000000007</v>
      </c>
      <c r="L20" s="1">
        <v>93.3</v>
      </c>
      <c r="M20" s="1">
        <v>5.82</v>
      </c>
      <c r="N20" s="1">
        <v>0.03</v>
      </c>
      <c r="O20" s="1">
        <v>5.78</v>
      </c>
      <c r="P20" s="1">
        <v>0.47</v>
      </c>
    </row>
    <row r="21" spans="1:16" x14ac:dyDescent="0.25">
      <c r="A21" s="1">
        <f t="shared" ref="A21:B21" si="17">A19+2</f>
        <v>36</v>
      </c>
      <c r="B21" s="1">
        <f t="shared" si="17"/>
        <v>40</v>
      </c>
      <c r="C21" s="1" t="str">
        <f t="shared" si="1"/>
        <v>sd</v>
      </c>
      <c r="D21" s="1">
        <v>1.45</v>
      </c>
      <c r="E21" s="1">
        <v>1.99</v>
      </c>
      <c r="F21" s="1">
        <v>2.0299999999999998</v>
      </c>
      <c r="G21" s="1">
        <v>1.88</v>
      </c>
      <c r="H21" s="1">
        <v>1.52</v>
      </c>
      <c r="I21" s="1">
        <v>4.8</v>
      </c>
      <c r="J21" s="1">
        <v>1.74</v>
      </c>
      <c r="K21" s="1">
        <v>1.71</v>
      </c>
      <c r="L21" s="1">
        <v>10.25</v>
      </c>
      <c r="M21" s="1">
        <v>0.5</v>
      </c>
      <c r="N21" s="1">
        <v>0.18</v>
      </c>
      <c r="O21" s="1">
        <v>0.55000000000000004</v>
      </c>
      <c r="P21" s="1">
        <v>0.09</v>
      </c>
    </row>
    <row r="22" spans="1:16" x14ac:dyDescent="0.25">
      <c r="A22" s="1">
        <f t="shared" ref="A22:B22" si="18">A20+2</f>
        <v>38</v>
      </c>
      <c r="B22" s="1">
        <f t="shared" si="18"/>
        <v>42</v>
      </c>
      <c r="C22" s="1" t="str">
        <f t="shared" si="1"/>
        <v>m</v>
      </c>
      <c r="D22" s="1">
        <v>39.93</v>
      </c>
      <c r="E22" s="1">
        <v>13.62</v>
      </c>
      <c r="F22" s="1">
        <v>6.49</v>
      </c>
      <c r="G22" s="1">
        <v>9.08</v>
      </c>
      <c r="H22" s="1">
        <v>10.119999999999999</v>
      </c>
      <c r="I22" s="1">
        <v>25.7</v>
      </c>
      <c r="J22" s="1">
        <v>3.69</v>
      </c>
      <c r="K22" s="1">
        <v>9.69</v>
      </c>
      <c r="L22" s="1">
        <v>91.63</v>
      </c>
      <c r="M22" s="1">
        <v>5.9</v>
      </c>
      <c r="N22" s="1">
        <v>0.04</v>
      </c>
      <c r="O22" s="1">
        <v>5.86</v>
      </c>
      <c r="P22" s="1">
        <v>0.48</v>
      </c>
    </row>
    <row r="23" spans="1:16" x14ac:dyDescent="0.25">
      <c r="A23" s="1">
        <f t="shared" ref="A23:B23" si="19">A21+2</f>
        <v>38</v>
      </c>
      <c r="B23" s="1">
        <f t="shared" si="19"/>
        <v>42</v>
      </c>
      <c r="C23" s="1" t="str">
        <f t="shared" si="1"/>
        <v>sd</v>
      </c>
      <c r="D23" s="1">
        <v>1.24</v>
      </c>
      <c r="E23" s="1">
        <v>1.91</v>
      </c>
      <c r="F23" s="1">
        <v>2.0299999999999998</v>
      </c>
      <c r="G23" s="1">
        <v>1.9</v>
      </c>
      <c r="H23" s="1">
        <v>1.56</v>
      </c>
      <c r="I23" s="1">
        <v>4.8600000000000003</v>
      </c>
      <c r="J23" s="1">
        <v>1.74</v>
      </c>
      <c r="K23" s="1">
        <v>1.75</v>
      </c>
      <c r="L23" s="1">
        <v>9.92</v>
      </c>
      <c r="M23" s="1">
        <v>0.28999999999999998</v>
      </c>
      <c r="N23" s="1">
        <v>0.21</v>
      </c>
      <c r="O23" s="1">
        <v>0.35</v>
      </c>
      <c r="P23" s="1">
        <v>0.09</v>
      </c>
    </row>
    <row r="24" spans="1:16" x14ac:dyDescent="0.25">
      <c r="A24" s="1">
        <f t="shared" ref="A24:B24" si="20">A22+2</f>
        <v>40</v>
      </c>
      <c r="B24" s="1">
        <f t="shared" si="20"/>
        <v>44</v>
      </c>
      <c r="C24" s="1" t="str">
        <f t="shared" si="1"/>
        <v>m</v>
      </c>
      <c r="D24" s="1">
        <v>42</v>
      </c>
      <c r="E24" s="1">
        <v>13.64</v>
      </c>
      <c r="F24" s="1">
        <v>6.39</v>
      </c>
      <c r="G24" s="1">
        <v>8.98</v>
      </c>
      <c r="H24" s="1">
        <v>10.02</v>
      </c>
      <c r="I24" s="1">
        <v>25.4</v>
      </c>
      <c r="J24" s="1">
        <v>3.7</v>
      </c>
      <c r="K24" s="1">
        <v>9.58</v>
      </c>
      <c r="L24" s="1">
        <v>93.61</v>
      </c>
      <c r="M24" s="1">
        <v>5.96</v>
      </c>
      <c r="N24" s="1">
        <v>0.19</v>
      </c>
      <c r="O24" s="1">
        <v>5.94</v>
      </c>
      <c r="P24" s="1">
        <v>0.49</v>
      </c>
    </row>
    <row r="25" spans="1:16" x14ac:dyDescent="0.25">
      <c r="A25" s="1">
        <f t="shared" ref="A25:B25" si="21">A23+2</f>
        <v>40</v>
      </c>
      <c r="B25" s="1">
        <f t="shared" si="21"/>
        <v>44</v>
      </c>
      <c r="C25" s="1" t="str">
        <f t="shared" si="1"/>
        <v>sd</v>
      </c>
      <c r="D25" s="1">
        <v>1.53</v>
      </c>
      <c r="E25" s="1">
        <v>1.88</v>
      </c>
      <c r="F25" s="1">
        <v>2.0299999999999998</v>
      </c>
      <c r="G25" s="1">
        <v>1.91</v>
      </c>
      <c r="H25" s="1">
        <v>1.6</v>
      </c>
      <c r="I25" s="1">
        <v>4.91</v>
      </c>
      <c r="J25" s="1">
        <v>1.75</v>
      </c>
      <c r="K25" s="1">
        <v>1.79</v>
      </c>
      <c r="L25" s="1">
        <v>7.96</v>
      </c>
      <c r="M25" s="1">
        <v>0.19</v>
      </c>
      <c r="N25" s="1">
        <v>0.13</v>
      </c>
      <c r="O25" s="1">
        <v>0.23</v>
      </c>
      <c r="P25" s="1">
        <v>0.05</v>
      </c>
    </row>
    <row r="26" spans="1:16" x14ac:dyDescent="0.25">
      <c r="A26" s="1">
        <f t="shared" ref="A26:B26" si="22">A24+2</f>
        <v>42</v>
      </c>
      <c r="B26" s="1">
        <f t="shared" si="22"/>
        <v>46</v>
      </c>
      <c r="C26" s="1" t="str">
        <f t="shared" si="1"/>
        <v>m</v>
      </c>
      <c r="D26" s="1">
        <v>44.08</v>
      </c>
      <c r="E26" s="1">
        <v>13.93</v>
      </c>
      <c r="F26" s="1">
        <v>6.28</v>
      </c>
      <c r="G26" s="1">
        <v>8.8699999999999992</v>
      </c>
      <c r="H26" s="1">
        <v>9.92</v>
      </c>
      <c r="I26" s="1">
        <v>25.09</v>
      </c>
      <c r="J26" s="1">
        <v>3.7</v>
      </c>
      <c r="K26" s="1">
        <v>9.4700000000000006</v>
      </c>
      <c r="L26" s="1">
        <v>94.55</v>
      </c>
      <c r="M26" s="1">
        <v>5.98</v>
      </c>
      <c r="N26" s="1">
        <v>0.04</v>
      </c>
      <c r="O26" s="1">
        <v>5.93</v>
      </c>
      <c r="P26" s="1">
        <v>0.5</v>
      </c>
    </row>
    <row r="27" spans="1:16" x14ac:dyDescent="0.25">
      <c r="A27" s="1">
        <f t="shared" ref="A27:B27" si="23">A25+2</f>
        <v>42</v>
      </c>
      <c r="B27" s="1">
        <f t="shared" si="23"/>
        <v>46</v>
      </c>
      <c r="C27" s="1" t="str">
        <f t="shared" si="1"/>
        <v>sd</v>
      </c>
      <c r="D27" s="1">
        <v>1.33</v>
      </c>
      <c r="E27" s="1">
        <v>1.58</v>
      </c>
      <c r="F27" s="1">
        <v>2.0299999999999998</v>
      </c>
      <c r="G27" s="1">
        <v>1.93</v>
      </c>
      <c r="H27" s="1">
        <v>1.64</v>
      </c>
      <c r="I27" s="1">
        <v>4.96</v>
      </c>
      <c r="J27" s="1">
        <v>1.76</v>
      </c>
      <c r="K27" s="1">
        <v>1.83</v>
      </c>
      <c r="L27" s="1">
        <v>6.42</v>
      </c>
      <c r="M27" s="1">
        <v>0.14000000000000001</v>
      </c>
      <c r="N27" s="1">
        <v>0.2</v>
      </c>
      <c r="O27" s="1">
        <v>0.24</v>
      </c>
      <c r="P27" s="1">
        <v>0.06</v>
      </c>
    </row>
    <row r="28" spans="1:16" x14ac:dyDescent="0.25">
      <c r="A28" s="1">
        <f t="shared" ref="A28:B28" si="24">A26+2</f>
        <v>44</v>
      </c>
      <c r="B28" s="1">
        <f t="shared" si="24"/>
        <v>48</v>
      </c>
      <c r="C28" s="1" t="str">
        <f t="shared" si="1"/>
        <v>m</v>
      </c>
      <c r="D28" s="1">
        <v>46</v>
      </c>
      <c r="E28" s="1">
        <v>13.89</v>
      </c>
      <c r="F28" s="1">
        <v>6.18</v>
      </c>
      <c r="G28" s="1">
        <v>8.77</v>
      </c>
      <c r="H28" s="1">
        <v>9.83</v>
      </c>
      <c r="I28" s="1">
        <v>24.79</v>
      </c>
      <c r="J28" s="1">
        <v>3.71</v>
      </c>
      <c r="K28" s="1">
        <v>9.36</v>
      </c>
      <c r="L28" s="1">
        <v>93.26</v>
      </c>
      <c r="M28" s="1">
        <v>5.89</v>
      </c>
      <c r="N28" s="1">
        <v>0.02</v>
      </c>
      <c r="O28" s="1">
        <v>5.87</v>
      </c>
      <c r="P28" s="1">
        <v>0.47</v>
      </c>
    </row>
    <row r="29" spans="1:16" x14ac:dyDescent="0.25">
      <c r="A29" s="1">
        <f t="shared" ref="A29:B29" si="25">A27+2</f>
        <v>44</v>
      </c>
      <c r="B29" s="1">
        <f t="shared" si="25"/>
        <v>48</v>
      </c>
      <c r="C29" s="1" t="str">
        <f t="shared" si="1"/>
        <v>sd</v>
      </c>
      <c r="D29" s="1">
        <v>1.45</v>
      </c>
      <c r="E29" s="1">
        <v>1.46</v>
      </c>
      <c r="F29" s="1">
        <v>2.0299999999999998</v>
      </c>
      <c r="G29" s="1">
        <v>1.94</v>
      </c>
      <c r="H29" s="1">
        <v>1.68</v>
      </c>
      <c r="I29" s="1">
        <v>5.0199999999999996</v>
      </c>
      <c r="J29" s="1">
        <v>1.77</v>
      </c>
      <c r="K29" s="1">
        <v>1.86</v>
      </c>
      <c r="L29" s="1">
        <v>8.4600000000000009</v>
      </c>
      <c r="M29" s="1">
        <v>0.3</v>
      </c>
      <c r="N29" s="1">
        <v>0.14000000000000001</v>
      </c>
      <c r="O29" s="1">
        <v>0.33</v>
      </c>
      <c r="P29" s="1">
        <v>0.08</v>
      </c>
    </row>
    <row r="30" spans="1:16" x14ac:dyDescent="0.25">
      <c r="A30" s="1">
        <f t="shared" ref="A30:B30" si="26">A28+2</f>
        <v>46</v>
      </c>
      <c r="B30" s="1">
        <f t="shared" si="26"/>
        <v>50</v>
      </c>
      <c r="C30" s="1" t="str">
        <f t="shared" si="1"/>
        <v>m</v>
      </c>
      <c r="D30" s="1">
        <v>47.61</v>
      </c>
      <c r="E30" s="1">
        <v>13.92</v>
      </c>
      <c r="F30" s="1">
        <v>6.08</v>
      </c>
      <c r="G30" s="1">
        <v>8.66</v>
      </c>
      <c r="H30" s="1">
        <v>9.73</v>
      </c>
      <c r="I30" s="1">
        <v>24.48</v>
      </c>
      <c r="J30" s="1">
        <v>3.71</v>
      </c>
      <c r="K30" s="1">
        <v>9.25</v>
      </c>
      <c r="L30" s="1">
        <v>93.38</v>
      </c>
      <c r="M30" s="1">
        <v>5.87</v>
      </c>
      <c r="N30" s="1">
        <v>0.02</v>
      </c>
      <c r="O30" s="1">
        <v>5.85</v>
      </c>
      <c r="P30" s="1">
        <v>0.47</v>
      </c>
    </row>
    <row r="31" spans="1:16" x14ac:dyDescent="0.25">
      <c r="A31" s="1">
        <f t="shared" ref="A31:B31" si="27">A29+2</f>
        <v>46</v>
      </c>
      <c r="B31" s="1">
        <f t="shared" si="27"/>
        <v>50</v>
      </c>
      <c r="C31" s="1" t="str">
        <f t="shared" si="1"/>
        <v>sd</v>
      </c>
      <c r="D31" s="1">
        <v>1.32</v>
      </c>
      <c r="E31" s="1">
        <v>1.49</v>
      </c>
      <c r="F31" s="1">
        <v>2.0299999999999998</v>
      </c>
      <c r="G31" s="1">
        <v>1.96</v>
      </c>
      <c r="H31" s="1">
        <v>1.72</v>
      </c>
      <c r="I31" s="1">
        <v>5.07</v>
      </c>
      <c r="J31" s="1">
        <v>1.77</v>
      </c>
      <c r="K31" s="1">
        <v>1.9</v>
      </c>
      <c r="L31" s="1">
        <v>8.5299999999999994</v>
      </c>
      <c r="M31" s="1">
        <v>0.33</v>
      </c>
      <c r="N31" s="1">
        <v>0.15</v>
      </c>
      <c r="O31" s="1">
        <v>0.35</v>
      </c>
      <c r="P31" s="1">
        <v>0.09</v>
      </c>
    </row>
    <row r="32" spans="1:16" x14ac:dyDescent="0.25">
      <c r="A32" s="1">
        <f t="shared" ref="A32:B32" si="28">A30+2</f>
        <v>48</v>
      </c>
      <c r="B32" s="1">
        <f t="shared" si="28"/>
        <v>52</v>
      </c>
      <c r="C32" s="1" t="str">
        <f t="shared" si="1"/>
        <v>m</v>
      </c>
      <c r="D32" s="1">
        <v>50.07</v>
      </c>
      <c r="E32" s="1">
        <v>13.48</v>
      </c>
      <c r="F32" s="1">
        <v>5.98</v>
      </c>
      <c r="G32" s="1">
        <v>8.56</v>
      </c>
      <c r="H32" s="1">
        <v>9.6300000000000008</v>
      </c>
      <c r="I32" s="1">
        <v>24.18</v>
      </c>
      <c r="J32" s="1">
        <v>3.72</v>
      </c>
      <c r="K32" s="1">
        <v>9.14</v>
      </c>
      <c r="L32" s="1">
        <v>94.16</v>
      </c>
      <c r="M32" s="1">
        <v>5.76</v>
      </c>
      <c r="N32" s="1">
        <v>0.02</v>
      </c>
      <c r="O32" s="1">
        <v>5.74</v>
      </c>
      <c r="P32" s="1">
        <v>0.44</v>
      </c>
    </row>
    <row r="33" spans="1:16" x14ac:dyDescent="0.25">
      <c r="A33" s="1">
        <f t="shared" ref="A33:B33" si="29">A31+2</f>
        <v>48</v>
      </c>
      <c r="B33" s="1">
        <f t="shared" si="29"/>
        <v>52</v>
      </c>
      <c r="C33" s="1" t="str">
        <f t="shared" si="1"/>
        <v>sd</v>
      </c>
      <c r="D33" s="1">
        <v>1.62</v>
      </c>
      <c r="E33" s="1">
        <v>1.58</v>
      </c>
      <c r="F33" s="1">
        <v>2.0299999999999998</v>
      </c>
      <c r="G33" s="1">
        <v>1.97</v>
      </c>
      <c r="H33" s="1">
        <v>1.76</v>
      </c>
      <c r="I33" s="1">
        <v>5.12</v>
      </c>
      <c r="J33" s="1">
        <v>1.78</v>
      </c>
      <c r="K33" s="1">
        <v>1.94</v>
      </c>
      <c r="L33" s="1">
        <v>8.42</v>
      </c>
      <c r="M33" s="1">
        <v>0.42</v>
      </c>
      <c r="N33" s="1">
        <v>0.16</v>
      </c>
      <c r="O33" s="1">
        <v>0.49</v>
      </c>
      <c r="P33" s="1">
        <v>0.1</v>
      </c>
    </row>
    <row r="34" spans="1:16" x14ac:dyDescent="0.25">
      <c r="A34" s="1">
        <f t="shared" ref="A34:B34" si="30">A32+2</f>
        <v>50</v>
      </c>
      <c r="B34" s="1">
        <f t="shared" si="30"/>
        <v>54</v>
      </c>
      <c r="C34" s="1" t="str">
        <f t="shared" si="1"/>
        <v>m</v>
      </c>
      <c r="D34" s="1">
        <v>52.16</v>
      </c>
      <c r="E34" s="1">
        <v>13.33</v>
      </c>
      <c r="F34" s="1">
        <v>5.88</v>
      </c>
      <c r="G34" s="1">
        <v>8.4499999999999993</v>
      </c>
      <c r="H34" s="1">
        <v>9.5299999999999994</v>
      </c>
      <c r="I34" s="1">
        <v>23.87</v>
      </c>
      <c r="J34" s="1">
        <v>3.73</v>
      </c>
      <c r="K34" s="1">
        <v>9.0299999999999994</v>
      </c>
      <c r="L34" s="1">
        <v>95.96</v>
      </c>
      <c r="M34" s="1">
        <v>5.86</v>
      </c>
      <c r="N34" s="1">
        <v>0.02</v>
      </c>
      <c r="O34" s="1">
        <v>5.83</v>
      </c>
      <c r="P34" s="1">
        <v>0.47</v>
      </c>
    </row>
    <row r="35" spans="1:16" x14ac:dyDescent="0.25">
      <c r="A35" s="1">
        <f t="shared" ref="A35:B35" si="31">A33+2</f>
        <v>50</v>
      </c>
      <c r="B35" s="1">
        <f t="shared" si="31"/>
        <v>54</v>
      </c>
      <c r="C35" s="1" t="str">
        <f t="shared" si="1"/>
        <v>sd</v>
      </c>
      <c r="D35" s="1">
        <v>1.23</v>
      </c>
      <c r="E35" s="1">
        <v>1.69</v>
      </c>
      <c r="F35" s="1">
        <v>2.02</v>
      </c>
      <c r="G35" s="1">
        <v>1.99</v>
      </c>
      <c r="H35" s="1">
        <v>1.8</v>
      </c>
      <c r="I35" s="1">
        <v>5.18</v>
      </c>
      <c r="J35" s="1">
        <v>1.79</v>
      </c>
      <c r="K35" s="1">
        <v>1.98</v>
      </c>
      <c r="L35" s="1">
        <v>7.31</v>
      </c>
      <c r="M35" s="1">
        <v>0.35</v>
      </c>
      <c r="N35" s="1">
        <v>0.16</v>
      </c>
      <c r="O35" s="1">
        <v>0.44</v>
      </c>
      <c r="P35" s="1">
        <v>0.08</v>
      </c>
    </row>
    <row r="36" spans="1:16" x14ac:dyDescent="0.25">
      <c r="A36" s="1">
        <f t="shared" ref="A36:B36" si="32">A34+2</f>
        <v>52</v>
      </c>
      <c r="B36" s="1">
        <f t="shared" si="32"/>
        <v>56</v>
      </c>
      <c r="C36" s="1" t="str">
        <f t="shared" si="1"/>
        <v>m</v>
      </c>
      <c r="D36" s="1">
        <v>53.6</v>
      </c>
      <c r="E36" s="1">
        <v>13.21</v>
      </c>
      <c r="F36" s="1">
        <v>5.78</v>
      </c>
      <c r="G36" s="1">
        <v>8.35</v>
      </c>
      <c r="H36" s="1">
        <v>9.43</v>
      </c>
      <c r="I36" s="1">
        <v>23.57</v>
      </c>
      <c r="J36" s="1">
        <v>3.73</v>
      </c>
      <c r="K36" s="1">
        <v>8.92</v>
      </c>
      <c r="L36" s="1">
        <v>94.54</v>
      </c>
      <c r="M36" s="1">
        <v>5.89</v>
      </c>
      <c r="N36" s="1">
        <v>7.0000000000000007E-2</v>
      </c>
      <c r="O36" s="1">
        <v>5.81</v>
      </c>
      <c r="P36" s="1">
        <v>0.49</v>
      </c>
    </row>
    <row r="37" spans="1:16" x14ac:dyDescent="0.25">
      <c r="A37" s="1">
        <f t="shared" ref="A37:B37" si="33">A35+2</f>
        <v>52</v>
      </c>
      <c r="B37" s="1">
        <f t="shared" si="33"/>
        <v>56</v>
      </c>
      <c r="C37" s="1" t="str">
        <f t="shared" si="1"/>
        <v>sd</v>
      </c>
      <c r="D37" s="1">
        <v>1.44</v>
      </c>
      <c r="E37" s="1">
        <v>1.71</v>
      </c>
      <c r="F37" s="1">
        <v>2.02</v>
      </c>
      <c r="G37" s="1">
        <v>2</v>
      </c>
      <c r="H37" s="1">
        <v>1.84</v>
      </c>
      <c r="I37" s="1">
        <v>5.23</v>
      </c>
      <c r="J37" s="1">
        <v>1.8</v>
      </c>
      <c r="K37" s="1">
        <v>2.0099999999999998</v>
      </c>
      <c r="L37" s="1">
        <v>8.5500000000000007</v>
      </c>
      <c r="M37" s="1">
        <v>0.31</v>
      </c>
      <c r="N37" s="1">
        <v>0.27</v>
      </c>
      <c r="O37" s="1">
        <v>0.45</v>
      </c>
      <c r="P37" s="1">
        <v>0.09</v>
      </c>
    </row>
    <row r="38" spans="1:16" x14ac:dyDescent="0.25">
      <c r="A38" s="1">
        <f t="shared" ref="A38:B38" si="34">A36+2</f>
        <v>54</v>
      </c>
      <c r="B38" s="1">
        <f t="shared" si="34"/>
        <v>58</v>
      </c>
      <c r="C38" s="1" t="str">
        <f t="shared" si="1"/>
        <v>m</v>
      </c>
      <c r="D38" s="1">
        <v>56.06</v>
      </c>
      <c r="E38" s="1">
        <v>13.5</v>
      </c>
      <c r="F38" s="1">
        <v>5.68</v>
      </c>
      <c r="G38" s="1">
        <v>8.24</v>
      </c>
      <c r="H38" s="1">
        <v>9.33</v>
      </c>
      <c r="I38" s="1">
        <v>23.27</v>
      </c>
      <c r="J38" s="1">
        <v>3.74</v>
      </c>
      <c r="K38" s="1">
        <v>8.81</v>
      </c>
      <c r="L38" s="1">
        <v>93.99</v>
      </c>
      <c r="M38" s="1">
        <v>5.81</v>
      </c>
      <c r="N38" s="1">
        <v>0.09</v>
      </c>
      <c r="O38" s="1">
        <v>5.71</v>
      </c>
      <c r="P38" s="1">
        <v>0.48</v>
      </c>
    </row>
    <row r="39" spans="1:16" x14ac:dyDescent="0.25">
      <c r="A39" s="1">
        <f t="shared" ref="A39:B39" si="35">A37+2</f>
        <v>54</v>
      </c>
      <c r="B39" s="1">
        <f t="shared" si="35"/>
        <v>58</v>
      </c>
      <c r="C39" s="1" t="str">
        <f t="shared" si="1"/>
        <v>sd</v>
      </c>
      <c r="D39" s="1">
        <v>1.45</v>
      </c>
      <c r="E39" s="1">
        <v>2.25</v>
      </c>
      <c r="F39" s="1">
        <v>2.02</v>
      </c>
      <c r="G39" s="1">
        <v>2.02</v>
      </c>
      <c r="H39" s="1">
        <v>1.88</v>
      </c>
      <c r="I39" s="1">
        <v>5.28</v>
      </c>
      <c r="J39" s="1">
        <v>1.8</v>
      </c>
      <c r="K39" s="1">
        <v>2.0499999999999998</v>
      </c>
      <c r="L39" s="1">
        <v>8.43</v>
      </c>
      <c r="M39" s="1">
        <v>0.47</v>
      </c>
      <c r="N39" s="1">
        <v>0.28999999999999998</v>
      </c>
      <c r="O39" s="1">
        <v>0.57999999999999996</v>
      </c>
      <c r="P39" s="1">
        <v>0.11</v>
      </c>
    </row>
    <row r="40" spans="1:16" x14ac:dyDescent="0.25">
      <c r="A40" s="1">
        <f t="shared" ref="A40:B40" si="36">A38+2</f>
        <v>56</v>
      </c>
      <c r="B40" s="1">
        <f t="shared" si="36"/>
        <v>60</v>
      </c>
      <c r="C40" s="1" t="str">
        <f t="shared" si="1"/>
        <v>m</v>
      </c>
      <c r="D40" s="1">
        <v>58.11</v>
      </c>
      <c r="E40" s="1">
        <v>13.32</v>
      </c>
      <c r="F40" s="1">
        <v>5.58</v>
      </c>
      <c r="G40" s="1">
        <v>8.14</v>
      </c>
      <c r="H40" s="1">
        <v>9.24</v>
      </c>
      <c r="I40" s="1">
        <v>22.96</v>
      </c>
      <c r="J40" s="1">
        <v>3.74</v>
      </c>
      <c r="K40" s="1">
        <v>8.6999999999999993</v>
      </c>
      <c r="L40" s="1">
        <v>93.88</v>
      </c>
      <c r="M40" s="1">
        <v>5.82</v>
      </c>
      <c r="N40" s="1">
        <v>0.05</v>
      </c>
      <c r="O40" s="1">
        <v>5.76</v>
      </c>
      <c r="P40" s="1">
        <v>0.47</v>
      </c>
    </row>
    <row r="41" spans="1:16" x14ac:dyDescent="0.25">
      <c r="A41" s="1">
        <f t="shared" ref="A41:B41" si="37">A39+2</f>
        <v>56</v>
      </c>
      <c r="B41" s="1">
        <f t="shared" si="37"/>
        <v>60</v>
      </c>
      <c r="C41" s="1" t="str">
        <f t="shared" si="1"/>
        <v>sd</v>
      </c>
      <c r="D41" s="1">
        <v>1.34</v>
      </c>
      <c r="E41" s="1">
        <v>2.12</v>
      </c>
      <c r="F41" s="1">
        <v>2.02</v>
      </c>
      <c r="G41" s="1">
        <v>2.04</v>
      </c>
      <c r="H41" s="1">
        <v>1.92</v>
      </c>
      <c r="I41" s="1">
        <v>5.34</v>
      </c>
      <c r="J41" s="1">
        <v>1.81</v>
      </c>
      <c r="K41" s="1">
        <v>2.09</v>
      </c>
      <c r="L41" s="1">
        <v>8.86</v>
      </c>
      <c r="M41" s="1">
        <v>0.45</v>
      </c>
      <c r="N41" s="1">
        <v>0.23</v>
      </c>
      <c r="O41" s="1">
        <v>0.55000000000000004</v>
      </c>
      <c r="P41" s="1">
        <v>0.1</v>
      </c>
    </row>
    <row r="42" spans="1:16" x14ac:dyDescent="0.25">
      <c r="A42" s="1">
        <f t="shared" ref="A42:B42" si="38">A40+2</f>
        <v>58</v>
      </c>
      <c r="B42" s="1">
        <f t="shared" si="38"/>
        <v>62</v>
      </c>
      <c r="C42" s="1" t="str">
        <f t="shared" si="1"/>
        <v>m</v>
      </c>
      <c r="D42" s="1">
        <v>59.65</v>
      </c>
      <c r="E42" s="1">
        <v>13.51</v>
      </c>
      <c r="F42" s="1">
        <v>5.48</v>
      </c>
      <c r="G42" s="1">
        <v>8.0299999999999994</v>
      </c>
      <c r="H42" s="1">
        <v>9.14</v>
      </c>
      <c r="I42" s="1">
        <v>22.66</v>
      </c>
      <c r="J42" s="1">
        <v>3.75</v>
      </c>
      <c r="K42" s="1">
        <v>8.59</v>
      </c>
      <c r="L42" s="1">
        <v>93.71</v>
      </c>
      <c r="M42" s="1">
        <v>5.86</v>
      </c>
      <c r="N42" s="1">
        <v>0</v>
      </c>
      <c r="O42" s="1">
        <v>5.86</v>
      </c>
      <c r="P42" s="1">
        <v>0.47</v>
      </c>
    </row>
    <row r="43" spans="1:16" x14ac:dyDescent="0.25">
      <c r="A43" s="1">
        <f t="shared" ref="A43:B43" si="39">A41+2</f>
        <v>58</v>
      </c>
      <c r="B43" s="1">
        <f t="shared" si="39"/>
        <v>62</v>
      </c>
      <c r="C43" s="1" t="str">
        <f t="shared" si="1"/>
        <v>sd</v>
      </c>
      <c r="D43" s="1">
        <v>1.44</v>
      </c>
      <c r="E43" s="1">
        <v>2.2400000000000002</v>
      </c>
      <c r="F43" s="1">
        <v>2.02</v>
      </c>
      <c r="G43" s="1">
        <v>2.0499999999999998</v>
      </c>
      <c r="H43" s="1">
        <v>1.96</v>
      </c>
      <c r="I43" s="1">
        <v>5.39</v>
      </c>
      <c r="J43" s="1">
        <v>1.82</v>
      </c>
      <c r="K43" s="1">
        <v>2.13</v>
      </c>
      <c r="L43" s="1">
        <v>8.6999999999999993</v>
      </c>
      <c r="M43" s="1">
        <v>0.44</v>
      </c>
      <c r="N43" s="1">
        <v>0</v>
      </c>
      <c r="O43" s="1">
        <v>0.44</v>
      </c>
      <c r="P43" s="1">
        <v>0.08</v>
      </c>
    </row>
    <row r="44" spans="1:16" x14ac:dyDescent="0.25">
      <c r="A44" s="1">
        <f t="shared" ref="A44:B44" si="40">A42+2</f>
        <v>60</v>
      </c>
      <c r="B44" s="1">
        <f t="shared" si="40"/>
        <v>64</v>
      </c>
      <c r="C44" s="1" t="str">
        <f t="shared" si="1"/>
        <v>m</v>
      </c>
      <c r="D44" s="1">
        <v>62.3</v>
      </c>
      <c r="E44" s="1">
        <v>14</v>
      </c>
      <c r="F44" s="1">
        <v>5.38</v>
      </c>
      <c r="G44" s="1">
        <v>7.93</v>
      </c>
      <c r="H44" s="1">
        <v>9.0399999999999991</v>
      </c>
      <c r="I44" s="1">
        <v>22.35</v>
      </c>
      <c r="J44" s="1">
        <v>3.76</v>
      </c>
      <c r="K44" s="1">
        <v>8.48</v>
      </c>
      <c r="L44" s="1">
        <v>90.66</v>
      </c>
      <c r="M44" s="1">
        <v>5.92</v>
      </c>
      <c r="N44" s="1">
        <v>0</v>
      </c>
      <c r="O44" s="1">
        <v>5.92</v>
      </c>
      <c r="P44" s="1">
        <v>0.48</v>
      </c>
    </row>
    <row r="45" spans="1:16" x14ac:dyDescent="0.25">
      <c r="A45" s="1">
        <f t="shared" ref="A45:B45" si="41">A43+2</f>
        <v>60</v>
      </c>
      <c r="B45" s="1">
        <f t="shared" si="41"/>
        <v>64</v>
      </c>
      <c r="C45" s="1" t="str">
        <f t="shared" si="1"/>
        <v>sd</v>
      </c>
      <c r="D45" s="1">
        <v>1.54</v>
      </c>
      <c r="E45" s="1">
        <v>2.41</v>
      </c>
      <c r="F45" s="1">
        <v>2.02</v>
      </c>
      <c r="G45" s="1">
        <v>2.0699999999999998</v>
      </c>
      <c r="H45" s="1">
        <v>2</v>
      </c>
      <c r="I45" s="1">
        <v>5.44</v>
      </c>
      <c r="J45" s="1">
        <v>1.83</v>
      </c>
      <c r="K45" s="1">
        <v>2.17</v>
      </c>
      <c r="L45" s="1">
        <v>9.5399999999999991</v>
      </c>
      <c r="M45" s="1">
        <v>0.27</v>
      </c>
      <c r="N45" s="1">
        <v>0</v>
      </c>
      <c r="O45" s="1">
        <v>0.27</v>
      </c>
      <c r="P45" s="1">
        <v>0.06</v>
      </c>
    </row>
    <row r="46" spans="1:16" x14ac:dyDescent="0.25">
      <c r="A46" s="1">
        <f t="shared" ref="A46:B46" si="42">A44+2</f>
        <v>62</v>
      </c>
      <c r="B46" s="1">
        <f t="shared" si="42"/>
        <v>66</v>
      </c>
      <c r="C46" s="1" t="str">
        <f t="shared" si="1"/>
        <v>m</v>
      </c>
      <c r="D46" s="1">
        <v>63.85</v>
      </c>
      <c r="E46" s="1">
        <v>14.22</v>
      </c>
      <c r="F46" s="1">
        <v>5.28</v>
      </c>
      <c r="G46" s="1">
        <v>7.82</v>
      </c>
      <c r="H46" s="1">
        <v>8.9700000000000006</v>
      </c>
      <c r="I46" s="1">
        <v>22.05</v>
      </c>
      <c r="J46" s="1">
        <v>3.76</v>
      </c>
      <c r="K46" s="1">
        <v>8.3699999999999992</v>
      </c>
      <c r="L46" s="1">
        <v>89.46</v>
      </c>
      <c r="M46" s="1">
        <v>5.92</v>
      </c>
      <c r="N46" s="1">
        <v>0</v>
      </c>
      <c r="O46" s="1">
        <v>5.92</v>
      </c>
      <c r="P46" s="1">
        <v>0.48</v>
      </c>
    </row>
    <row r="47" spans="1:16" x14ac:dyDescent="0.25">
      <c r="A47" s="1">
        <f t="shared" ref="A47:B47" si="43">A45+2</f>
        <v>62</v>
      </c>
      <c r="B47" s="1">
        <f t="shared" si="43"/>
        <v>66</v>
      </c>
      <c r="C47" s="1" t="str">
        <f t="shared" si="1"/>
        <v>sd</v>
      </c>
      <c r="D47" s="1">
        <v>1.4</v>
      </c>
      <c r="E47" s="1">
        <v>2.57</v>
      </c>
      <c r="F47" s="1">
        <v>2.02</v>
      </c>
      <c r="G47" s="1">
        <v>2.08</v>
      </c>
      <c r="H47" s="1">
        <v>2.04</v>
      </c>
      <c r="I47" s="1">
        <v>5.5</v>
      </c>
      <c r="J47" s="1">
        <v>1.83</v>
      </c>
      <c r="K47" s="1">
        <v>2.2000000000000002</v>
      </c>
      <c r="L47" s="1">
        <v>11.61</v>
      </c>
      <c r="M47" s="1">
        <v>0.26</v>
      </c>
      <c r="N47" s="1">
        <v>0</v>
      </c>
      <c r="O47" s="1">
        <v>0.26</v>
      </c>
      <c r="P47" s="1">
        <v>0.06</v>
      </c>
    </row>
    <row r="48" spans="1:16" x14ac:dyDescent="0.25">
      <c r="A48" s="1">
        <f t="shared" ref="A48:B48" si="44">A46+2</f>
        <v>64</v>
      </c>
      <c r="B48" s="1">
        <f t="shared" si="44"/>
        <v>68</v>
      </c>
      <c r="C48" s="1" t="str">
        <f t="shared" si="1"/>
        <v>m</v>
      </c>
      <c r="D48" s="1">
        <v>65.88</v>
      </c>
      <c r="E48" s="1">
        <v>14.11</v>
      </c>
      <c r="F48" s="1">
        <v>5.18</v>
      </c>
      <c r="G48" s="1">
        <v>7.72</v>
      </c>
      <c r="H48" s="1">
        <v>8.84</v>
      </c>
      <c r="I48" s="1">
        <v>21.74</v>
      </c>
      <c r="J48" s="1">
        <v>3.77</v>
      </c>
      <c r="K48" s="1">
        <v>8.26</v>
      </c>
      <c r="L48" s="1">
        <v>90.29</v>
      </c>
      <c r="M48" s="1">
        <v>5.88</v>
      </c>
      <c r="N48" s="1">
        <v>0.03</v>
      </c>
      <c r="O48" s="1">
        <v>5.85</v>
      </c>
      <c r="P48" s="1">
        <v>0.48</v>
      </c>
    </row>
    <row r="49" spans="1:16" x14ac:dyDescent="0.25">
      <c r="A49" s="1">
        <f t="shared" ref="A49:B49" si="45">A47+2</f>
        <v>64</v>
      </c>
      <c r="B49" s="1">
        <f t="shared" si="45"/>
        <v>68</v>
      </c>
      <c r="C49" s="1" t="str">
        <f t="shared" si="1"/>
        <v>sd</v>
      </c>
      <c r="D49" s="1">
        <v>1.52</v>
      </c>
      <c r="E49" s="1">
        <v>2.67</v>
      </c>
      <c r="F49" s="1">
        <v>2.02</v>
      </c>
      <c r="G49" s="1">
        <v>2.1</v>
      </c>
      <c r="H49" s="1">
        <v>2.08</v>
      </c>
      <c r="I49" s="1">
        <v>5.55</v>
      </c>
      <c r="J49" s="1">
        <v>1.84</v>
      </c>
      <c r="K49" s="1">
        <v>2.2400000000000002</v>
      </c>
      <c r="L49" s="1">
        <v>12.55</v>
      </c>
      <c r="M49" s="1">
        <v>0.32</v>
      </c>
      <c r="N49" s="1">
        <v>0.19</v>
      </c>
      <c r="O49" s="1">
        <v>0.36</v>
      </c>
      <c r="P49" s="1">
        <v>0.09</v>
      </c>
    </row>
    <row r="50" spans="1:16" x14ac:dyDescent="0.25">
      <c r="A50" s="1">
        <f t="shared" ref="A50:B50" si="46">A48+2</f>
        <v>66</v>
      </c>
      <c r="B50" s="1">
        <f t="shared" si="46"/>
        <v>70</v>
      </c>
      <c r="C50" s="1" t="str">
        <f t="shared" si="1"/>
        <v>m</v>
      </c>
      <c r="D50" s="1">
        <v>68.099999999999994</v>
      </c>
      <c r="E50" s="1">
        <v>14.75</v>
      </c>
      <c r="F50" s="1">
        <v>5.07</v>
      </c>
      <c r="G50" s="1">
        <v>7.61</v>
      </c>
      <c r="H50" s="1">
        <v>8.75</v>
      </c>
      <c r="I50" s="1">
        <v>21.44</v>
      </c>
      <c r="J50" s="1">
        <v>3.77</v>
      </c>
      <c r="K50" s="1">
        <v>8.15</v>
      </c>
      <c r="L50" s="1">
        <v>90.33</v>
      </c>
      <c r="M50" s="1">
        <v>5.65</v>
      </c>
      <c r="N50" s="1">
        <v>0.1</v>
      </c>
      <c r="O50" s="1">
        <v>5.55</v>
      </c>
      <c r="P50" s="1">
        <v>0.46</v>
      </c>
    </row>
    <row r="51" spans="1:16" x14ac:dyDescent="0.25">
      <c r="A51" s="1">
        <f t="shared" ref="A51:B51" si="47">A49+2</f>
        <v>66</v>
      </c>
      <c r="B51" s="1">
        <f t="shared" si="47"/>
        <v>70</v>
      </c>
      <c r="C51" s="1" t="str">
        <f t="shared" si="1"/>
        <v>sd</v>
      </c>
      <c r="D51" s="1">
        <v>1.42</v>
      </c>
      <c r="E51" s="1">
        <v>2.57</v>
      </c>
      <c r="F51" s="1">
        <v>2.02</v>
      </c>
      <c r="G51" s="1">
        <v>2.11</v>
      </c>
      <c r="H51" s="1">
        <v>2.12</v>
      </c>
      <c r="I51" s="1">
        <v>5.6</v>
      </c>
      <c r="J51" s="1">
        <v>1.85</v>
      </c>
      <c r="K51" s="1">
        <v>2.2799999999999998</v>
      </c>
      <c r="L51" s="1">
        <v>12.64</v>
      </c>
      <c r="M51" s="1">
        <v>0.85</v>
      </c>
      <c r="N51" s="1">
        <v>0.31</v>
      </c>
      <c r="O51" s="1">
        <v>0.94</v>
      </c>
      <c r="P51" s="1">
        <v>0.12</v>
      </c>
    </row>
    <row r="52" spans="1:16" x14ac:dyDescent="0.25">
      <c r="A52" s="1">
        <f>A50+2</f>
        <v>68</v>
      </c>
      <c r="B52" s="1">
        <f>B50+2</f>
        <v>72</v>
      </c>
      <c r="C52" s="1" t="str">
        <f t="shared" si="1"/>
        <v>m</v>
      </c>
      <c r="D52" s="1">
        <v>70.12</v>
      </c>
      <c r="E52" s="1">
        <v>14.66</v>
      </c>
      <c r="F52" s="1">
        <v>4.97</v>
      </c>
      <c r="G52" s="1">
        <v>7.51</v>
      </c>
      <c r="H52" s="1">
        <v>8.65</v>
      </c>
      <c r="I52" s="1">
        <v>21.14</v>
      </c>
      <c r="J52" s="1">
        <v>3.78</v>
      </c>
      <c r="K52" s="1">
        <v>8.0399999999999991</v>
      </c>
      <c r="L52" s="1">
        <v>89.84</v>
      </c>
      <c r="M52" s="1">
        <v>5.69</v>
      </c>
      <c r="N52" s="1">
        <v>0.18</v>
      </c>
      <c r="O52" s="1">
        <v>5.15</v>
      </c>
      <c r="P52" s="1">
        <v>0.49</v>
      </c>
    </row>
    <row r="53" spans="1:16" x14ac:dyDescent="0.25">
      <c r="A53" s="1">
        <f t="shared" ref="A53:B53" si="48">A51+2</f>
        <v>68</v>
      </c>
      <c r="B53" s="1">
        <f t="shared" si="48"/>
        <v>72</v>
      </c>
      <c r="C53" s="1" t="str">
        <f t="shared" si="1"/>
        <v>sd</v>
      </c>
      <c r="D53" s="1">
        <v>1.36</v>
      </c>
      <c r="E53" s="1">
        <v>2.52</v>
      </c>
      <c r="F53" s="1">
        <v>2.02</v>
      </c>
      <c r="G53" s="1">
        <v>2.13</v>
      </c>
      <c r="H53" s="1">
        <v>2.16</v>
      </c>
      <c r="I53" s="1">
        <v>5.66</v>
      </c>
      <c r="J53" s="1">
        <v>1.86</v>
      </c>
      <c r="K53" s="1">
        <v>2.3199999999999998</v>
      </c>
      <c r="L53" s="1">
        <v>11.22</v>
      </c>
      <c r="M53" s="1">
        <v>0.81</v>
      </c>
      <c r="N53" s="1">
        <v>0.39</v>
      </c>
      <c r="O53" s="1">
        <v>0.93</v>
      </c>
      <c r="P53" s="1">
        <v>0.12</v>
      </c>
    </row>
    <row r="54" spans="1:16" x14ac:dyDescent="0.25">
      <c r="A54" s="1">
        <f t="shared" ref="A54:B54" si="49">A52+2</f>
        <v>70</v>
      </c>
      <c r="B54" s="1">
        <f t="shared" si="49"/>
        <v>74</v>
      </c>
      <c r="C54" s="1" t="str">
        <f t="shared" si="1"/>
        <v>m</v>
      </c>
      <c r="D54" s="1">
        <v>71.53</v>
      </c>
      <c r="E54" s="1">
        <v>14.1</v>
      </c>
      <c r="F54" s="1">
        <v>4.87</v>
      </c>
      <c r="G54" s="1">
        <v>7.4</v>
      </c>
      <c r="H54" s="1">
        <v>8.5500000000000007</v>
      </c>
      <c r="I54" s="1">
        <v>20.83</v>
      </c>
      <c r="J54" s="1">
        <v>3.38</v>
      </c>
      <c r="K54" s="1">
        <v>7.93</v>
      </c>
      <c r="L54" s="1">
        <v>87.83</v>
      </c>
      <c r="M54" s="1">
        <v>5.75</v>
      </c>
      <c r="N54" s="1">
        <v>0.1</v>
      </c>
      <c r="O54" s="1">
        <v>5.64</v>
      </c>
      <c r="P54" s="1">
        <v>0.49</v>
      </c>
    </row>
    <row r="55" spans="1:16" x14ac:dyDescent="0.25">
      <c r="A55" s="1">
        <f t="shared" ref="A55:B55" si="50">A53+2</f>
        <v>70</v>
      </c>
      <c r="B55" s="1">
        <f t="shared" si="50"/>
        <v>74</v>
      </c>
      <c r="C55" s="1" t="str">
        <f t="shared" si="1"/>
        <v>sd</v>
      </c>
      <c r="D55" s="1">
        <v>1.17</v>
      </c>
      <c r="E55" s="1">
        <v>3.24</v>
      </c>
      <c r="F55" s="1">
        <v>2.02</v>
      </c>
      <c r="G55" s="1">
        <v>2.14</v>
      </c>
      <c r="H55" s="1">
        <v>2.2000000000000002</v>
      </c>
      <c r="I55" s="1">
        <v>5.71</v>
      </c>
      <c r="J55" s="1">
        <v>1.86</v>
      </c>
      <c r="K55" s="1">
        <v>2.36</v>
      </c>
      <c r="L55" s="1">
        <v>14.34</v>
      </c>
      <c r="M55" s="1">
        <v>0.84</v>
      </c>
      <c r="N55" s="1">
        <v>0.31</v>
      </c>
      <c r="O55" s="1">
        <v>0.91</v>
      </c>
      <c r="P55" s="1">
        <v>0.12</v>
      </c>
    </row>
    <row r="56" spans="1:16" x14ac:dyDescent="0.25">
      <c r="A56" s="1">
        <f t="shared" ref="A56:B56" si="51">A54+2</f>
        <v>72</v>
      </c>
      <c r="B56" s="1">
        <f t="shared" si="51"/>
        <v>76</v>
      </c>
      <c r="C56" s="1" t="str">
        <f t="shared" si="1"/>
        <v>m</v>
      </c>
      <c r="D56" s="1">
        <v>75.39</v>
      </c>
      <c r="E56" s="1">
        <v>13.46</v>
      </c>
      <c r="F56" s="1">
        <v>4.67</v>
      </c>
      <c r="G56" s="1">
        <v>7.19</v>
      </c>
      <c r="H56" s="1">
        <v>8.35</v>
      </c>
      <c r="I56" s="1">
        <v>20.22</v>
      </c>
      <c r="J56" s="1">
        <v>3.38</v>
      </c>
      <c r="K56" s="1">
        <v>7.71</v>
      </c>
      <c r="L56" s="1">
        <v>86.44</v>
      </c>
      <c r="M56" s="1">
        <v>5.64</v>
      </c>
      <c r="N56" s="1">
        <v>0.14000000000000001</v>
      </c>
      <c r="O56" s="1">
        <v>5.5</v>
      </c>
      <c r="P56" s="1">
        <v>0.46</v>
      </c>
    </row>
    <row r="57" spans="1:16" x14ac:dyDescent="0.25">
      <c r="A57" s="1">
        <f t="shared" ref="A57:B57" si="52">A55+2</f>
        <v>72</v>
      </c>
      <c r="B57" s="1">
        <f t="shared" si="52"/>
        <v>76</v>
      </c>
      <c r="C57" s="1" t="str">
        <f t="shared" si="1"/>
        <v>sd</v>
      </c>
      <c r="D57" s="1">
        <v>2.8</v>
      </c>
      <c r="E57" s="1">
        <v>2.89</v>
      </c>
      <c r="F57" s="1">
        <v>2.0099999999999998</v>
      </c>
      <c r="G57" s="1">
        <v>2.1800000000000002</v>
      </c>
      <c r="H57" s="1">
        <v>2.2799999999999998</v>
      </c>
      <c r="I57" s="1">
        <v>5.82</v>
      </c>
      <c r="J57" s="1">
        <v>1.88</v>
      </c>
      <c r="K57" s="1">
        <v>2.4300000000000002</v>
      </c>
      <c r="L57" s="1">
        <v>14.7</v>
      </c>
      <c r="M57" s="1">
        <v>0.62</v>
      </c>
      <c r="N57" s="1">
        <v>0.36</v>
      </c>
      <c r="O57" s="1">
        <v>0.79</v>
      </c>
      <c r="P57" s="1">
        <v>0.14000000000000001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FECD-547C-42B4-87E6-AAC4FD78408D}">
  <dimension ref="A1:O29"/>
  <sheetViews>
    <sheetView tabSelected="1" workbookViewId="0">
      <selection activeCell="J13" sqref="J13"/>
    </sheetView>
  </sheetViews>
  <sheetFormatPr defaultRowHeight="15" x14ac:dyDescent="0.25"/>
  <cols>
    <col min="1" max="1" width="8.140625" style="1" bestFit="1" customWidth="1"/>
    <col min="2" max="2" width="8.85546875" style="1" bestFit="1" customWidth="1"/>
    <col min="3" max="3" width="6" style="1" bestFit="1" customWidth="1"/>
    <col min="4" max="4" width="9.85546875" style="1" bestFit="1" customWidth="1"/>
    <col min="5" max="5" width="5" style="1" bestFit="1" customWidth="1"/>
    <col min="6" max="7" width="6" style="1" bestFit="1" customWidth="1"/>
    <col min="8" max="8" width="10.85546875" style="1" bestFit="1" customWidth="1"/>
    <col min="9" max="9" width="8.28515625" style="1" bestFit="1" customWidth="1"/>
    <col min="10" max="10" width="13.85546875" style="1" bestFit="1" customWidth="1"/>
    <col min="11" max="11" width="15.85546875" style="1" bestFit="1" customWidth="1"/>
    <col min="12" max="12" width="5" style="1" bestFit="1" customWidth="1"/>
    <col min="13" max="13" width="12.42578125" style="1" bestFit="1" customWidth="1"/>
    <col min="14" max="14" width="19.85546875" style="1" bestFit="1" customWidth="1"/>
    <col min="15" max="15" width="14" style="1" bestFit="1" customWidth="1"/>
    <col min="16" max="21" width="2.28515625" style="1" customWidth="1"/>
    <col min="22" max="16384" width="9.140625" style="1"/>
  </cols>
  <sheetData>
    <row r="1" spans="1:15" x14ac:dyDescent="0.25">
      <c r="A1" s="1" t="s">
        <v>16</v>
      </c>
      <c r="B1" s="1" t="s">
        <v>17</v>
      </c>
      <c r="C1" s="1" t="s">
        <v>3</v>
      </c>
      <c r="D1" s="1" t="s">
        <v>29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1">
        <v>18</v>
      </c>
      <c r="B2" s="1">
        <v>22</v>
      </c>
      <c r="C2" s="1">
        <v>19.14</v>
      </c>
      <c r="D2" s="1">
        <v>178</v>
      </c>
      <c r="E2" s="1">
        <v>7.49</v>
      </c>
      <c r="F2" s="1">
        <v>10.14</v>
      </c>
      <c r="G2" s="1">
        <v>11.1</v>
      </c>
      <c r="H2" s="1">
        <v>28.74</v>
      </c>
      <c r="I2" s="1">
        <v>3.63</v>
      </c>
      <c r="J2" s="1">
        <v>10.79</v>
      </c>
      <c r="K2" s="1">
        <v>95.34</v>
      </c>
      <c r="L2" s="1">
        <v>5.93</v>
      </c>
      <c r="M2" s="1">
        <v>0.02</v>
      </c>
      <c r="N2" s="1">
        <v>5.91</v>
      </c>
      <c r="O2" s="1">
        <v>0.49</v>
      </c>
    </row>
    <row r="3" spans="1:15" x14ac:dyDescent="0.25">
      <c r="A3" s="1">
        <v>20</v>
      </c>
      <c r="B3" s="1">
        <v>24</v>
      </c>
      <c r="C3" s="1">
        <v>21.22</v>
      </c>
      <c r="D3" s="1">
        <v>66</v>
      </c>
      <c r="E3" s="1">
        <v>7.39</v>
      </c>
      <c r="F3" s="1">
        <v>10.029999999999999</v>
      </c>
      <c r="G3" s="1">
        <v>11</v>
      </c>
      <c r="H3" s="1">
        <v>28.44</v>
      </c>
      <c r="I3" s="1">
        <v>3.64</v>
      </c>
      <c r="J3" s="1">
        <v>10.68</v>
      </c>
      <c r="K3" s="1">
        <v>94.93</v>
      </c>
      <c r="L3" s="1">
        <v>5.95</v>
      </c>
      <c r="M3" s="1">
        <v>0.03</v>
      </c>
      <c r="N3" s="1">
        <v>5.92</v>
      </c>
      <c r="O3" s="1">
        <v>0.49</v>
      </c>
    </row>
    <row r="4" spans="1:15" x14ac:dyDescent="0.25">
      <c r="A4" s="1">
        <v>22</v>
      </c>
      <c r="B4" s="1">
        <v>26</v>
      </c>
      <c r="C4" s="1">
        <v>24.29</v>
      </c>
      <c r="D4" s="1">
        <v>47</v>
      </c>
      <c r="E4" s="1">
        <v>7.29</v>
      </c>
      <c r="F4" s="1">
        <v>9.93</v>
      </c>
      <c r="G4" s="1">
        <v>10.91</v>
      </c>
      <c r="H4" s="1">
        <v>28.13</v>
      </c>
      <c r="I4" s="1">
        <v>3.64</v>
      </c>
      <c r="J4" s="1">
        <v>10.57</v>
      </c>
      <c r="K4" s="1">
        <v>95.75</v>
      </c>
      <c r="L4" s="1">
        <v>5.91</v>
      </c>
      <c r="M4" s="1">
        <v>0</v>
      </c>
      <c r="N4" s="1">
        <v>5.91</v>
      </c>
      <c r="O4" s="1">
        <v>0.47</v>
      </c>
    </row>
    <row r="5" spans="1:15" x14ac:dyDescent="0.25">
      <c r="A5" s="1">
        <v>24</v>
      </c>
      <c r="B5" s="1">
        <v>28</v>
      </c>
      <c r="C5" s="1">
        <v>25.48</v>
      </c>
      <c r="D5" s="1">
        <v>39</v>
      </c>
      <c r="E5" s="1">
        <v>7.19</v>
      </c>
      <c r="F5" s="1">
        <v>9.82</v>
      </c>
      <c r="G5" s="1">
        <v>10.81</v>
      </c>
      <c r="H5" s="1">
        <v>27.83</v>
      </c>
      <c r="I5" s="1">
        <v>3.65</v>
      </c>
      <c r="J5" s="1">
        <v>10.46</v>
      </c>
      <c r="K5" s="1">
        <v>95.08</v>
      </c>
      <c r="L5" s="1">
        <v>5.89</v>
      </c>
      <c r="M5" s="1">
        <v>0</v>
      </c>
      <c r="N5" s="1">
        <v>5.89</v>
      </c>
      <c r="O5" s="1">
        <v>0.47</v>
      </c>
    </row>
    <row r="6" spans="1:15" x14ac:dyDescent="0.25">
      <c r="A6" s="1">
        <v>26</v>
      </c>
      <c r="B6" s="1">
        <v>30</v>
      </c>
      <c r="C6" s="1">
        <v>28.45</v>
      </c>
      <c r="D6" s="1">
        <v>42</v>
      </c>
      <c r="E6" s="1">
        <v>7.09</v>
      </c>
      <c r="F6" s="1">
        <v>9.7200000000000006</v>
      </c>
      <c r="G6" s="1">
        <v>10.71</v>
      </c>
      <c r="H6" s="1">
        <v>27.52</v>
      </c>
      <c r="I6" s="1">
        <v>3.66</v>
      </c>
      <c r="J6" s="1">
        <v>10.35</v>
      </c>
      <c r="K6" s="1">
        <v>96.67</v>
      </c>
      <c r="L6" s="1">
        <v>5.97</v>
      </c>
      <c r="M6" s="1">
        <v>0</v>
      </c>
      <c r="N6" s="1">
        <v>5.97</v>
      </c>
      <c r="O6" s="1">
        <v>0.49</v>
      </c>
    </row>
    <row r="7" spans="1:15" x14ac:dyDescent="0.25">
      <c r="A7" s="1">
        <v>28</v>
      </c>
      <c r="B7" s="1">
        <v>32</v>
      </c>
      <c r="C7" s="1">
        <v>30.02</v>
      </c>
      <c r="D7" s="1">
        <v>40</v>
      </c>
      <c r="E7" s="1">
        <v>6.99</v>
      </c>
      <c r="F7" s="1">
        <v>9.61</v>
      </c>
      <c r="G7" s="1">
        <v>10.61</v>
      </c>
      <c r="H7" s="1">
        <v>27.22</v>
      </c>
      <c r="I7" s="1">
        <v>3.66</v>
      </c>
      <c r="J7" s="1">
        <v>10.24</v>
      </c>
      <c r="K7" s="1">
        <v>96.33</v>
      </c>
      <c r="L7" s="1">
        <v>5.97</v>
      </c>
      <c r="M7" s="1">
        <v>0</v>
      </c>
      <c r="N7" s="1">
        <v>5.97</v>
      </c>
      <c r="O7" s="1">
        <v>0.49</v>
      </c>
    </row>
    <row r="8" spans="1:15" x14ac:dyDescent="0.25">
      <c r="A8" s="1">
        <v>30</v>
      </c>
      <c r="B8" s="1">
        <v>34</v>
      </c>
      <c r="C8" s="1">
        <v>31.69</v>
      </c>
      <c r="D8" s="1">
        <v>42</v>
      </c>
      <c r="E8" s="1">
        <v>6.89</v>
      </c>
      <c r="F8" s="1">
        <v>9.51</v>
      </c>
      <c r="G8" s="1">
        <v>10.51</v>
      </c>
      <c r="H8" s="1">
        <v>26.92</v>
      </c>
      <c r="I8" s="1">
        <v>3.67</v>
      </c>
      <c r="J8" s="1">
        <v>10.130000000000001</v>
      </c>
      <c r="K8" s="1">
        <v>96.2</v>
      </c>
      <c r="L8" s="1">
        <v>5.97</v>
      </c>
      <c r="M8" s="1">
        <v>0</v>
      </c>
      <c r="N8" s="1">
        <v>5.97</v>
      </c>
      <c r="O8" s="1">
        <v>0.49</v>
      </c>
    </row>
    <row r="9" spans="1:15" x14ac:dyDescent="0.25">
      <c r="A9" s="1">
        <v>32</v>
      </c>
      <c r="B9" s="1">
        <v>36</v>
      </c>
      <c r="C9" s="1">
        <v>34.18</v>
      </c>
      <c r="D9" s="1">
        <v>37</v>
      </c>
      <c r="E9" s="1">
        <v>6.79</v>
      </c>
      <c r="F9" s="1">
        <v>9.4</v>
      </c>
      <c r="G9" s="1">
        <v>10.41</v>
      </c>
      <c r="H9" s="1">
        <v>26.61</v>
      </c>
      <c r="I9" s="1">
        <v>3.67</v>
      </c>
      <c r="J9" s="1">
        <v>10.02</v>
      </c>
      <c r="K9" s="1">
        <v>94.36</v>
      </c>
      <c r="L9" s="1">
        <v>5.86</v>
      </c>
      <c r="M9" s="1">
        <v>0</v>
      </c>
      <c r="N9" s="1">
        <v>5.86</v>
      </c>
      <c r="O9" s="1">
        <v>0.47</v>
      </c>
    </row>
    <row r="10" spans="1:15" x14ac:dyDescent="0.25">
      <c r="A10" s="1">
        <v>34</v>
      </c>
      <c r="B10" s="1">
        <v>38</v>
      </c>
      <c r="C10" s="1">
        <v>36.15</v>
      </c>
      <c r="D10" s="1">
        <v>51</v>
      </c>
      <c r="E10" s="1">
        <v>6.69</v>
      </c>
      <c r="F10" s="1">
        <v>9.2899999999999991</v>
      </c>
      <c r="G10" s="1">
        <v>10.32</v>
      </c>
      <c r="H10" s="1">
        <v>26.31</v>
      </c>
      <c r="I10" s="1">
        <v>3.68</v>
      </c>
      <c r="J10" s="1">
        <v>9.91</v>
      </c>
      <c r="K10" s="1">
        <v>94.07</v>
      </c>
      <c r="L10" s="1">
        <v>5.82</v>
      </c>
      <c r="M10" s="1">
        <v>0.02</v>
      </c>
      <c r="N10" s="1">
        <v>5.8</v>
      </c>
      <c r="O10" s="1">
        <v>0.46</v>
      </c>
    </row>
    <row r="11" spans="1:15" x14ac:dyDescent="0.25">
      <c r="A11" s="1">
        <v>36</v>
      </c>
      <c r="B11" s="1">
        <v>40</v>
      </c>
      <c r="C11" s="1">
        <v>37.979999999999997</v>
      </c>
      <c r="D11" s="1">
        <v>57</v>
      </c>
      <c r="E11" s="1">
        <v>6.59</v>
      </c>
      <c r="F11" s="1">
        <v>9.19</v>
      </c>
      <c r="G11" s="1">
        <v>10.220000000000001</v>
      </c>
      <c r="H11" s="1">
        <v>26</v>
      </c>
      <c r="I11" s="1">
        <v>3.69</v>
      </c>
      <c r="J11" s="1">
        <v>9.8000000000000007</v>
      </c>
      <c r="K11" s="1">
        <v>93.3</v>
      </c>
      <c r="L11" s="1">
        <v>5.82</v>
      </c>
      <c r="M11" s="1">
        <v>0.03</v>
      </c>
      <c r="N11" s="1">
        <v>5.78</v>
      </c>
      <c r="O11" s="1">
        <v>0.47</v>
      </c>
    </row>
    <row r="12" spans="1:15" x14ac:dyDescent="0.25">
      <c r="A12" s="1">
        <v>38</v>
      </c>
      <c r="B12" s="1">
        <v>42</v>
      </c>
      <c r="C12" s="1">
        <v>39.93</v>
      </c>
      <c r="D12" s="1">
        <v>43</v>
      </c>
      <c r="E12" s="1">
        <v>6.49</v>
      </c>
      <c r="F12" s="1">
        <v>9.08</v>
      </c>
      <c r="G12" s="1">
        <v>10.119999999999999</v>
      </c>
      <c r="H12" s="1">
        <v>25.7</v>
      </c>
      <c r="I12" s="1">
        <v>3.69</v>
      </c>
      <c r="J12" s="1">
        <v>9.69</v>
      </c>
      <c r="K12" s="1">
        <v>91.63</v>
      </c>
      <c r="L12" s="1">
        <v>5.9</v>
      </c>
      <c r="M12" s="1">
        <v>0.04</v>
      </c>
      <c r="N12" s="1">
        <v>5.86</v>
      </c>
      <c r="O12" s="1">
        <v>0.48</v>
      </c>
    </row>
    <row r="13" spans="1:15" x14ac:dyDescent="0.25">
      <c r="A13" s="1">
        <v>40</v>
      </c>
      <c r="B13" s="1">
        <v>44</v>
      </c>
      <c r="C13" s="1">
        <v>42</v>
      </c>
      <c r="D13" s="1">
        <v>54</v>
      </c>
      <c r="E13" s="1">
        <v>6.39</v>
      </c>
      <c r="F13" s="1">
        <v>8.98</v>
      </c>
      <c r="G13" s="1">
        <v>10.02</v>
      </c>
      <c r="H13" s="1">
        <v>25.4</v>
      </c>
      <c r="I13" s="1">
        <v>3.7</v>
      </c>
      <c r="J13" s="1">
        <v>9.58</v>
      </c>
      <c r="K13" s="1">
        <v>93.61</v>
      </c>
      <c r="L13" s="1">
        <v>5.96</v>
      </c>
      <c r="M13" s="1">
        <v>0.19</v>
      </c>
      <c r="N13" s="1">
        <v>5.94</v>
      </c>
      <c r="O13" s="1">
        <v>0.49</v>
      </c>
    </row>
    <row r="14" spans="1:15" x14ac:dyDescent="0.25">
      <c r="A14" s="1">
        <v>42</v>
      </c>
      <c r="B14" s="1">
        <v>46</v>
      </c>
      <c r="C14" s="1">
        <v>44.08</v>
      </c>
      <c r="D14" s="1">
        <v>49</v>
      </c>
      <c r="E14" s="1">
        <v>6.28</v>
      </c>
      <c r="F14" s="1">
        <v>8.8699999999999992</v>
      </c>
      <c r="G14" s="1">
        <v>9.92</v>
      </c>
      <c r="H14" s="1">
        <v>25.09</v>
      </c>
      <c r="I14" s="1">
        <v>3.7</v>
      </c>
      <c r="J14" s="1">
        <v>9.4700000000000006</v>
      </c>
      <c r="K14" s="1">
        <v>94.55</v>
      </c>
      <c r="L14" s="1">
        <v>5.98</v>
      </c>
      <c r="M14" s="1">
        <v>0.04</v>
      </c>
      <c r="N14" s="1">
        <v>5.93</v>
      </c>
      <c r="O14" s="1">
        <v>0.5</v>
      </c>
    </row>
    <row r="15" spans="1:15" x14ac:dyDescent="0.25">
      <c r="A15" s="1">
        <v>44</v>
      </c>
      <c r="B15" s="1">
        <v>48</v>
      </c>
      <c r="C15" s="1">
        <v>46</v>
      </c>
      <c r="D15" s="1">
        <v>48</v>
      </c>
      <c r="E15" s="1">
        <v>6.18</v>
      </c>
      <c r="F15" s="1">
        <v>8.77</v>
      </c>
      <c r="G15" s="1">
        <v>9.83</v>
      </c>
      <c r="H15" s="1">
        <v>24.79</v>
      </c>
      <c r="I15" s="1">
        <v>3.71</v>
      </c>
      <c r="J15" s="1">
        <v>9.36</v>
      </c>
      <c r="K15" s="1">
        <v>93.26</v>
      </c>
      <c r="L15" s="1">
        <v>5.89</v>
      </c>
      <c r="M15" s="1">
        <v>0.02</v>
      </c>
      <c r="N15" s="1">
        <v>5.87</v>
      </c>
      <c r="O15" s="1">
        <v>0.47</v>
      </c>
    </row>
    <row r="16" spans="1:15" x14ac:dyDescent="0.25">
      <c r="A16" s="1">
        <v>46</v>
      </c>
      <c r="B16" s="1">
        <v>50</v>
      </c>
      <c r="C16" s="1">
        <v>47.61</v>
      </c>
      <c r="D16" s="1">
        <v>41</v>
      </c>
      <c r="E16" s="1">
        <v>6.08</v>
      </c>
      <c r="F16" s="1">
        <v>8.66</v>
      </c>
      <c r="G16" s="1">
        <v>9.73</v>
      </c>
      <c r="H16" s="1">
        <v>24.48</v>
      </c>
      <c r="I16" s="1">
        <v>3.71</v>
      </c>
      <c r="J16" s="1">
        <v>9.25</v>
      </c>
      <c r="K16" s="1">
        <v>93.38</v>
      </c>
      <c r="L16" s="1">
        <v>5.87</v>
      </c>
      <c r="M16" s="1">
        <v>0.02</v>
      </c>
      <c r="N16" s="1">
        <v>5.85</v>
      </c>
      <c r="O16" s="1">
        <v>0.47</v>
      </c>
    </row>
    <row r="17" spans="1:15" x14ac:dyDescent="0.25">
      <c r="A17" s="1">
        <v>48</v>
      </c>
      <c r="B17" s="1">
        <v>52</v>
      </c>
      <c r="C17" s="1">
        <v>50.07</v>
      </c>
      <c r="D17" s="1">
        <v>39</v>
      </c>
      <c r="E17" s="1">
        <v>5.98</v>
      </c>
      <c r="F17" s="1">
        <v>8.56</v>
      </c>
      <c r="G17" s="1">
        <v>9.6300000000000008</v>
      </c>
      <c r="H17" s="1">
        <v>24.18</v>
      </c>
      <c r="I17" s="1">
        <v>3.72</v>
      </c>
      <c r="J17" s="1">
        <v>9.14</v>
      </c>
      <c r="K17" s="1">
        <v>94.16</v>
      </c>
      <c r="L17" s="1">
        <v>5.76</v>
      </c>
      <c r="M17" s="1">
        <v>0.02</v>
      </c>
      <c r="N17" s="1">
        <v>5.74</v>
      </c>
      <c r="O17" s="1">
        <v>0.44</v>
      </c>
    </row>
    <row r="18" spans="1:15" x14ac:dyDescent="0.25">
      <c r="A18" s="1">
        <v>50</v>
      </c>
      <c r="B18" s="1">
        <v>54</v>
      </c>
      <c r="C18" s="1">
        <v>52.16</v>
      </c>
      <c r="D18" s="1">
        <v>36</v>
      </c>
      <c r="E18" s="1">
        <v>5.88</v>
      </c>
      <c r="F18" s="1">
        <v>8.4499999999999993</v>
      </c>
      <c r="G18" s="1">
        <v>9.5299999999999994</v>
      </c>
      <c r="H18" s="1">
        <v>23.87</v>
      </c>
      <c r="I18" s="1">
        <v>3.73</v>
      </c>
      <c r="J18" s="1">
        <v>9.0299999999999994</v>
      </c>
      <c r="K18" s="1">
        <v>95.96</v>
      </c>
      <c r="L18" s="1">
        <v>5.86</v>
      </c>
      <c r="M18" s="1">
        <v>0.02</v>
      </c>
      <c r="N18" s="1">
        <v>5.83</v>
      </c>
      <c r="O18" s="1">
        <v>0.47</v>
      </c>
    </row>
    <row r="19" spans="1:15" x14ac:dyDescent="0.25">
      <c r="A19" s="1">
        <v>52</v>
      </c>
      <c r="B19" s="1">
        <v>56</v>
      </c>
      <c r="C19" s="1">
        <v>53.6</v>
      </c>
      <c r="D19" s="1">
        <v>38</v>
      </c>
      <c r="E19" s="1">
        <v>5.78</v>
      </c>
      <c r="F19" s="1">
        <v>8.35</v>
      </c>
      <c r="G19" s="1">
        <v>9.43</v>
      </c>
      <c r="H19" s="1">
        <v>23.57</v>
      </c>
      <c r="I19" s="1">
        <v>3.73</v>
      </c>
      <c r="J19" s="1">
        <v>8.92</v>
      </c>
      <c r="K19" s="1">
        <v>94.54</v>
      </c>
      <c r="L19" s="1">
        <v>5.89</v>
      </c>
      <c r="M19" s="1">
        <v>7.0000000000000007E-2</v>
      </c>
      <c r="N19" s="1">
        <v>5.81</v>
      </c>
      <c r="O19" s="1">
        <v>0.49</v>
      </c>
    </row>
    <row r="20" spans="1:15" x14ac:dyDescent="0.25">
      <c r="A20" s="1">
        <v>54</v>
      </c>
      <c r="B20" s="1">
        <v>58</v>
      </c>
      <c r="C20" s="1">
        <v>56.06</v>
      </c>
      <c r="D20" s="1">
        <v>32</v>
      </c>
      <c r="E20" s="1">
        <v>5.68</v>
      </c>
      <c r="F20" s="1">
        <v>8.24</v>
      </c>
      <c r="G20" s="1">
        <v>9.33</v>
      </c>
      <c r="H20" s="1">
        <v>23.27</v>
      </c>
      <c r="I20" s="1">
        <v>3.74</v>
      </c>
      <c r="J20" s="1">
        <v>8.81</v>
      </c>
      <c r="K20" s="1">
        <v>93.99</v>
      </c>
      <c r="L20" s="1">
        <v>5.81</v>
      </c>
      <c r="M20" s="1">
        <v>0.09</v>
      </c>
      <c r="N20" s="1">
        <v>5.71</v>
      </c>
      <c r="O20" s="1">
        <v>0.48</v>
      </c>
    </row>
    <row r="21" spans="1:15" x14ac:dyDescent="0.25">
      <c r="A21" s="1">
        <v>56</v>
      </c>
      <c r="B21" s="1">
        <v>60</v>
      </c>
      <c r="C21" s="1">
        <v>58.11</v>
      </c>
      <c r="D21" s="1">
        <v>34</v>
      </c>
      <c r="E21" s="1">
        <v>5.58</v>
      </c>
      <c r="F21" s="1">
        <v>8.14</v>
      </c>
      <c r="G21" s="1">
        <v>9.24</v>
      </c>
      <c r="H21" s="1">
        <v>22.96</v>
      </c>
      <c r="I21" s="1">
        <v>3.74</v>
      </c>
      <c r="J21" s="1">
        <v>8.6999999999999993</v>
      </c>
      <c r="K21" s="1">
        <v>93.88</v>
      </c>
      <c r="L21" s="1">
        <v>5.82</v>
      </c>
      <c r="M21" s="1">
        <v>0.05</v>
      </c>
      <c r="N21" s="1">
        <v>5.76</v>
      </c>
      <c r="O21" s="1">
        <v>0.47</v>
      </c>
    </row>
    <row r="22" spans="1:15" x14ac:dyDescent="0.25">
      <c r="A22" s="1">
        <v>58</v>
      </c>
      <c r="B22" s="1">
        <v>62</v>
      </c>
      <c r="C22" s="1">
        <v>59.65</v>
      </c>
      <c r="D22" s="1">
        <v>29</v>
      </c>
      <c r="E22" s="1">
        <v>5.48</v>
      </c>
      <c r="F22" s="1">
        <v>8.0299999999999994</v>
      </c>
      <c r="G22" s="1">
        <v>9.14</v>
      </c>
      <c r="H22" s="1">
        <v>22.66</v>
      </c>
      <c r="I22" s="1">
        <v>3.75</v>
      </c>
      <c r="J22" s="1">
        <v>8.59</v>
      </c>
      <c r="K22" s="1">
        <v>93.71</v>
      </c>
      <c r="L22" s="1">
        <v>5.86</v>
      </c>
      <c r="M22" s="1">
        <v>0</v>
      </c>
      <c r="N22" s="1">
        <v>5.86</v>
      </c>
      <c r="O22" s="1">
        <v>0.47</v>
      </c>
    </row>
    <row r="23" spans="1:15" x14ac:dyDescent="0.25">
      <c r="A23" s="1">
        <v>60</v>
      </c>
      <c r="B23" s="1">
        <v>64</v>
      </c>
      <c r="C23" s="1">
        <v>62.3</v>
      </c>
      <c r="D23" s="1">
        <v>26</v>
      </c>
      <c r="E23" s="1">
        <v>5.38</v>
      </c>
      <c r="F23" s="1">
        <v>7.93</v>
      </c>
      <c r="G23" s="1">
        <v>9.0399999999999991</v>
      </c>
      <c r="H23" s="1">
        <v>22.35</v>
      </c>
      <c r="I23" s="1">
        <v>3.76</v>
      </c>
      <c r="J23" s="1">
        <v>8.48</v>
      </c>
      <c r="K23" s="1">
        <v>90.66</v>
      </c>
      <c r="L23" s="1">
        <v>5.92</v>
      </c>
      <c r="M23" s="1">
        <v>0</v>
      </c>
      <c r="N23" s="1">
        <v>5.92</v>
      </c>
      <c r="O23" s="1">
        <v>0.48</v>
      </c>
    </row>
    <row r="24" spans="1:15" x14ac:dyDescent="0.25">
      <c r="A24" s="1">
        <v>62</v>
      </c>
      <c r="B24" s="1">
        <v>66</v>
      </c>
      <c r="C24" s="1">
        <v>63.85</v>
      </c>
      <c r="D24" s="1">
        <v>27</v>
      </c>
      <c r="E24" s="1">
        <v>5.28</v>
      </c>
      <c r="F24" s="1">
        <v>7.82</v>
      </c>
      <c r="G24" s="1">
        <v>8.9700000000000006</v>
      </c>
      <c r="H24" s="1">
        <v>22.05</v>
      </c>
      <c r="I24" s="1">
        <v>3.76</v>
      </c>
      <c r="J24" s="1">
        <v>8.3699999999999992</v>
      </c>
      <c r="K24" s="1">
        <v>89.46</v>
      </c>
      <c r="L24" s="1">
        <v>5.92</v>
      </c>
      <c r="M24" s="1">
        <v>0</v>
      </c>
      <c r="N24" s="1">
        <v>5.92</v>
      </c>
      <c r="O24" s="1">
        <v>0.48</v>
      </c>
    </row>
    <row r="25" spans="1:15" x14ac:dyDescent="0.25">
      <c r="A25" s="1">
        <v>64</v>
      </c>
      <c r="B25" s="1">
        <v>68</v>
      </c>
      <c r="C25" s="1">
        <v>65.88</v>
      </c>
      <c r="D25" s="1">
        <v>27</v>
      </c>
      <c r="E25" s="1">
        <v>5.18</v>
      </c>
      <c r="F25" s="1">
        <v>7.72</v>
      </c>
      <c r="G25" s="1">
        <v>8.84</v>
      </c>
      <c r="H25" s="1">
        <v>21.74</v>
      </c>
      <c r="I25" s="1">
        <v>3.77</v>
      </c>
      <c r="J25" s="1">
        <v>8.26</v>
      </c>
      <c r="K25" s="1">
        <v>90.29</v>
      </c>
      <c r="L25" s="1">
        <v>5.88</v>
      </c>
      <c r="M25" s="1">
        <v>0.03</v>
      </c>
      <c r="N25" s="1">
        <v>5.85</v>
      </c>
      <c r="O25" s="1">
        <v>0.48</v>
      </c>
    </row>
    <row r="26" spans="1:15" x14ac:dyDescent="0.25">
      <c r="A26" s="1">
        <v>66</v>
      </c>
      <c r="B26" s="1">
        <v>70</v>
      </c>
      <c r="C26" s="1">
        <v>68.099999999999994</v>
      </c>
      <c r="D26" s="1">
        <v>29</v>
      </c>
      <c r="E26" s="1">
        <v>5.07</v>
      </c>
      <c r="F26" s="1">
        <v>7.61</v>
      </c>
      <c r="G26" s="1">
        <v>8.75</v>
      </c>
      <c r="H26" s="1">
        <v>21.44</v>
      </c>
      <c r="I26" s="1">
        <v>3.77</v>
      </c>
      <c r="J26" s="1">
        <v>8.15</v>
      </c>
      <c r="K26" s="1">
        <v>90.33</v>
      </c>
      <c r="L26" s="1">
        <v>5.65</v>
      </c>
      <c r="M26" s="1">
        <v>0.1</v>
      </c>
      <c r="N26" s="1">
        <v>5.55</v>
      </c>
      <c r="O26" s="1">
        <v>0.46</v>
      </c>
    </row>
    <row r="27" spans="1:15" x14ac:dyDescent="0.25">
      <c r="A27" s="1">
        <v>68</v>
      </c>
      <c r="B27" s="1">
        <v>72</v>
      </c>
      <c r="C27" s="1">
        <v>70.12</v>
      </c>
      <c r="D27" s="1">
        <v>33</v>
      </c>
      <c r="E27" s="1">
        <v>4.97</v>
      </c>
      <c r="F27" s="1">
        <v>7.51</v>
      </c>
      <c r="G27" s="1">
        <v>8.65</v>
      </c>
      <c r="H27" s="1">
        <v>21.14</v>
      </c>
      <c r="I27" s="1">
        <v>3.78</v>
      </c>
      <c r="J27" s="1">
        <v>8.0399999999999991</v>
      </c>
      <c r="K27" s="1">
        <v>89.84</v>
      </c>
      <c r="L27" s="1">
        <v>5.69</v>
      </c>
      <c r="M27" s="1">
        <v>0.18</v>
      </c>
      <c r="N27" s="1">
        <v>5.15</v>
      </c>
      <c r="O27" s="1">
        <v>0.49</v>
      </c>
    </row>
    <row r="28" spans="1:15" x14ac:dyDescent="0.25">
      <c r="A28" s="1">
        <v>70</v>
      </c>
      <c r="B28" s="1">
        <v>74</v>
      </c>
      <c r="C28" s="1">
        <v>71.53</v>
      </c>
      <c r="D28" s="1">
        <v>28</v>
      </c>
      <c r="E28" s="1">
        <v>4.87</v>
      </c>
      <c r="F28" s="1">
        <v>7.4</v>
      </c>
      <c r="G28" s="1">
        <v>8.5500000000000007</v>
      </c>
      <c r="H28" s="1">
        <v>20.83</v>
      </c>
      <c r="I28" s="1">
        <v>3.38</v>
      </c>
      <c r="J28" s="1">
        <v>7.93</v>
      </c>
      <c r="K28" s="1">
        <v>87.83</v>
      </c>
      <c r="L28" s="1">
        <v>5.75</v>
      </c>
      <c r="M28" s="1">
        <v>0.1</v>
      </c>
      <c r="N28" s="1">
        <v>5.64</v>
      </c>
      <c r="O28" s="1">
        <v>0.49</v>
      </c>
    </row>
    <row r="29" spans="1:15" x14ac:dyDescent="0.25">
      <c r="A29" s="1">
        <v>72</v>
      </c>
      <c r="B29" s="1">
        <v>76</v>
      </c>
      <c r="C29" s="1">
        <v>75.39</v>
      </c>
      <c r="D29" s="1">
        <v>28</v>
      </c>
      <c r="E29" s="1">
        <v>4.67</v>
      </c>
      <c r="F29" s="1">
        <v>7.19</v>
      </c>
      <c r="G29" s="1">
        <v>8.35</v>
      </c>
      <c r="H29" s="1">
        <v>20.22</v>
      </c>
      <c r="I29" s="1">
        <v>3.38</v>
      </c>
      <c r="J29" s="1">
        <v>7.71</v>
      </c>
      <c r="K29" s="1">
        <v>86.44</v>
      </c>
      <c r="L29" s="1">
        <v>5.64</v>
      </c>
      <c r="M29" s="1">
        <v>0.14000000000000001</v>
      </c>
      <c r="N29" s="1">
        <v>5.5</v>
      </c>
      <c r="O29" s="1">
        <v>0.46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E9AD-3B4F-4625-82E3-4CBAC559176D}">
  <dimension ref="A1:O29"/>
  <sheetViews>
    <sheetView workbookViewId="0">
      <selection activeCell="M7" sqref="M7"/>
    </sheetView>
  </sheetViews>
  <sheetFormatPr defaultRowHeight="15" x14ac:dyDescent="0.25"/>
  <cols>
    <col min="1" max="2" width="5.140625" style="1" bestFit="1" customWidth="1"/>
    <col min="3" max="3" width="4.140625" style="1" bestFit="1" customWidth="1"/>
    <col min="4" max="4" width="9.85546875" style="1" bestFit="1" customWidth="1"/>
    <col min="5" max="5" width="6" style="1" bestFit="1" customWidth="1"/>
    <col min="6" max="6" width="5" style="1" bestFit="1" customWidth="1"/>
    <col min="7" max="7" width="6" style="1" bestFit="1" customWidth="1"/>
    <col min="8" max="8" width="10.85546875" style="1" bestFit="1" customWidth="1"/>
    <col min="9" max="9" width="8.28515625" style="1" bestFit="1" customWidth="1"/>
    <col min="10" max="10" width="13.85546875" style="1" bestFit="1" customWidth="1"/>
    <col min="11" max="11" width="15.85546875" style="1" bestFit="1" customWidth="1"/>
    <col min="12" max="12" width="6" style="1" bestFit="1" customWidth="1"/>
    <col min="13" max="13" width="12.42578125" style="1" bestFit="1" customWidth="1"/>
    <col min="14" max="14" width="19.85546875" style="1" bestFit="1" customWidth="1"/>
    <col min="15" max="15" width="14" style="1" bestFit="1" customWidth="1"/>
    <col min="16" max="16" width="5" style="1" bestFit="1" customWidth="1"/>
    <col min="17" max="16384" width="9.140625" style="1"/>
  </cols>
  <sheetData>
    <row r="1" spans="1:15" x14ac:dyDescent="0.25">
      <c r="A1" s="1" t="s">
        <v>16</v>
      </c>
      <c r="B1" s="1" t="s">
        <v>17</v>
      </c>
      <c r="C1" s="1" t="s">
        <v>3</v>
      </c>
      <c r="D1" s="1" t="s">
        <v>29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1">
        <v>18</v>
      </c>
      <c r="B2" s="1">
        <v>22</v>
      </c>
      <c r="C2" s="1">
        <v>1.22</v>
      </c>
      <c r="D2" s="1">
        <v>178</v>
      </c>
      <c r="E2" s="1">
        <v>2.04</v>
      </c>
      <c r="F2" s="1">
        <v>1.74</v>
      </c>
      <c r="G2" s="1">
        <v>1.1599999999999999</v>
      </c>
      <c r="H2" s="1">
        <v>4.32</v>
      </c>
      <c r="I2" s="1">
        <v>1.67</v>
      </c>
      <c r="J2" s="1">
        <v>1.37</v>
      </c>
      <c r="K2" s="1">
        <v>6.6</v>
      </c>
      <c r="L2" s="1">
        <v>0.28000000000000003</v>
      </c>
      <c r="M2" s="1">
        <v>0.14000000000000001</v>
      </c>
      <c r="N2" s="1">
        <v>0.31</v>
      </c>
      <c r="O2" s="1">
        <v>7.0000000000000007E-2</v>
      </c>
    </row>
    <row r="3" spans="1:15" x14ac:dyDescent="0.25">
      <c r="A3" s="1">
        <v>20</v>
      </c>
      <c r="B3" s="1">
        <v>24</v>
      </c>
      <c r="C3" s="1">
        <v>1.25</v>
      </c>
      <c r="D3" s="1">
        <v>66</v>
      </c>
      <c r="E3" s="1">
        <v>2.04</v>
      </c>
      <c r="F3" s="1">
        <v>1.76</v>
      </c>
      <c r="G3" s="1">
        <v>1.2</v>
      </c>
      <c r="H3" s="1">
        <v>4.38</v>
      </c>
      <c r="I3" s="1">
        <v>1.68</v>
      </c>
      <c r="J3" s="1">
        <v>1.41</v>
      </c>
      <c r="K3" s="1">
        <v>7.26</v>
      </c>
      <c r="L3" s="1">
        <v>0.21</v>
      </c>
      <c r="M3" s="1">
        <v>0.17</v>
      </c>
      <c r="N3" s="1">
        <v>0.26</v>
      </c>
      <c r="O3" s="1">
        <v>0.06</v>
      </c>
    </row>
    <row r="4" spans="1:15" x14ac:dyDescent="0.25">
      <c r="A4" s="1">
        <v>22</v>
      </c>
      <c r="B4" s="1">
        <v>26</v>
      </c>
      <c r="C4" s="1">
        <v>1.42</v>
      </c>
      <c r="D4" s="1">
        <v>47</v>
      </c>
      <c r="E4" s="1">
        <v>2.04</v>
      </c>
      <c r="F4" s="1">
        <v>1.77</v>
      </c>
      <c r="G4" s="1">
        <v>1.24</v>
      </c>
      <c r="H4" s="1">
        <v>4.43</v>
      </c>
      <c r="I4" s="1">
        <v>1.68</v>
      </c>
      <c r="J4" s="1">
        <v>1.45</v>
      </c>
      <c r="K4" s="1">
        <v>7.53</v>
      </c>
      <c r="L4" s="1">
        <v>0.28000000000000003</v>
      </c>
      <c r="M4" s="1">
        <v>0</v>
      </c>
      <c r="N4" s="1">
        <v>0.28000000000000003</v>
      </c>
      <c r="O4" s="1">
        <v>7.0000000000000007E-2</v>
      </c>
    </row>
    <row r="5" spans="1:15" x14ac:dyDescent="0.25">
      <c r="A5" s="1">
        <v>24</v>
      </c>
      <c r="B5" s="1">
        <v>28</v>
      </c>
      <c r="C5" s="1">
        <v>1.0900000000000001</v>
      </c>
      <c r="D5" s="1">
        <v>39</v>
      </c>
      <c r="E5" s="1">
        <v>2.04</v>
      </c>
      <c r="F5" s="1">
        <v>1.79</v>
      </c>
      <c r="G5" s="1">
        <v>1.28</v>
      </c>
      <c r="H5" s="1">
        <v>4.4800000000000004</v>
      </c>
      <c r="I5" s="1">
        <v>1.69</v>
      </c>
      <c r="J5" s="1">
        <v>1.48</v>
      </c>
      <c r="K5" s="1">
        <v>8.0399999999999991</v>
      </c>
      <c r="L5" s="1">
        <v>0.3</v>
      </c>
      <c r="M5" s="1">
        <v>0</v>
      </c>
      <c r="N5" s="1">
        <v>0.3</v>
      </c>
      <c r="O5" s="1">
        <v>7.0000000000000007E-2</v>
      </c>
    </row>
    <row r="6" spans="1:15" x14ac:dyDescent="0.25">
      <c r="A6" s="1">
        <v>26</v>
      </c>
      <c r="B6" s="1">
        <v>30</v>
      </c>
      <c r="C6" s="1">
        <v>1.62</v>
      </c>
      <c r="D6" s="1">
        <v>42</v>
      </c>
      <c r="E6" s="1">
        <v>2.0299999999999998</v>
      </c>
      <c r="F6" s="1">
        <v>1.8</v>
      </c>
      <c r="G6" s="1">
        <v>1.32</v>
      </c>
      <c r="H6" s="1">
        <v>4.54</v>
      </c>
      <c r="I6" s="1">
        <v>1.7</v>
      </c>
      <c r="J6" s="1">
        <v>1.52</v>
      </c>
      <c r="K6" s="1">
        <v>6.31</v>
      </c>
      <c r="L6" s="1">
        <v>0.15</v>
      </c>
      <c r="M6" s="1">
        <v>0</v>
      </c>
      <c r="N6" s="1">
        <v>0.15</v>
      </c>
      <c r="O6" s="1">
        <v>0.03</v>
      </c>
    </row>
    <row r="7" spans="1:15" x14ac:dyDescent="0.25">
      <c r="A7" s="1">
        <v>28</v>
      </c>
      <c r="B7" s="1">
        <v>32</v>
      </c>
      <c r="C7" s="1">
        <v>1.1399999999999999</v>
      </c>
      <c r="D7" s="1">
        <v>40</v>
      </c>
      <c r="E7" s="1">
        <v>2.0299999999999998</v>
      </c>
      <c r="F7" s="1">
        <v>1.82</v>
      </c>
      <c r="G7" s="1">
        <v>1.36</v>
      </c>
      <c r="H7" s="1">
        <v>4.59</v>
      </c>
      <c r="I7" s="1">
        <v>1.71</v>
      </c>
      <c r="J7" s="1">
        <v>1.56</v>
      </c>
      <c r="K7" s="1">
        <v>5.36</v>
      </c>
      <c r="L7" s="1">
        <v>0.15</v>
      </c>
      <c r="M7" s="1">
        <v>0</v>
      </c>
      <c r="N7" s="1">
        <v>0.15</v>
      </c>
      <c r="O7" s="1">
        <v>0.04</v>
      </c>
    </row>
    <row r="8" spans="1:15" x14ac:dyDescent="0.25">
      <c r="A8" s="1">
        <v>30</v>
      </c>
      <c r="B8" s="1">
        <v>34</v>
      </c>
      <c r="C8" s="1">
        <v>1.61</v>
      </c>
      <c r="D8" s="1">
        <v>42</v>
      </c>
      <c r="E8" s="1">
        <v>2.0299999999999998</v>
      </c>
      <c r="F8" s="1">
        <v>1.83</v>
      </c>
      <c r="G8" s="1">
        <v>1.4</v>
      </c>
      <c r="H8" s="1">
        <v>4.6399999999999997</v>
      </c>
      <c r="I8" s="1">
        <v>1.71</v>
      </c>
      <c r="J8" s="1">
        <v>1.6</v>
      </c>
      <c r="K8" s="1">
        <v>4.74</v>
      </c>
      <c r="L8" s="1">
        <v>0.15</v>
      </c>
      <c r="M8" s="1">
        <v>0</v>
      </c>
      <c r="N8" s="1">
        <v>0.15</v>
      </c>
      <c r="O8" s="1">
        <v>0.03</v>
      </c>
    </row>
    <row r="9" spans="1:15" x14ac:dyDescent="0.25">
      <c r="A9" s="1">
        <v>32</v>
      </c>
      <c r="B9" s="1">
        <v>36</v>
      </c>
      <c r="C9" s="1">
        <v>1.41</v>
      </c>
      <c r="D9" s="1">
        <v>37</v>
      </c>
      <c r="E9" s="1">
        <v>2.0299999999999998</v>
      </c>
      <c r="F9" s="1">
        <v>1.85</v>
      </c>
      <c r="G9" s="1">
        <v>1.44</v>
      </c>
      <c r="H9" s="1">
        <v>4.7</v>
      </c>
      <c r="I9" s="1">
        <v>1.72</v>
      </c>
      <c r="J9" s="1">
        <v>1.64</v>
      </c>
      <c r="K9" s="1">
        <v>8.52</v>
      </c>
      <c r="L9" s="1">
        <v>0.53</v>
      </c>
      <c r="M9" s="1">
        <v>0</v>
      </c>
      <c r="N9" s="1">
        <v>0.53</v>
      </c>
      <c r="O9" s="1">
        <v>0.08</v>
      </c>
    </row>
    <row r="10" spans="1:15" x14ac:dyDescent="0.25">
      <c r="A10" s="1">
        <v>34</v>
      </c>
      <c r="B10" s="1">
        <v>38</v>
      </c>
      <c r="C10" s="1">
        <v>1.33</v>
      </c>
      <c r="D10" s="1">
        <v>51</v>
      </c>
      <c r="E10" s="1">
        <v>2.0299999999999998</v>
      </c>
      <c r="F10" s="1">
        <v>1.86</v>
      </c>
      <c r="G10" s="1">
        <v>1.48</v>
      </c>
      <c r="H10" s="1">
        <v>4.75</v>
      </c>
      <c r="I10" s="1">
        <v>1.73</v>
      </c>
      <c r="J10" s="1">
        <v>1.67</v>
      </c>
      <c r="K10" s="1">
        <v>8.84</v>
      </c>
      <c r="L10" s="1">
        <v>0.51</v>
      </c>
      <c r="M10" s="1">
        <v>0.14000000000000001</v>
      </c>
      <c r="N10" s="1">
        <v>0.56000000000000005</v>
      </c>
      <c r="O10" s="1">
        <v>0.09</v>
      </c>
    </row>
    <row r="11" spans="1:15" x14ac:dyDescent="0.25">
      <c r="A11" s="1">
        <v>36</v>
      </c>
      <c r="B11" s="1">
        <v>40</v>
      </c>
      <c r="C11" s="1">
        <v>1.45</v>
      </c>
      <c r="D11" s="1">
        <v>57</v>
      </c>
      <c r="E11" s="1">
        <v>2.0299999999999998</v>
      </c>
      <c r="F11" s="1">
        <v>1.88</v>
      </c>
      <c r="G11" s="1">
        <v>1.52</v>
      </c>
      <c r="H11" s="1">
        <v>4.8</v>
      </c>
      <c r="I11" s="1">
        <v>1.74</v>
      </c>
      <c r="J11" s="1">
        <v>1.71</v>
      </c>
      <c r="K11" s="1">
        <v>10.25</v>
      </c>
      <c r="L11" s="1">
        <v>0.5</v>
      </c>
      <c r="M11" s="1">
        <v>0.18</v>
      </c>
      <c r="N11" s="1">
        <v>0.55000000000000004</v>
      </c>
      <c r="O11" s="1">
        <v>0.09</v>
      </c>
    </row>
    <row r="12" spans="1:15" x14ac:dyDescent="0.25">
      <c r="A12" s="1">
        <v>38</v>
      </c>
      <c r="B12" s="1">
        <v>42</v>
      </c>
      <c r="C12" s="1">
        <v>1.24</v>
      </c>
      <c r="D12" s="1">
        <v>43</v>
      </c>
      <c r="E12" s="1">
        <v>2.0299999999999998</v>
      </c>
      <c r="F12" s="1">
        <v>1.9</v>
      </c>
      <c r="G12" s="1">
        <v>1.56</v>
      </c>
      <c r="H12" s="1">
        <v>4.8600000000000003</v>
      </c>
      <c r="I12" s="1">
        <v>1.74</v>
      </c>
      <c r="J12" s="1">
        <v>1.75</v>
      </c>
      <c r="K12" s="1">
        <v>9.92</v>
      </c>
      <c r="L12" s="1">
        <v>0.28999999999999998</v>
      </c>
      <c r="M12" s="1">
        <v>0.21</v>
      </c>
      <c r="N12" s="1">
        <v>0.35</v>
      </c>
      <c r="O12" s="1">
        <v>0.09</v>
      </c>
    </row>
    <row r="13" spans="1:15" x14ac:dyDescent="0.25">
      <c r="A13" s="1">
        <v>40</v>
      </c>
      <c r="B13" s="1">
        <v>44</v>
      </c>
      <c r="C13" s="1">
        <v>1.53</v>
      </c>
      <c r="D13" s="1">
        <v>54</v>
      </c>
      <c r="E13" s="1">
        <v>2.0299999999999998</v>
      </c>
      <c r="F13" s="1">
        <v>1.91</v>
      </c>
      <c r="G13" s="1">
        <v>1.6</v>
      </c>
      <c r="H13" s="1">
        <v>4.91</v>
      </c>
      <c r="I13" s="1">
        <v>1.75</v>
      </c>
      <c r="J13" s="1">
        <v>1.79</v>
      </c>
      <c r="K13" s="1">
        <v>7.96</v>
      </c>
      <c r="L13" s="1">
        <v>0.19</v>
      </c>
      <c r="M13" s="1">
        <v>0.13</v>
      </c>
      <c r="N13" s="1">
        <v>0.23</v>
      </c>
      <c r="O13" s="1">
        <v>0.05</v>
      </c>
    </row>
    <row r="14" spans="1:15" x14ac:dyDescent="0.25">
      <c r="A14" s="1">
        <v>42</v>
      </c>
      <c r="B14" s="1">
        <v>46</v>
      </c>
      <c r="C14" s="1">
        <v>1.33</v>
      </c>
      <c r="D14" s="1">
        <v>49</v>
      </c>
      <c r="E14" s="1">
        <v>2.0299999999999998</v>
      </c>
      <c r="F14" s="1">
        <v>1.93</v>
      </c>
      <c r="G14" s="1">
        <v>1.64</v>
      </c>
      <c r="H14" s="1">
        <v>4.96</v>
      </c>
      <c r="I14" s="1">
        <v>1.76</v>
      </c>
      <c r="J14" s="1">
        <v>1.83</v>
      </c>
      <c r="K14" s="1">
        <v>6.42</v>
      </c>
      <c r="L14" s="1">
        <v>0.14000000000000001</v>
      </c>
      <c r="M14" s="1">
        <v>0.2</v>
      </c>
      <c r="N14" s="1">
        <v>0.24</v>
      </c>
      <c r="O14" s="1">
        <v>0.06</v>
      </c>
    </row>
    <row r="15" spans="1:15" x14ac:dyDescent="0.25">
      <c r="A15" s="1">
        <v>44</v>
      </c>
      <c r="B15" s="1">
        <v>48</v>
      </c>
      <c r="C15" s="1">
        <v>1.45</v>
      </c>
      <c r="D15" s="1">
        <v>48</v>
      </c>
      <c r="E15" s="1">
        <v>2.0299999999999998</v>
      </c>
      <c r="F15" s="1">
        <v>1.94</v>
      </c>
      <c r="G15" s="1">
        <v>1.68</v>
      </c>
      <c r="H15" s="1">
        <v>5.0199999999999996</v>
      </c>
      <c r="I15" s="1">
        <v>1.77</v>
      </c>
      <c r="J15" s="1">
        <v>1.86</v>
      </c>
      <c r="K15" s="1">
        <v>8.4600000000000009</v>
      </c>
      <c r="L15" s="1">
        <v>0.3</v>
      </c>
      <c r="M15" s="1">
        <v>0.14000000000000001</v>
      </c>
      <c r="N15" s="1">
        <v>0.33</v>
      </c>
      <c r="O15" s="1">
        <v>0.08</v>
      </c>
    </row>
    <row r="16" spans="1:15" x14ac:dyDescent="0.25">
      <c r="A16" s="1">
        <v>46</v>
      </c>
      <c r="B16" s="1">
        <v>50</v>
      </c>
      <c r="C16" s="1">
        <v>1.32</v>
      </c>
      <c r="D16" s="1">
        <v>41</v>
      </c>
      <c r="E16" s="1">
        <v>2.0299999999999998</v>
      </c>
      <c r="F16" s="1">
        <v>1.96</v>
      </c>
      <c r="G16" s="1">
        <v>1.72</v>
      </c>
      <c r="H16" s="1">
        <v>5.07</v>
      </c>
      <c r="I16" s="1">
        <v>1.77</v>
      </c>
      <c r="J16" s="1">
        <v>1.9</v>
      </c>
      <c r="K16" s="1">
        <v>8.5299999999999994</v>
      </c>
      <c r="L16" s="1">
        <v>0.33</v>
      </c>
      <c r="M16" s="1">
        <v>0.15</v>
      </c>
      <c r="N16" s="1">
        <v>0.35</v>
      </c>
      <c r="O16" s="1">
        <v>0.09</v>
      </c>
    </row>
    <row r="17" spans="1:15" x14ac:dyDescent="0.25">
      <c r="A17" s="1">
        <v>48</v>
      </c>
      <c r="B17" s="1">
        <v>52</v>
      </c>
      <c r="C17" s="1">
        <v>1.62</v>
      </c>
      <c r="D17" s="1">
        <v>39</v>
      </c>
      <c r="E17" s="1">
        <v>2.0299999999999998</v>
      </c>
      <c r="F17" s="1">
        <v>1.97</v>
      </c>
      <c r="G17" s="1">
        <v>1.76</v>
      </c>
      <c r="H17" s="1">
        <v>5.12</v>
      </c>
      <c r="I17" s="1">
        <v>1.78</v>
      </c>
      <c r="J17" s="1">
        <v>1.94</v>
      </c>
      <c r="K17" s="1">
        <v>8.42</v>
      </c>
      <c r="L17" s="1">
        <v>0.42</v>
      </c>
      <c r="M17" s="1">
        <v>0.16</v>
      </c>
      <c r="N17" s="1">
        <v>0.49</v>
      </c>
      <c r="O17" s="1">
        <v>0.1</v>
      </c>
    </row>
    <row r="18" spans="1:15" x14ac:dyDescent="0.25">
      <c r="A18" s="1">
        <v>50</v>
      </c>
      <c r="B18" s="1">
        <v>54</v>
      </c>
      <c r="C18" s="1">
        <v>1.23</v>
      </c>
      <c r="D18" s="1">
        <v>36</v>
      </c>
      <c r="E18" s="1">
        <v>2.02</v>
      </c>
      <c r="F18" s="1">
        <v>1.99</v>
      </c>
      <c r="G18" s="1">
        <v>1.8</v>
      </c>
      <c r="H18" s="1">
        <v>5.18</v>
      </c>
      <c r="I18" s="1">
        <v>1.79</v>
      </c>
      <c r="J18" s="1">
        <v>1.98</v>
      </c>
      <c r="K18" s="1">
        <v>7.31</v>
      </c>
      <c r="L18" s="1">
        <v>0.35</v>
      </c>
      <c r="M18" s="1">
        <v>0.16</v>
      </c>
      <c r="N18" s="1">
        <v>0.44</v>
      </c>
      <c r="O18" s="1">
        <v>0.08</v>
      </c>
    </row>
    <row r="19" spans="1:15" x14ac:dyDescent="0.25">
      <c r="A19" s="1">
        <v>52</v>
      </c>
      <c r="B19" s="1">
        <v>56</v>
      </c>
      <c r="C19" s="1">
        <v>1.44</v>
      </c>
      <c r="D19" s="1">
        <v>38</v>
      </c>
      <c r="E19" s="1">
        <v>2.02</v>
      </c>
      <c r="F19" s="1">
        <v>2</v>
      </c>
      <c r="G19" s="1">
        <v>1.84</v>
      </c>
      <c r="H19" s="1">
        <v>5.23</v>
      </c>
      <c r="I19" s="1">
        <v>1.8</v>
      </c>
      <c r="J19" s="1">
        <v>2.0099999999999998</v>
      </c>
      <c r="K19" s="1">
        <v>8.5500000000000007</v>
      </c>
      <c r="L19" s="1">
        <v>0.31</v>
      </c>
      <c r="M19" s="1">
        <v>0.27</v>
      </c>
      <c r="N19" s="1">
        <v>0.45</v>
      </c>
      <c r="O19" s="1">
        <v>0.09</v>
      </c>
    </row>
    <row r="20" spans="1:15" x14ac:dyDescent="0.25">
      <c r="A20" s="1">
        <v>54</v>
      </c>
      <c r="B20" s="1">
        <v>58</v>
      </c>
      <c r="C20" s="1">
        <v>1.45</v>
      </c>
      <c r="D20" s="1">
        <v>32</v>
      </c>
      <c r="E20" s="1">
        <v>2.02</v>
      </c>
      <c r="F20" s="1">
        <v>2.02</v>
      </c>
      <c r="G20" s="1">
        <v>1.88</v>
      </c>
      <c r="H20" s="1">
        <v>5.28</v>
      </c>
      <c r="I20" s="1">
        <v>1.8</v>
      </c>
      <c r="J20" s="1">
        <v>2.0499999999999998</v>
      </c>
      <c r="K20" s="1">
        <v>8.43</v>
      </c>
      <c r="L20" s="1">
        <v>0.47</v>
      </c>
      <c r="M20" s="1">
        <v>0.28999999999999998</v>
      </c>
      <c r="N20" s="1">
        <v>0.57999999999999996</v>
      </c>
      <c r="O20" s="1">
        <v>0.11</v>
      </c>
    </row>
    <row r="21" spans="1:15" x14ac:dyDescent="0.25">
      <c r="A21" s="1">
        <v>56</v>
      </c>
      <c r="B21" s="1">
        <v>60</v>
      </c>
      <c r="C21" s="1">
        <v>1.34</v>
      </c>
      <c r="D21" s="1">
        <v>34</v>
      </c>
      <c r="E21" s="1">
        <v>2.02</v>
      </c>
      <c r="F21" s="1">
        <v>2.04</v>
      </c>
      <c r="G21" s="1">
        <v>1.92</v>
      </c>
      <c r="H21" s="1">
        <v>5.34</v>
      </c>
      <c r="I21" s="1">
        <v>1.81</v>
      </c>
      <c r="J21" s="1">
        <v>2.09</v>
      </c>
      <c r="K21" s="1">
        <v>8.86</v>
      </c>
      <c r="L21" s="1">
        <v>0.45</v>
      </c>
      <c r="M21" s="1">
        <v>0.23</v>
      </c>
      <c r="N21" s="1">
        <v>0.55000000000000004</v>
      </c>
      <c r="O21" s="1">
        <v>0.1</v>
      </c>
    </row>
    <row r="22" spans="1:15" x14ac:dyDescent="0.25">
      <c r="A22" s="1">
        <v>58</v>
      </c>
      <c r="B22" s="1">
        <v>62</v>
      </c>
      <c r="C22" s="1">
        <v>1.44</v>
      </c>
      <c r="D22" s="1">
        <v>29</v>
      </c>
      <c r="E22" s="1">
        <v>2.02</v>
      </c>
      <c r="F22" s="1">
        <v>2.0499999999999998</v>
      </c>
      <c r="G22" s="1">
        <v>1.96</v>
      </c>
      <c r="H22" s="1">
        <v>5.39</v>
      </c>
      <c r="I22" s="1">
        <v>1.82</v>
      </c>
      <c r="J22" s="1">
        <v>2.13</v>
      </c>
      <c r="K22" s="1">
        <v>8.6999999999999993</v>
      </c>
      <c r="L22" s="1">
        <v>0.44</v>
      </c>
      <c r="M22" s="1">
        <v>0</v>
      </c>
      <c r="N22" s="1">
        <v>0.44</v>
      </c>
      <c r="O22" s="1">
        <v>0.08</v>
      </c>
    </row>
    <row r="23" spans="1:15" x14ac:dyDescent="0.25">
      <c r="A23" s="1">
        <v>60</v>
      </c>
      <c r="B23" s="1">
        <v>64</v>
      </c>
      <c r="C23" s="1">
        <v>1.54</v>
      </c>
      <c r="D23" s="1">
        <v>26</v>
      </c>
      <c r="E23" s="1">
        <v>2.02</v>
      </c>
      <c r="F23" s="1">
        <v>2.0699999999999998</v>
      </c>
      <c r="G23" s="1">
        <v>2</v>
      </c>
      <c r="H23" s="1">
        <v>5.44</v>
      </c>
      <c r="I23" s="1">
        <v>1.83</v>
      </c>
      <c r="J23" s="1">
        <v>2.17</v>
      </c>
      <c r="K23" s="1">
        <v>9.5399999999999991</v>
      </c>
      <c r="L23" s="1">
        <v>0.27</v>
      </c>
      <c r="M23" s="1">
        <v>0</v>
      </c>
      <c r="N23" s="1">
        <v>0.27</v>
      </c>
      <c r="O23" s="1">
        <v>0.06</v>
      </c>
    </row>
    <row r="24" spans="1:15" x14ac:dyDescent="0.25">
      <c r="A24" s="1">
        <v>62</v>
      </c>
      <c r="B24" s="1">
        <v>66</v>
      </c>
      <c r="C24" s="1">
        <v>1.4</v>
      </c>
      <c r="D24" s="1">
        <v>27</v>
      </c>
      <c r="E24" s="1">
        <v>2.02</v>
      </c>
      <c r="F24" s="1">
        <v>2.08</v>
      </c>
      <c r="G24" s="1">
        <v>2.04</v>
      </c>
      <c r="H24" s="1">
        <v>5.5</v>
      </c>
      <c r="I24" s="1">
        <v>1.83</v>
      </c>
      <c r="J24" s="1">
        <v>2.2000000000000002</v>
      </c>
      <c r="K24" s="1">
        <v>11.61</v>
      </c>
      <c r="L24" s="1">
        <v>0.26</v>
      </c>
      <c r="M24" s="1">
        <v>0</v>
      </c>
      <c r="N24" s="1">
        <v>0.26</v>
      </c>
      <c r="O24" s="1">
        <v>0.06</v>
      </c>
    </row>
    <row r="25" spans="1:15" x14ac:dyDescent="0.25">
      <c r="A25" s="1">
        <v>64</v>
      </c>
      <c r="B25" s="1">
        <v>68</v>
      </c>
      <c r="C25" s="1">
        <v>1.52</v>
      </c>
      <c r="D25" s="1">
        <v>27</v>
      </c>
      <c r="E25" s="1">
        <v>2.02</v>
      </c>
      <c r="F25" s="1">
        <v>2.1</v>
      </c>
      <c r="G25" s="1">
        <v>2.08</v>
      </c>
      <c r="H25" s="1">
        <v>5.55</v>
      </c>
      <c r="I25" s="1">
        <v>1.84</v>
      </c>
      <c r="J25" s="1">
        <v>2.2400000000000002</v>
      </c>
      <c r="K25" s="1">
        <v>12.55</v>
      </c>
      <c r="L25" s="1">
        <v>0.32</v>
      </c>
      <c r="M25" s="1">
        <v>0.19</v>
      </c>
      <c r="N25" s="1">
        <v>0.36</v>
      </c>
      <c r="O25" s="1">
        <v>0.09</v>
      </c>
    </row>
    <row r="26" spans="1:15" x14ac:dyDescent="0.25">
      <c r="A26" s="1">
        <v>66</v>
      </c>
      <c r="B26" s="1">
        <v>70</v>
      </c>
      <c r="C26" s="1">
        <v>1.42</v>
      </c>
      <c r="D26" s="1">
        <v>29</v>
      </c>
      <c r="E26" s="1">
        <v>2.02</v>
      </c>
      <c r="F26" s="1">
        <v>2.11</v>
      </c>
      <c r="G26" s="1">
        <v>2.12</v>
      </c>
      <c r="H26" s="1">
        <v>5.6</v>
      </c>
      <c r="I26" s="1">
        <v>1.85</v>
      </c>
      <c r="J26" s="1">
        <v>2.2799999999999998</v>
      </c>
      <c r="K26" s="1">
        <v>12.64</v>
      </c>
      <c r="L26" s="1">
        <v>0.85</v>
      </c>
      <c r="M26" s="1">
        <v>0.31</v>
      </c>
      <c r="N26" s="1">
        <v>0.94</v>
      </c>
      <c r="O26" s="1">
        <v>0.12</v>
      </c>
    </row>
    <row r="27" spans="1:15" x14ac:dyDescent="0.25">
      <c r="A27" s="1">
        <v>68</v>
      </c>
      <c r="B27" s="1">
        <v>72</v>
      </c>
      <c r="C27" s="1">
        <v>1.36</v>
      </c>
      <c r="D27" s="1">
        <v>33</v>
      </c>
      <c r="E27" s="1">
        <v>2.02</v>
      </c>
      <c r="F27" s="1">
        <v>2.13</v>
      </c>
      <c r="G27" s="1">
        <v>2.16</v>
      </c>
      <c r="H27" s="1">
        <v>5.66</v>
      </c>
      <c r="I27" s="1">
        <v>1.86</v>
      </c>
      <c r="J27" s="1">
        <v>2.3199999999999998</v>
      </c>
      <c r="K27" s="1">
        <v>11.22</v>
      </c>
      <c r="L27" s="1">
        <v>0.81</v>
      </c>
      <c r="M27" s="1">
        <v>0.39</v>
      </c>
      <c r="N27" s="1">
        <v>0.93</v>
      </c>
      <c r="O27" s="1">
        <v>0.12</v>
      </c>
    </row>
    <row r="28" spans="1:15" x14ac:dyDescent="0.25">
      <c r="A28" s="1">
        <v>70</v>
      </c>
      <c r="B28" s="1">
        <v>74</v>
      </c>
      <c r="C28" s="1">
        <v>1.17</v>
      </c>
      <c r="D28" s="1">
        <v>28</v>
      </c>
      <c r="E28" s="1">
        <v>2.02</v>
      </c>
      <c r="F28" s="1">
        <v>2.14</v>
      </c>
      <c r="G28" s="1">
        <v>2.2000000000000002</v>
      </c>
      <c r="H28" s="1">
        <v>5.71</v>
      </c>
      <c r="I28" s="1">
        <v>1.86</v>
      </c>
      <c r="J28" s="1">
        <v>2.36</v>
      </c>
      <c r="K28" s="1">
        <v>14.34</v>
      </c>
      <c r="L28" s="1">
        <v>0.84</v>
      </c>
      <c r="M28" s="1">
        <v>0.31</v>
      </c>
      <c r="N28" s="1">
        <v>0.91</v>
      </c>
      <c r="O28" s="1">
        <v>0.12</v>
      </c>
    </row>
    <row r="29" spans="1:15" x14ac:dyDescent="0.25">
      <c r="A29" s="1">
        <v>72</v>
      </c>
      <c r="B29" s="1">
        <v>76</v>
      </c>
      <c r="C29" s="1">
        <v>2.8</v>
      </c>
      <c r="D29" s="1">
        <v>28</v>
      </c>
      <c r="E29" s="1">
        <v>2.0099999999999998</v>
      </c>
      <c r="F29" s="1">
        <v>2.1800000000000002</v>
      </c>
      <c r="G29" s="1">
        <v>2.2799999999999998</v>
      </c>
      <c r="H29" s="1">
        <v>5.82</v>
      </c>
      <c r="I29" s="1">
        <v>1.88</v>
      </c>
      <c r="J29" s="1">
        <v>2.4300000000000002</v>
      </c>
      <c r="K29" s="1">
        <v>14.7</v>
      </c>
      <c r="L29" s="1">
        <v>0.62</v>
      </c>
      <c r="M29" s="1">
        <v>0.36</v>
      </c>
      <c r="N29" s="1">
        <v>0.79</v>
      </c>
      <c r="O29" s="1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0EC3-90A1-445C-B1C7-7FC7E00CB320}">
  <dimension ref="A1:O29"/>
  <sheetViews>
    <sheetView workbookViewId="0">
      <selection activeCell="C1" sqref="C1:O1"/>
    </sheetView>
  </sheetViews>
  <sheetFormatPr defaultRowHeight="15" x14ac:dyDescent="0.25"/>
  <cols>
    <col min="1" max="2" width="5.140625" style="1" bestFit="1" customWidth="1"/>
  </cols>
  <sheetData>
    <row r="1" spans="1:15" s="1" customFormat="1" x14ac:dyDescent="0.25">
      <c r="A1" s="1" t="s">
        <v>16</v>
      </c>
      <c r="B1" s="1" t="s">
        <v>17</v>
      </c>
      <c r="C1" s="1" t="s">
        <v>3</v>
      </c>
      <c r="D1" s="1" t="s">
        <v>29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1">
        <v>18</v>
      </c>
      <c r="B2" s="1">
        <v>22</v>
      </c>
    </row>
    <row r="3" spans="1:15" x14ac:dyDescent="0.25">
      <c r="A3" s="1">
        <v>20</v>
      </c>
      <c r="B3" s="1">
        <v>24</v>
      </c>
    </row>
    <row r="4" spans="1:15" x14ac:dyDescent="0.25">
      <c r="A4" s="1">
        <v>22</v>
      </c>
      <c r="B4" s="1">
        <v>26</v>
      </c>
    </row>
    <row r="5" spans="1:15" x14ac:dyDescent="0.25">
      <c r="A5" s="1">
        <v>24</v>
      </c>
      <c r="B5" s="1">
        <v>28</v>
      </c>
    </row>
    <row r="6" spans="1:15" x14ac:dyDescent="0.25">
      <c r="A6" s="1">
        <v>26</v>
      </c>
      <c r="B6" s="1">
        <v>30</v>
      </c>
    </row>
    <row r="7" spans="1:15" x14ac:dyDescent="0.25">
      <c r="A7" s="1">
        <v>28</v>
      </c>
      <c r="B7" s="1">
        <v>32</v>
      </c>
    </row>
    <row r="8" spans="1:15" x14ac:dyDescent="0.25">
      <c r="A8" s="1">
        <v>30</v>
      </c>
      <c r="B8" s="1">
        <v>34</v>
      </c>
    </row>
    <row r="9" spans="1:15" x14ac:dyDescent="0.25">
      <c r="A9" s="1">
        <v>32</v>
      </c>
      <c r="B9" s="1">
        <v>36</v>
      </c>
    </row>
    <row r="10" spans="1:15" x14ac:dyDescent="0.25">
      <c r="A10" s="1">
        <v>34</v>
      </c>
      <c r="B10" s="1">
        <v>38</v>
      </c>
    </row>
    <row r="11" spans="1:15" x14ac:dyDescent="0.25">
      <c r="A11" s="1">
        <v>36</v>
      </c>
      <c r="B11" s="1">
        <v>40</v>
      </c>
    </row>
    <row r="12" spans="1:15" x14ac:dyDescent="0.25">
      <c r="A12" s="1">
        <v>38</v>
      </c>
      <c r="B12" s="1">
        <v>42</v>
      </c>
    </row>
    <row r="13" spans="1:15" x14ac:dyDescent="0.25">
      <c r="A13" s="1">
        <v>40</v>
      </c>
      <c r="B13" s="1">
        <v>44</v>
      </c>
    </row>
    <row r="14" spans="1:15" x14ac:dyDescent="0.25">
      <c r="A14" s="1">
        <v>42</v>
      </c>
      <c r="B14" s="1">
        <v>46</v>
      </c>
    </row>
    <row r="15" spans="1:15" x14ac:dyDescent="0.25">
      <c r="A15" s="1">
        <v>44</v>
      </c>
      <c r="B15" s="1">
        <v>48</v>
      </c>
    </row>
    <row r="16" spans="1:15" x14ac:dyDescent="0.25">
      <c r="A16" s="1">
        <v>46</v>
      </c>
      <c r="B16" s="1">
        <v>50</v>
      </c>
    </row>
    <row r="17" spans="1:2" x14ac:dyDescent="0.25">
      <c r="A17" s="1">
        <v>48</v>
      </c>
      <c r="B17" s="1">
        <v>52</v>
      </c>
    </row>
    <row r="18" spans="1:2" x14ac:dyDescent="0.25">
      <c r="A18" s="1">
        <v>50</v>
      </c>
      <c r="B18" s="1">
        <v>54</v>
      </c>
    </row>
    <row r="19" spans="1:2" x14ac:dyDescent="0.25">
      <c r="A19" s="1">
        <v>52</v>
      </c>
      <c r="B19" s="1">
        <v>56</v>
      </c>
    </row>
    <row r="20" spans="1:2" x14ac:dyDescent="0.25">
      <c r="A20" s="1">
        <v>54</v>
      </c>
      <c r="B20" s="1">
        <v>58</v>
      </c>
    </row>
    <row r="21" spans="1:2" x14ac:dyDescent="0.25">
      <c r="A21" s="1">
        <v>56</v>
      </c>
      <c r="B21" s="1">
        <v>60</v>
      </c>
    </row>
    <row r="22" spans="1:2" x14ac:dyDescent="0.25">
      <c r="A22" s="1">
        <v>58</v>
      </c>
      <c r="B22" s="1">
        <v>62</v>
      </c>
    </row>
    <row r="23" spans="1:2" x14ac:dyDescent="0.25">
      <c r="A23" s="1">
        <v>60</v>
      </c>
      <c r="B23" s="1">
        <v>64</v>
      </c>
    </row>
    <row r="24" spans="1:2" x14ac:dyDescent="0.25">
      <c r="A24" s="1">
        <v>62</v>
      </c>
      <c r="B24" s="1">
        <v>66</v>
      </c>
    </row>
    <row r="25" spans="1:2" x14ac:dyDescent="0.25">
      <c r="A25" s="1">
        <v>64</v>
      </c>
      <c r="B25" s="1">
        <v>68</v>
      </c>
    </row>
    <row r="26" spans="1:2" x14ac:dyDescent="0.25">
      <c r="A26" s="1">
        <v>66</v>
      </c>
      <c r="B26" s="1">
        <v>70</v>
      </c>
    </row>
    <row r="27" spans="1:2" x14ac:dyDescent="0.25">
      <c r="A27" s="1">
        <v>68</v>
      </c>
      <c r="B27" s="1">
        <v>72</v>
      </c>
    </row>
    <row r="28" spans="1:2" x14ac:dyDescent="0.25">
      <c r="A28" s="1">
        <v>70</v>
      </c>
      <c r="B28" s="1">
        <v>74</v>
      </c>
    </row>
    <row r="29" spans="1:2" x14ac:dyDescent="0.25">
      <c r="A29" s="1">
        <v>72</v>
      </c>
      <c r="B29" s="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4AB9-7C92-44F1-AE99-6EB7DBBD8CB2}">
  <dimension ref="A1:O29"/>
  <sheetViews>
    <sheetView workbookViewId="0">
      <selection activeCell="C1" sqref="C1:O1"/>
    </sheetView>
  </sheetViews>
  <sheetFormatPr defaultRowHeight="15" x14ac:dyDescent="0.25"/>
  <cols>
    <col min="1" max="2" width="5.140625" style="1" bestFit="1" customWidth="1"/>
  </cols>
  <sheetData>
    <row r="1" spans="1:15" s="1" customFormat="1" x14ac:dyDescent="0.25">
      <c r="A1" s="1" t="s">
        <v>16</v>
      </c>
      <c r="B1" s="1" t="s">
        <v>17</v>
      </c>
      <c r="C1" s="1" t="s">
        <v>3</v>
      </c>
      <c r="D1" s="1" t="s">
        <v>29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1">
        <v>18</v>
      </c>
      <c r="B2" s="1">
        <v>22</v>
      </c>
    </row>
    <row r="3" spans="1:15" x14ac:dyDescent="0.25">
      <c r="A3" s="1">
        <v>20</v>
      </c>
      <c r="B3" s="1">
        <v>24</v>
      </c>
    </row>
    <row r="4" spans="1:15" x14ac:dyDescent="0.25">
      <c r="A4" s="1">
        <v>22</v>
      </c>
      <c r="B4" s="1">
        <v>26</v>
      </c>
    </row>
    <row r="5" spans="1:15" x14ac:dyDescent="0.25">
      <c r="A5" s="1">
        <v>24</v>
      </c>
      <c r="B5" s="1">
        <v>28</v>
      </c>
    </row>
    <row r="6" spans="1:15" x14ac:dyDescent="0.25">
      <c r="A6" s="1">
        <v>26</v>
      </c>
      <c r="B6" s="1">
        <v>30</v>
      </c>
    </row>
    <row r="7" spans="1:15" x14ac:dyDescent="0.25">
      <c r="A7" s="1">
        <v>28</v>
      </c>
      <c r="B7" s="1">
        <v>32</v>
      </c>
    </row>
    <row r="8" spans="1:15" x14ac:dyDescent="0.25">
      <c r="A8" s="1">
        <v>30</v>
      </c>
      <c r="B8" s="1">
        <v>34</v>
      </c>
    </row>
    <row r="9" spans="1:15" x14ac:dyDescent="0.25">
      <c r="A9" s="1">
        <v>32</v>
      </c>
      <c r="B9" s="1">
        <v>36</v>
      </c>
    </row>
    <row r="10" spans="1:15" x14ac:dyDescent="0.25">
      <c r="A10" s="1">
        <v>34</v>
      </c>
      <c r="B10" s="1">
        <v>38</v>
      </c>
    </row>
    <row r="11" spans="1:15" x14ac:dyDescent="0.25">
      <c r="A11" s="1">
        <v>36</v>
      </c>
      <c r="B11" s="1">
        <v>40</v>
      </c>
    </row>
    <row r="12" spans="1:15" x14ac:dyDescent="0.25">
      <c r="A12" s="1">
        <v>38</v>
      </c>
      <c r="B12" s="1">
        <v>42</v>
      </c>
    </row>
    <row r="13" spans="1:15" x14ac:dyDescent="0.25">
      <c r="A13" s="1">
        <v>40</v>
      </c>
      <c r="B13" s="1">
        <v>44</v>
      </c>
    </row>
    <row r="14" spans="1:15" x14ac:dyDescent="0.25">
      <c r="A14" s="1">
        <v>42</v>
      </c>
      <c r="B14" s="1">
        <v>46</v>
      </c>
    </row>
    <row r="15" spans="1:15" x14ac:dyDescent="0.25">
      <c r="A15" s="1">
        <v>44</v>
      </c>
      <c r="B15" s="1">
        <v>48</v>
      </c>
    </row>
    <row r="16" spans="1:15" x14ac:dyDescent="0.25">
      <c r="A16" s="1">
        <v>46</v>
      </c>
      <c r="B16" s="1">
        <v>50</v>
      </c>
    </row>
    <row r="17" spans="1:2" x14ac:dyDescent="0.25">
      <c r="A17" s="1">
        <v>48</v>
      </c>
      <c r="B17" s="1">
        <v>52</v>
      </c>
    </row>
    <row r="18" spans="1:2" x14ac:dyDescent="0.25">
      <c r="A18" s="1">
        <v>50</v>
      </c>
      <c r="B18" s="1">
        <v>54</v>
      </c>
    </row>
    <row r="19" spans="1:2" x14ac:dyDescent="0.25">
      <c r="A19" s="1">
        <v>52</v>
      </c>
      <c r="B19" s="1">
        <v>56</v>
      </c>
    </row>
    <row r="20" spans="1:2" x14ac:dyDescent="0.25">
      <c r="A20" s="1">
        <v>54</v>
      </c>
      <c r="B20" s="1">
        <v>58</v>
      </c>
    </row>
    <row r="21" spans="1:2" x14ac:dyDescent="0.25">
      <c r="A21" s="1">
        <v>56</v>
      </c>
      <c r="B21" s="1">
        <v>60</v>
      </c>
    </row>
    <row r="22" spans="1:2" x14ac:dyDescent="0.25">
      <c r="A22" s="1">
        <v>58</v>
      </c>
      <c r="B22" s="1">
        <v>62</v>
      </c>
    </row>
    <row r="23" spans="1:2" x14ac:dyDescent="0.25">
      <c r="A23" s="1">
        <v>60</v>
      </c>
      <c r="B23" s="1">
        <v>64</v>
      </c>
    </row>
    <row r="24" spans="1:2" x14ac:dyDescent="0.25">
      <c r="A24" s="1">
        <v>62</v>
      </c>
      <c r="B24" s="1">
        <v>66</v>
      </c>
    </row>
    <row r="25" spans="1:2" x14ac:dyDescent="0.25">
      <c r="A25" s="1">
        <v>64</v>
      </c>
      <c r="B25" s="1">
        <v>68</v>
      </c>
    </row>
    <row r="26" spans="1:2" x14ac:dyDescent="0.25">
      <c r="A26" s="1">
        <v>66</v>
      </c>
      <c r="B26" s="1">
        <v>70</v>
      </c>
    </row>
    <row r="27" spans="1:2" x14ac:dyDescent="0.25">
      <c r="A27" s="1">
        <v>68</v>
      </c>
      <c r="B27" s="1">
        <v>72</v>
      </c>
    </row>
    <row r="28" spans="1:2" x14ac:dyDescent="0.25">
      <c r="A28" s="1">
        <v>70</v>
      </c>
      <c r="B28" s="1">
        <v>74</v>
      </c>
    </row>
    <row r="29" spans="1:2" x14ac:dyDescent="0.25">
      <c r="A29" s="1">
        <v>72</v>
      </c>
      <c r="B29" s="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norms_raw</vt:lpstr>
      <vt:lpstr>norms_m</vt:lpstr>
      <vt:lpstr>norms_sd</vt:lpstr>
      <vt:lpstr>data_m</vt:lpstr>
      <vt:lpstr>data_sd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Ronayne</dc:creator>
  <cp:lastModifiedBy>Richard Ronayne</cp:lastModifiedBy>
  <dcterms:created xsi:type="dcterms:W3CDTF">2024-02-29T04:23:31Z</dcterms:created>
  <dcterms:modified xsi:type="dcterms:W3CDTF">2024-03-02T05:14:22Z</dcterms:modified>
</cp:coreProperties>
</file>